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natour0-my.sharepoint.com/personal/yoonzzan_hanatour_com/Documents/20220324 갤탭/오늘의 업무▶/마이기획서/온라인견적서/공급사 비딩 답변 첨부파일/"/>
    </mc:Choice>
  </mc:AlternateContent>
  <xr:revisionPtr revIDLastSave="1" documentId="11_06670A206A57266F429E0C882CFD1C8887FAB31F" xr6:coauthVersionLast="47" xr6:coauthVersionMax="47" xr10:uidLastSave="{C59ABB86-44C4-984B-A455-98501BD441BE}"/>
  <bookViews>
    <workbookView xWindow="44820" yWindow="8120" windowWidth="25840" windowHeight="21800" xr2:uid="{00000000-000D-0000-FFFF-FFFF00000000}"/>
  </bookViews>
  <sheets>
    <sheet name="기본서식" sheetId="1" r:id="rId1"/>
  </sheets>
  <definedNames>
    <definedName name="_xlnm.Print_Area" localSheetId="0">기본서식!$A$6:$O$60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" i="1" l="1"/>
  <c r="G37" i="1"/>
  <c r="G38" i="1"/>
  <c r="G39" i="1"/>
  <c r="G40" i="1"/>
  <c r="G28" i="1"/>
  <c r="G29" i="1"/>
  <c r="G30" i="1"/>
  <c r="G32" i="1" l="1"/>
  <c r="G33" i="1"/>
  <c r="G34" i="1"/>
  <c r="G35" i="1"/>
  <c r="G36" i="1"/>
  <c r="G31" i="1"/>
  <c r="H10" i="1" l="1"/>
  <c r="H11" i="1"/>
  <c r="H12" i="1"/>
  <c r="H29" i="1" l="1"/>
  <c r="H30" i="1"/>
  <c r="H31" i="1"/>
  <c r="H32" i="1"/>
  <c r="H33" i="1"/>
  <c r="H34" i="1"/>
  <c r="H35" i="1"/>
  <c r="H36" i="1"/>
  <c r="H43" i="1" l="1"/>
  <c r="H44" i="1"/>
  <c r="H45" i="1"/>
  <c r="H46" i="1"/>
  <c r="H47" i="1"/>
  <c r="H48" i="1"/>
  <c r="H49" i="1"/>
  <c r="H50" i="1"/>
  <c r="H51" i="1"/>
  <c r="H52" i="1"/>
  <c r="H53" i="1"/>
  <c r="H54" i="1"/>
  <c r="H55" i="1"/>
  <c r="H13" i="1"/>
  <c r="H14" i="1"/>
  <c r="H15" i="1"/>
  <c r="H16" i="1"/>
  <c r="H20" i="1"/>
  <c r="H21" i="1"/>
  <c r="H22" i="1"/>
  <c r="H37" i="1" l="1"/>
  <c r="H38" i="1"/>
  <c r="H39" i="1"/>
  <c r="H40" i="1"/>
  <c r="H57" i="1" l="1"/>
  <c r="H56" i="1"/>
  <c r="H42" i="1"/>
  <c r="H28" i="1"/>
  <c r="H26" i="1"/>
  <c r="H25" i="1"/>
  <c r="H24" i="1"/>
  <c r="H19" i="1"/>
  <c r="H17" i="1" l="1"/>
  <c r="H23" i="1"/>
  <c r="H27" i="1"/>
  <c r="H41" i="1"/>
  <c r="H58" i="1"/>
  <c r="H59" i="1" l="1"/>
  <c r="H60" i="1" l="1"/>
</calcChain>
</file>

<file path=xl/sharedStrings.xml><?xml version="1.0" encoding="utf-8"?>
<sst xmlns="http://schemas.openxmlformats.org/spreadsheetml/2006/main" count="63" uniqueCount="56">
  <si>
    <t>참고일정 : AVP251250521KEG
날짜 : 5/21
인원 : 150+1FOC
호텔 : 푸꾸옥 특급 베스트웨스턴 리조트 3박(75트윈+1싱글)
포함 : 가기팁(한국인가이드 4명) / 리조트 만찬 1회
불포 : 개인경비 및 매너팁
45인승차량 4대, 쇼핑2회, 노옵션 기준
[일정]
1일차 : 공항도착 - 가이드미팅 - 리조트 투숙
2일차 : 진주양식장/호국사/사오비치 - 중식 - 선셋타운 - 리조트 만찬
3일차 : 전일 자유일정
4일차 : 오전체크아웃 - 중식 - 후추농장/코코넛수용소/딘커우사원 - 석식 - 쯔엉동야시장 - 공항이동
5일차 : 인천도착
[식사]
2일 중식   현지식 $12 / 석식   리조트 만찬 $40 
3일 중식   불포함 / 석식   불포함 
4일 중식   현지식 $12 / 석식   한식 $12
[리조트 만찬]
포함 : 리조트 뷔페식/LCD프로젝터/빔&amp;스크린/43인치 TV(가라오케가능)/마이크 + 오픈바 2시간(생수/소프트드링크/맥주)
불포 : 별도 무대설치/백드롭 &amp; 배너설치
[추가차액]
* 3일차 중석식 포함 진행시 끼니당 1인 +1.5만원 추가차액
* 호핑투어 추가시 1인 +4.5만원 추가차액
* 사파리(내부투어버스 포함) 1인 +4.5만원 추가차액
* 전신마사지 60분(팁별도) 1인 +3만원 // 90분(팁별도) 1인 +3.5만원 추가차액
[비고]
* 객실 싱글차지 18만원 입니다.
* 인원이 많아서 현재기준 50~60방정도 트윈이 가능한 상황이며 예약 이후 객실 컨펌시 확인이 가능한 상황이니 참고 부탁드립니다.
* 쇼핑2회 -&gt; 쇼핑1회(잡화)로 변경시 1인 +2만원 추가차액 발생됩니다.
* 가이드는 원활한 행사 진행이 가능한 한국인가이드 기준으로 안내드립니다. (45인승 차량 4대, 한국인가이드 4명 기준)
** 견적 환율 1450원~1470원 기준입니다. **
매매기준율 1500원 이상 환율 인상시 지상비도 인상 조정 됩니다. (환율 차액 추가 요청) 
환율 변동이 큰 상황으로 양해 부탁드립니다.</t>
    <phoneticPr fontId="2" type="noConversion"/>
  </si>
  <si>
    <t>AGENT</t>
    <phoneticPr fontId="2" type="noConversion"/>
  </si>
  <si>
    <t>QA00603277001</t>
    <phoneticPr fontId="2" type="noConversion"/>
  </si>
  <si>
    <t>출발일</t>
    <phoneticPr fontId="2" type="noConversion"/>
  </si>
  <si>
    <t>인 원(foc포함)</t>
    <phoneticPr fontId="2" type="noConversion"/>
  </si>
  <si>
    <t>쇼핑,옵션</t>
    <phoneticPr fontId="2" type="noConversion"/>
  </si>
  <si>
    <t>구         분</t>
    <phoneticPr fontId="2" type="noConversion"/>
  </si>
  <si>
    <t>1박요금</t>
    <phoneticPr fontId="2" type="noConversion"/>
  </si>
  <si>
    <t>일(박수)</t>
    <phoneticPr fontId="2" type="noConversion"/>
  </si>
  <si>
    <t>총 방갯수</t>
    <phoneticPr fontId="2" type="noConversion"/>
  </si>
  <si>
    <t>총 요금</t>
    <phoneticPr fontId="2" type="noConversion"/>
  </si>
  <si>
    <t>비 고</t>
    <phoneticPr fontId="2" type="noConversion"/>
  </si>
  <si>
    <t>호 텔</t>
    <phoneticPr fontId="2" type="noConversion"/>
  </si>
  <si>
    <t>베스트웨스턴</t>
    <phoneticPr fontId="2" type="noConversion"/>
  </si>
  <si>
    <t>합      계</t>
    <phoneticPr fontId="2" type="noConversion"/>
  </si>
  <si>
    <t>차 량</t>
    <phoneticPr fontId="2" type="noConversion"/>
  </si>
  <si>
    <t>인승</t>
    <phoneticPr fontId="2" type="noConversion"/>
  </si>
  <si>
    <t>지  역</t>
    <phoneticPr fontId="2" type="noConversion"/>
  </si>
  <si>
    <t>요금</t>
    <phoneticPr fontId="2" type="noConversion"/>
  </si>
  <si>
    <t>일</t>
    <phoneticPr fontId="2" type="noConversion"/>
  </si>
  <si>
    <t>대수</t>
    <phoneticPr fontId="2" type="noConversion"/>
  </si>
  <si>
    <t>총요금</t>
    <phoneticPr fontId="2" type="noConversion"/>
  </si>
  <si>
    <t>푸꾸옥</t>
    <phoneticPr fontId="2" type="noConversion"/>
  </si>
  <si>
    <t>가이드&amp;기사</t>
    <phoneticPr fontId="2" type="noConversion"/>
  </si>
  <si>
    <t>fee / tip</t>
    <phoneticPr fontId="2" type="noConversion"/>
  </si>
  <si>
    <t>한국인가이드</t>
    <phoneticPr fontId="2" type="noConversion"/>
  </si>
  <si>
    <t>로컬가이드/기사</t>
    <phoneticPr fontId="2" type="noConversion"/>
  </si>
  <si>
    <t>숙박비</t>
    <phoneticPr fontId="2" type="noConversion"/>
  </si>
  <si>
    <t>가이드/기사 숙박</t>
    <phoneticPr fontId="2" type="noConversion"/>
  </si>
  <si>
    <t>식사</t>
    <phoneticPr fontId="2" type="noConversion"/>
  </si>
  <si>
    <t xml:space="preserve">1일 조식 </t>
    <phoneticPr fontId="2" type="noConversion"/>
  </si>
  <si>
    <t xml:space="preserve">1일 중식 </t>
    <phoneticPr fontId="2" type="noConversion"/>
  </si>
  <si>
    <t xml:space="preserve">1일 석식 </t>
    <phoneticPr fontId="2" type="noConversion"/>
  </si>
  <si>
    <t xml:space="preserve">2일 중식 </t>
    <phoneticPr fontId="2" type="noConversion"/>
  </si>
  <si>
    <t>현지식</t>
    <phoneticPr fontId="2" type="noConversion"/>
  </si>
  <si>
    <t xml:space="preserve">2일 석식 </t>
    <phoneticPr fontId="2" type="noConversion"/>
  </si>
  <si>
    <t>리조트 만찬</t>
    <phoneticPr fontId="2" type="noConversion"/>
  </si>
  <si>
    <t xml:space="preserve">3일 중식 </t>
    <phoneticPr fontId="2" type="noConversion"/>
  </si>
  <si>
    <t>불포함</t>
    <phoneticPr fontId="2" type="noConversion"/>
  </si>
  <si>
    <t xml:space="preserve">3일 석식 </t>
    <phoneticPr fontId="2" type="noConversion"/>
  </si>
  <si>
    <t xml:space="preserve">4일 중식 </t>
    <phoneticPr fontId="2" type="noConversion"/>
  </si>
  <si>
    <t xml:space="preserve">4일 석식 </t>
    <phoneticPr fontId="2" type="noConversion"/>
  </si>
  <si>
    <t>한식</t>
    <phoneticPr fontId="2" type="noConversion"/>
  </si>
  <si>
    <t xml:space="preserve">5일 중식 </t>
    <phoneticPr fontId="2" type="noConversion"/>
  </si>
  <si>
    <t xml:space="preserve">5일 석식 </t>
    <phoneticPr fontId="2" type="noConversion"/>
  </si>
  <si>
    <t xml:space="preserve">6일 중식 </t>
    <phoneticPr fontId="2" type="noConversion"/>
  </si>
  <si>
    <t xml:space="preserve">6일 석식 </t>
    <phoneticPr fontId="2" type="noConversion"/>
  </si>
  <si>
    <t>기타비용</t>
    <phoneticPr fontId="2" type="noConversion"/>
  </si>
  <si>
    <t>관광</t>
    <phoneticPr fontId="2" type="noConversion"/>
  </si>
  <si>
    <t>오픈바 2시간</t>
    <phoneticPr fontId="2" type="noConversion"/>
  </si>
  <si>
    <t>만찬장 사운드/라이트 시스템</t>
    <phoneticPr fontId="2" type="noConversion"/>
  </si>
  <si>
    <t>기타</t>
    <phoneticPr fontId="2" type="noConversion"/>
  </si>
  <si>
    <t>차량내 물&amp;공동경비</t>
    <phoneticPr fontId="2" type="noConversion"/>
  </si>
  <si>
    <t>핸들링차지</t>
    <phoneticPr fontId="2" type="noConversion"/>
  </si>
  <si>
    <t>TOTAL</t>
    <phoneticPr fontId="2" type="noConversion"/>
  </si>
  <si>
    <t xml:space="preserve">1인당 지상비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</si>
</sst>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24" formatCode="\$#,##0_);[Red]\(\$#,##0\)"/>
    <numFmt numFmtId="176" formatCode="_-* #,##0_-;\-* #,##0_-;_-* &quot;-&quot;_-;_-@_-"/>
    <numFmt numFmtId="177" formatCode="mm&quot;월&quot;\ dd&quot;일&quot;"/>
    <numFmt numFmtId="178" formatCode="\$#,##0"/>
    <numFmt numFmtId="179" formatCode="\$#,##0.0_);[Red]\(\$#,##0.0\)"/>
    <numFmt numFmtId="180" formatCode="\$#,##0.00"/>
    <numFmt numFmtId="181" formatCode="_-\$* #,##0.00_ ;_-\$* \-#,##0.00\ ;_-\$* &quot;-&quot;??_ ;_-@_ "/>
    <numFmt numFmtId="182" formatCode="mm\/dd"/>
    <numFmt numFmtId="183" formatCode="\$#,##0.0;[Red]\-\$#,##0.0"/>
    <numFmt numFmtId="184" formatCode="\$#,##0.0"/>
  </numFmts>
  <fonts count="13">
    <font>
      <sz val="1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1"/>
      <name val="Calibri"/>
      <family val="2"/>
    </font>
    <font>
      <sz val="11"/>
      <color theme="1"/>
      <name val="맑은 고딕"/>
      <family val="3"/>
      <charset val="129"/>
      <scheme val="minor"/>
    </font>
    <font>
      <sz val="11"/>
      <name val="VNI-Times"/>
      <family val="2"/>
    </font>
    <font>
      <sz val="10"/>
      <name val="Arial"/>
      <family val="2"/>
    </font>
    <font>
      <sz val="12"/>
      <name val="VNI-Times"/>
      <family val="2"/>
    </font>
    <font>
      <sz val="10"/>
      <name val=".VnTime"/>
      <family val="3"/>
      <charset val="129"/>
    </font>
    <font>
      <sz val="11"/>
      <name val="돋움"/>
      <family val="3"/>
      <charset val="129"/>
    </font>
    <font>
      <b/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</borders>
  <cellStyleXfs count="21">
    <xf numFmtId="0" fontId="0" fillId="0" borderId="0">
      <alignment vertical="center"/>
    </xf>
    <xf numFmtId="0" fontId="4" fillId="0" borderId="0"/>
    <xf numFmtId="0" fontId="5" fillId="0" borderId="0"/>
    <xf numFmtId="0" fontId="5" fillId="0" borderId="0"/>
    <xf numFmtId="0" fontId="4" fillId="0" borderId="0"/>
    <xf numFmtId="0" fontId="6" fillId="0" borderId="0"/>
    <xf numFmtId="176" fontId="5" fillId="0" borderId="0" applyFont="0" applyFill="0" applyBorder="0" applyAlignment="0" applyProtection="0">
      <alignment vertical="center"/>
    </xf>
    <xf numFmtId="181" fontId="8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7" fillId="0" borderId="0"/>
    <xf numFmtId="0" fontId="5" fillId="0" borderId="0">
      <alignment vertical="center"/>
    </xf>
    <xf numFmtId="0" fontId="9" fillId="0" borderId="0"/>
    <xf numFmtId="0" fontId="5" fillId="0" borderId="0">
      <alignment vertical="center"/>
    </xf>
    <xf numFmtId="176" fontId="10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24" fontId="1" fillId="0" borderId="18" xfId="0" applyNumberFormat="1" applyFont="1" applyBorder="1">
      <alignment vertical="center"/>
    </xf>
    <xf numFmtId="0" fontId="1" fillId="0" borderId="18" xfId="0" applyFont="1" applyBorder="1">
      <alignment vertical="center"/>
    </xf>
    <xf numFmtId="0" fontId="1" fillId="0" borderId="17" xfId="0" applyFont="1" applyBorder="1">
      <alignment vertical="center"/>
    </xf>
    <xf numFmtId="24" fontId="1" fillId="0" borderId="19" xfId="0" applyNumberFormat="1" applyFont="1" applyBorder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24" fontId="1" fillId="2" borderId="18" xfId="0" applyNumberFormat="1" applyFont="1" applyFill="1" applyBorder="1">
      <alignment vertical="center"/>
    </xf>
    <xf numFmtId="24" fontId="1" fillId="2" borderId="27" xfId="0" applyNumberFormat="1" applyFont="1" applyFill="1" applyBorder="1" applyAlignment="1">
      <alignment horizontal="center" vertical="center"/>
    </xf>
    <xf numFmtId="178" fontId="1" fillId="0" borderId="26" xfId="0" applyNumberFormat="1" applyFont="1" applyBorder="1">
      <alignment vertical="center"/>
    </xf>
    <xf numFmtId="178" fontId="1" fillId="0" borderId="18" xfId="0" applyNumberFormat="1" applyFont="1" applyBorder="1">
      <alignment vertical="center"/>
    </xf>
    <xf numFmtId="0" fontId="1" fillId="0" borderId="29" xfId="0" applyFont="1" applyBorder="1" applyAlignment="1">
      <alignment horizontal="center" vertical="center"/>
    </xf>
    <xf numFmtId="178" fontId="1" fillId="2" borderId="33" xfId="0" applyNumberFormat="1" applyFont="1" applyFill="1" applyBorder="1">
      <alignment vertical="center"/>
    </xf>
    <xf numFmtId="0" fontId="3" fillId="0" borderId="13" xfId="0" applyFont="1" applyBorder="1" applyAlignment="1">
      <alignment horizontal="center" vertical="center"/>
    </xf>
    <xf numFmtId="178" fontId="1" fillId="0" borderId="12" xfId="0" applyNumberFormat="1" applyFont="1" applyBorder="1">
      <alignment vertical="center"/>
    </xf>
    <xf numFmtId="0" fontId="1" fillId="0" borderId="13" xfId="0" applyFont="1" applyBorder="1">
      <alignment vertical="center"/>
    </xf>
    <xf numFmtId="178" fontId="1" fillId="0" borderId="13" xfId="0" applyNumberFormat="1" applyFont="1" applyBorder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24" fontId="1" fillId="0" borderId="26" xfId="0" applyNumberFormat="1" applyFont="1" applyBorder="1">
      <alignment vertical="center"/>
    </xf>
    <xf numFmtId="0" fontId="1" fillId="0" borderId="18" xfId="0" applyFont="1" applyBorder="1" applyAlignment="1">
      <alignment vertical="center" wrapText="1"/>
    </xf>
    <xf numFmtId="179" fontId="1" fillId="0" borderId="26" xfId="0" applyNumberFormat="1" applyFont="1" applyBorder="1">
      <alignment vertical="center"/>
    </xf>
    <xf numFmtId="180" fontId="1" fillId="3" borderId="33" xfId="0" applyNumberFormat="1" applyFont="1" applyFill="1" applyBorder="1">
      <alignment vertical="center"/>
    </xf>
    <xf numFmtId="37" fontId="1" fillId="3" borderId="29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shrinkToFit="1"/>
    </xf>
    <xf numFmtId="177" fontId="1" fillId="4" borderId="5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 shrinkToFit="1"/>
    </xf>
    <xf numFmtId="0" fontId="1" fillId="4" borderId="13" xfId="0" applyFont="1" applyFill="1" applyBorder="1" applyAlignment="1">
      <alignment horizontal="center" vertical="center" shrinkToFit="1"/>
    </xf>
    <xf numFmtId="0" fontId="1" fillId="4" borderId="14" xfId="0" applyFont="1" applyFill="1" applyBorder="1" applyAlignment="1">
      <alignment horizontal="center" vertical="center" shrinkToFit="1"/>
    </xf>
    <xf numFmtId="0" fontId="1" fillId="4" borderId="18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176" fontId="1" fillId="0" borderId="0" xfId="20" applyFont="1" applyAlignment="1">
      <alignment horizontal="center" vertical="center"/>
    </xf>
    <xf numFmtId="178" fontId="1" fillId="2" borderId="18" xfId="0" applyNumberFormat="1" applyFont="1" applyFill="1" applyBorder="1">
      <alignment vertical="center"/>
    </xf>
    <xf numFmtId="0" fontId="1" fillId="2" borderId="18" xfId="0" applyFont="1" applyFill="1" applyBorder="1" applyAlignment="1">
      <alignment horizontal="center" vertical="center"/>
    </xf>
    <xf numFmtId="183" fontId="3" fillId="0" borderId="26" xfId="0" applyNumberFormat="1" applyFont="1" applyBorder="1" applyAlignment="1">
      <alignment horizontal="right" vertical="center"/>
    </xf>
    <xf numFmtId="184" fontId="1" fillId="0" borderId="26" xfId="0" applyNumberFormat="1" applyFont="1" applyBorder="1" applyAlignment="1">
      <alignment horizontal="right" vertical="center"/>
    </xf>
    <xf numFmtId="0" fontId="12" fillId="5" borderId="7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82" fontId="1" fillId="0" borderId="6" xfId="0" applyNumberFormat="1" applyFont="1" applyBorder="1" applyAlignment="1">
      <alignment horizontal="center" vertical="center"/>
    </xf>
    <xf numFmtId="182" fontId="1" fillId="0" borderId="5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31" fontId="1" fillId="0" borderId="2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shrinkToFit="1"/>
    </xf>
    <xf numFmtId="0" fontId="1" fillId="4" borderId="10" xfId="0" applyFont="1" applyFill="1" applyBorder="1" applyAlignment="1">
      <alignment horizontal="center" vertical="center" shrinkToFit="1"/>
    </xf>
    <xf numFmtId="0" fontId="1" fillId="4" borderId="11" xfId="0" applyFont="1" applyFill="1" applyBorder="1" applyAlignment="1">
      <alignment horizontal="center" vertical="center" shrinkToFit="1"/>
    </xf>
    <xf numFmtId="177" fontId="1" fillId="0" borderId="24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77" fontId="3" fillId="0" borderId="24" xfId="0" applyNumberFormat="1" applyFont="1" applyBorder="1" applyAlignment="1">
      <alignment horizontal="center" vertical="center"/>
    </xf>
    <xf numFmtId="177" fontId="3" fillId="0" borderId="26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shrinkToFit="1"/>
    </xf>
    <xf numFmtId="0" fontId="1" fillId="0" borderId="26" xfId="0" applyFont="1" applyBorder="1" applyAlignment="1">
      <alignment horizontal="center" vertical="center" shrinkToFit="1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 shrinkToFit="1"/>
    </xf>
    <xf numFmtId="0" fontId="1" fillId="0" borderId="17" xfId="0" applyFont="1" applyBorder="1" applyAlignment="1">
      <alignment horizontal="center" vertical="center" shrinkToFit="1"/>
    </xf>
    <xf numFmtId="0" fontId="1" fillId="0" borderId="18" xfId="0" applyFont="1" applyBorder="1" applyAlignment="1">
      <alignment horizontal="center" vertical="center" shrinkToFit="1"/>
    </xf>
    <xf numFmtId="0" fontId="1" fillId="0" borderId="31" xfId="0" applyFont="1" applyBorder="1" applyAlignment="1">
      <alignment horizontal="center" vertical="center" shrinkToFit="1"/>
    </xf>
    <xf numFmtId="0" fontId="1" fillId="0" borderId="32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shrinkToFit="1"/>
    </xf>
    <xf numFmtId="177" fontId="1" fillId="0" borderId="26" xfId="0" applyNumberFormat="1" applyFont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3" fillId="0" borderId="26" xfId="0" applyFont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21">
    <cellStyle name="쉼표 [0]" xfId="20" builtinId="6"/>
    <cellStyle name="쉼표 [0] 2" xfId="6" xr:uid="{00000000-0005-0000-0000-000006000000}"/>
    <cellStyle name="쉼표 [0] 3" xfId="7" xr:uid="{00000000-0005-0000-0000-000007000000}"/>
    <cellStyle name="통화 2" xfId="8" xr:uid="{00000000-0005-0000-0000-000008000000}"/>
    <cellStyle name="표준" xfId="0" builtinId="0"/>
    <cellStyle name="표준 2" xfId="9" xr:uid="{00000000-0005-0000-0000-00000A000000}"/>
    <cellStyle name="표준 2 2" xfId="10" xr:uid="{00000000-0005-0000-0000-00000B000000}"/>
    <cellStyle name="표준 25" xfId="11" xr:uid="{00000000-0005-0000-0000-00000C000000}"/>
    <cellStyle name="표준 26" xfId="12" xr:uid="{00000000-0005-0000-0000-00000D000000}"/>
    <cellStyle name="표준 27" xfId="13" xr:uid="{00000000-0005-0000-0000-00000E000000}"/>
    <cellStyle name="표준 3" xfId="14" xr:uid="{00000000-0005-0000-0000-00000F000000}"/>
    <cellStyle name="표준 3 2" xfId="15" xr:uid="{00000000-0005-0000-0000-000010000000}"/>
    <cellStyle name="표준 3 3" xfId="16" xr:uid="{00000000-0005-0000-0000-000011000000}"/>
    <cellStyle name="표준 4" xfId="17" xr:uid="{00000000-0005-0000-0000-000012000000}"/>
    <cellStyle name="표준 4 2" xfId="18" xr:uid="{00000000-0005-0000-0000-000013000000}"/>
    <cellStyle name="표준 7" xfId="19" xr:uid="{00000000-0005-0000-0000-000014000000}"/>
    <cellStyle name="Normal 2" xfId="1" xr:uid="{00000000-0005-0000-0000-000000000000}"/>
    <cellStyle name="Normal 3" xfId="2" xr:uid="{00000000-0005-0000-0000-000001000000}"/>
    <cellStyle name="Normal 3 2" xfId="3" xr:uid="{00000000-0005-0000-0000-000002000000}"/>
    <cellStyle name="Normal 4" xfId="4" xr:uid="{00000000-0005-0000-0000-000003000000}"/>
    <cellStyle name="Normal_Sheet1" xfId="5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733425</xdr:colOff>
      <xdr:row>5</xdr:row>
      <xdr:rowOff>173935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05650" cy="1031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P79"/>
  <sheetViews>
    <sheetView tabSelected="1" topLeftCell="A5" zoomScale="150" zoomScaleNormal="100" zoomScaleSheetLayoutView="130" workbookViewId="0">
      <selection activeCell="D48" sqref="D48"/>
    </sheetView>
  </sheetViews>
  <sheetFormatPr baseColWidth="10" defaultColWidth="8.83203125" defaultRowHeight="15"/>
  <cols>
    <col min="1" max="1" width="9.6640625" style="1" customWidth="1"/>
    <col min="2" max="2" width="5.83203125" style="1" customWidth="1"/>
    <col min="3" max="3" width="5.6640625" style="1" customWidth="1"/>
    <col min="4" max="4" width="17.5" style="2" customWidth="1"/>
    <col min="5" max="5" width="8.5" style="1" customWidth="1"/>
    <col min="6" max="6" width="7" style="1" customWidth="1"/>
    <col min="7" max="7" width="8.33203125" style="1" customWidth="1"/>
    <col min="8" max="8" width="12" style="1" customWidth="1"/>
    <col min="9" max="9" width="10.1640625" style="2" customWidth="1"/>
    <col min="10" max="10" width="2.5" style="1" customWidth="1"/>
    <col min="11" max="11" width="10.83203125" style="1" customWidth="1"/>
    <col min="12" max="12" width="11.5" style="1" customWidth="1"/>
    <col min="13" max="13" width="12.5" style="1" customWidth="1"/>
    <col min="14" max="14" width="10.83203125" style="1" customWidth="1"/>
    <col min="15" max="15" width="13.83203125" style="1" customWidth="1"/>
    <col min="16" max="16" width="15.1640625" style="1" customWidth="1"/>
    <col min="17" max="16384" width="8.83203125" style="1"/>
  </cols>
  <sheetData>
    <row r="6" spans="1:16" ht="15" customHeight="1" thickBot="1">
      <c r="K6" s="85" t="s">
        <v>0</v>
      </c>
      <c r="L6" s="85"/>
      <c r="M6" s="85"/>
      <c r="N6" s="85"/>
      <c r="O6" s="85"/>
      <c r="P6" s="85"/>
    </row>
    <row r="7" spans="1:16" ht="15" customHeight="1" thickTop="1" thickBot="1">
      <c r="A7" s="28" t="s">
        <v>1</v>
      </c>
      <c r="B7" s="44" t="s">
        <v>2</v>
      </c>
      <c r="C7" s="45"/>
      <c r="D7" s="46"/>
      <c r="E7" s="29" t="s">
        <v>3</v>
      </c>
      <c r="F7" s="47"/>
      <c r="G7" s="47"/>
      <c r="H7" s="47"/>
      <c r="I7" s="48"/>
      <c r="K7" s="85"/>
      <c r="L7" s="85"/>
      <c r="M7" s="85"/>
      <c r="N7" s="85"/>
      <c r="O7" s="85"/>
      <c r="P7" s="85"/>
    </row>
    <row r="8" spans="1:16" ht="15" customHeight="1" thickTop="1" thickBot="1">
      <c r="A8" s="42" t="s">
        <v>4</v>
      </c>
      <c r="B8" s="49">
        <v>151</v>
      </c>
      <c r="C8" s="50"/>
      <c r="D8" s="51"/>
      <c r="E8" s="30" t="s">
        <v>5</v>
      </c>
      <c r="F8" s="52"/>
      <c r="G8" s="45"/>
      <c r="H8" s="45"/>
      <c r="I8" s="53"/>
      <c r="K8" s="85"/>
      <c r="L8" s="85"/>
      <c r="M8" s="85"/>
      <c r="N8" s="85"/>
      <c r="O8" s="85"/>
      <c r="P8" s="85"/>
    </row>
    <row r="9" spans="1:16" ht="15" customHeight="1" thickTop="1">
      <c r="A9" s="54" t="s">
        <v>6</v>
      </c>
      <c r="B9" s="55"/>
      <c r="C9" s="55"/>
      <c r="D9" s="56"/>
      <c r="E9" s="31" t="s">
        <v>7</v>
      </c>
      <c r="F9" s="32" t="s">
        <v>8</v>
      </c>
      <c r="G9" s="32" t="s">
        <v>9</v>
      </c>
      <c r="H9" s="32" t="s">
        <v>10</v>
      </c>
      <c r="I9" s="33" t="s">
        <v>11</v>
      </c>
      <c r="K9" s="85"/>
      <c r="L9" s="85"/>
      <c r="M9" s="85"/>
      <c r="N9" s="85"/>
      <c r="O9" s="85"/>
      <c r="P9" s="85"/>
    </row>
    <row r="10" spans="1:16" ht="15" customHeight="1">
      <c r="A10" s="66" t="s">
        <v>12</v>
      </c>
      <c r="B10" s="69"/>
      <c r="C10" s="70"/>
      <c r="D10" s="3" t="s">
        <v>13</v>
      </c>
      <c r="E10" s="4">
        <v>80</v>
      </c>
      <c r="F10" s="5">
        <v>3</v>
      </c>
      <c r="G10" s="6">
        <v>76</v>
      </c>
      <c r="H10" s="7">
        <f t="shared" ref="H10:H16" si="0">E10*F10*G10</f>
        <v>18240</v>
      </c>
      <c r="I10" s="8"/>
      <c r="K10" s="85"/>
      <c r="L10" s="85"/>
      <c r="M10" s="85"/>
      <c r="N10" s="85"/>
      <c r="O10" s="85"/>
      <c r="P10" s="85"/>
    </row>
    <row r="11" spans="1:16" ht="15" customHeight="1">
      <c r="A11" s="67"/>
      <c r="B11" s="61"/>
      <c r="C11" s="62"/>
      <c r="D11" s="3"/>
      <c r="E11" s="4"/>
      <c r="F11" s="5"/>
      <c r="G11" s="6"/>
      <c r="H11" s="7">
        <f t="shared" si="0"/>
        <v>0</v>
      </c>
      <c r="I11" s="9"/>
      <c r="K11" s="85"/>
      <c r="L11" s="85"/>
      <c r="M11" s="85"/>
      <c r="N11" s="85"/>
      <c r="O11" s="85"/>
      <c r="P11" s="85"/>
    </row>
    <row r="12" spans="1:16" ht="15" hidden="1" customHeight="1">
      <c r="A12" s="67"/>
      <c r="B12" s="61"/>
      <c r="C12" s="62"/>
      <c r="D12" s="3"/>
      <c r="E12" s="4"/>
      <c r="F12" s="5"/>
      <c r="G12" s="6"/>
      <c r="H12" s="7">
        <f t="shared" si="0"/>
        <v>0</v>
      </c>
      <c r="I12" s="9"/>
      <c r="K12" s="85"/>
      <c r="L12" s="85"/>
      <c r="M12" s="85"/>
      <c r="N12" s="85"/>
      <c r="O12" s="85"/>
      <c r="P12" s="85"/>
    </row>
    <row r="13" spans="1:16" ht="15" hidden="1" customHeight="1">
      <c r="A13" s="67"/>
      <c r="B13" s="61"/>
      <c r="C13" s="62"/>
      <c r="D13" s="3"/>
      <c r="E13" s="4"/>
      <c r="F13" s="5"/>
      <c r="G13" s="6"/>
      <c r="H13" s="7">
        <f t="shared" si="0"/>
        <v>0</v>
      </c>
      <c r="I13" s="9"/>
      <c r="K13" s="85"/>
      <c r="L13" s="85"/>
      <c r="M13" s="85"/>
      <c r="N13" s="85"/>
      <c r="O13" s="85"/>
      <c r="P13" s="85"/>
    </row>
    <row r="14" spans="1:16" ht="15" hidden="1" customHeight="1">
      <c r="A14" s="67"/>
      <c r="B14" s="61"/>
      <c r="C14" s="62"/>
      <c r="D14" s="3"/>
      <c r="E14" s="4"/>
      <c r="F14" s="5"/>
      <c r="G14" s="6"/>
      <c r="H14" s="7">
        <f t="shared" si="0"/>
        <v>0</v>
      </c>
      <c r="I14" s="9"/>
      <c r="K14" s="85"/>
      <c r="L14" s="85"/>
      <c r="M14" s="85"/>
      <c r="N14" s="85"/>
      <c r="O14" s="85"/>
      <c r="P14" s="85"/>
    </row>
    <row r="15" spans="1:16" ht="15" hidden="1" customHeight="1">
      <c r="A15" s="67"/>
      <c r="B15" s="69"/>
      <c r="C15" s="70"/>
      <c r="D15" s="3"/>
      <c r="E15" s="4"/>
      <c r="F15" s="5"/>
      <c r="G15" s="6"/>
      <c r="H15" s="7">
        <f t="shared" si="0"/>
        <v>0</v>
      </c>
      <c r="I15" s="9"/>
      <c r="K15" s="85"/>
      <c r="L15" s="85"/>
      <c r="M15" s="85"/>
      <c r="N15" s="85"/>
      <c r="O15" s="85"/>
      <c r="P15" s="85"/>
    </row>
    <row r="16" spans="1:16" ht="15" hidden="1" customHeight="1">
      <c r="A16" s="68"/>
      <c r="B16" s="71"/>
      <c r="C16" s="71"/>
      <c r="D16" s="3"/>
      <c r="E16" s="4"/>
      <c r="F16" s="5"/>
      <c r="G16" s="6"/>
      <c r="H16" s="7">
        <f t="shared" si="0"/>
        <v>0</v>
      </c>
      <c r="I16" s="9"/>
      <c r="K16" s="85"/>
      <c r="L16" s="85"/>
      <c r="M16" s="85"/>
      <c r="N16" s="85"/>
      <c r="O16" s="85"/>
      <c r="P16" s="85"/>
    </row>
    <row r="17" spans="1:16" ht="15" customHeight="1">
      <c r="A17" s="63" t="s">
        <v>14</v>
      </c>
      <c r="B17" s="64"/>
      <c r="C17" s="64"/>
      <c r="D17" s="64"/>
      <c r="E17" s="64"/>
      <c r="F17" s="64"/>
      <c r="G17" s="65"/>
      <c r="H17" s="10">
        <f>SUM(H10:H16)</f>
        <v>18240</v>
      </c>
      <c r="I17" s="11"/>
      <c r="K17" s="85"/>
      <c r="L17" s="85"/>
      <c r="M17" s="85"/>
      <c r="N17" s="85"/>
      <c r="O17" s="85"/>
      <c r="P17" s="85"/>
    </row>
    <row r="18" spans="1:16" ht="15" customHeight="1">
      <c r="A18" s="76" t="s">
        <v>15</v>
      </c>
      <c r="B18" s="87" t="s">
        <v>16</v>
      </c>
      <c r="C18" s="88"/>
      <c r="D18" s="34" t="s">
        <v>17</v>
      </c>
      <c r="E18" s="35" t="s">
        <v>18</v>
      </c>
      <c r="F18" s="34" t="s">
        <v>19</v>
      </c>
      <c r="G18" s="34" t="s">
        <v>20</v>
      </c>
      <c r="H18" s="34" t="s">
        <v>21</v>
      </c>
      <c r="I18" s="36" t="s">
        <v>11</v>
      </c>
      <c r="K18" s="85"/>
      <c r="L18" s="85"/>
      <c r="M18" s="85"/>
      <c r="N18" s="85"/>
      <c r="O18" s="85"/>
      <c r="P18" s="85"/>
    </row>
    <row r="19" spans="1:16" ht="15" customHeight="1">
      <c r="A19" s="77"/>
      <c r="B19" s="89"/>
      <c r="C19" s="90"/>
      <c r="D19" s="3" t="s">
        <v>22</v>
      </c>
      <c r="E19" s="12">
        <v>680</v>
      </c>
      <c r="F19" s="5">
        <v>1</v>
      </c>
      <c r="G19" s="5">
        <v>4</v>
      </c>
      <c r="H19" s="13">
        <f>E19*F19*G19</f>
        <v>2720</v>
      </c>
      <c r="I19" s="14"/>
      <c r="K19" s="85"/>
      <c r="L19" s="85"/>
      <c r="M19" s="85"/>
      <c r="N19" s="85"/>
      <c r="O19" s="85"/>
      <c r="P19" s="85"/>
    </row>
    <row r="20" spans="1:16" ht="15" customHeight="1">
      <c r="A20" s="77"/>
      <c r="B20" s="91"/>
      <c r="C20" s="92"/>
      <c r="D20" s="3"/>
      <c r="E20" s="12"/>
      <c r="F20" s="5"/>
      <c r="G20" s="5"/>
      <c r="H20" s="13">
        <f t="shared" ref="H20:H22" si="1">E20*F20*G20</f>
        <v>0</v>
      </c>
      <c r="I20" s="14"/>
      <c r="K20" s="85"/>
      <c r="L20" s="85"/>
      <c r="M20" s="85"/>
      <c r="N20" s="85"/>
      <c r="O20" s="85"/>
      <c r="P20" s="85"/>
    </row>
    <row r="21" spans="1:16" ht="15" hidden="1" customHeight="1">
      <c r="A21" s="77"/>
      <c r="B21" s="91"/>
      <c r="C21" s="92"/>
      <c r="D21" s="3"/>
      <c r="E21" s="12"/>
      <c r="F21" s="5"/>
      <c r="G21" s="5"/>
      <c r="H21" s="13">
        <f t="shared" si="1"/>
        <v>0</v>
      </c>
      <c r="I21" s="14"/>
      <c r="K21" s="85"/>
      <c r="L21" s="85"/>
      <c r="M21" s="85"/>
      <c r="N21" s="85"/>
      <c r="O21" s="85"/>
      <c r="P21" s="85"/>
    </row>
    <row r="22" spans="1:16" ht="15" hidden="1" customHeight="1">
      <c r="A22" s="77"/>
      <c r="B22" s="93"/>
      <c r="C22" s="94"/>
      <c r="D22" s="3"/>
      <c r="E22" s="13"/>
      <c r="F22" s="5"/>
      <c r="G22" s="5"/>
      <c r="H22" s="13">
        <f t="shared" si="1"/>
        <v>0</v>
      </c>
      <c r="I22" s="14"/>
      <c r="K22" s="85"/>
      <c r="L22" s="85"/>
      <c r="M22" s="85"/>
      <c r="N22" s="85"/>
      <c r="O22" s="85"/>
      <c r="P22" s="85"/>
    </row>
    <row r="23" spans="1:16" ht="15" customHeight="1">
      <c r="A23" s="63" t="s">
        <v>14</v>
      </c>
      <c r="B23" s="64"/>
      <c r="C23" s="64"/>
      <c r="D23" s="64"/>
      <c r="E23" s="64"/>
      <c r="F23" s="64"/>
      <c r="G23" s="65"/>
      <c r="H23" s="38">
        <f>SUM(H19:H22)</f>
        <v>2720</v>
      </c>
      <c r="I23" s="39"/>
      <c r="K23" s="85"/>
      <c r="L23" s="85"/>
      <c r="M23" s="85"/>
      <c r="N23" s="85"/>
      <c r="O23" s="85"/>
      <c r="P23" s="85"/>
    </row>
    <row r="24" spans="1:16" ht="15" customHeight="1">
      <c r="A24" s="76" t="s">
        <v>23</v>
      </c>
      <c r="B24" s="72" t="s">
        <v>24</v>
      </c>
      <c r="C24" s="70"/>
      <c r="D24" s="16" t="s">
        <v>25</v>
      </c>
      <c r="E24" s="17">
        <v>200</v>
      </c>
      <c r="F24" s="18">
        <v>1</v>
      </c>
      <c r="G24" s="18">
        <v>4</v>
      </c>
      <c r="H24" s="19">
        <f>E24*F24*G24</f>
        <v>800</v>
      </c>
      <c r="I24" s="20"/>
      <c r="K24" s="85"/>
      <c r="L24" s="85"/>
      <c r="M24" s="85"/>
      <c r="N24" s="85"/>
      <c r="O24" s="85"/>
      <c r="P24" s="85"/>
    </row>
    <row r="25" spans="1:16" ht="15" customHeight="1">
      <c r="A25" s="77"/>
      <c r="B25" s="73"/>
      <c r="C25" s="74"/>
      <c r="D25" s="21" t="s">
        <v>26</v>
      </c>
      <c r="E25" s="17">
        <v>45</v>
      </c>
      <c r="F25" s="18">
        <v>4</v>
      </c>
      <c r="G25" s="18">
        <v>4</v>
      </c>
      <c r="H25" s="19">
        <f>E25*F25*G25</f>
        <v>720</v>
      </c>
      <c r="I25" s="20"/>
      <c r="K25" s="85"/>
      <c r="L25" s="85"/>
      <c r="M25" s="85"/>
      <c r="N25" s="85"/>
      <c r="O25" s="85"/>
      <c r="P25" s="85"/>
    </row>
    <row r="26" spans="1:16" ht="15" customHeight="1">
      <c r="A26" s="77"/>
      <c r="B26" s="72" t="s">
        <v>27</v>
      </c>
      <c r="C26" s="70"/>
      <c r="D26" s="3" t="s">
        <v>28</v>
      </c>
      <c r="E26" s="12"/>
      <c r="F26" s="5"/>
      <c r="G26" s="5"/>
      <c r="H26" s="19">
        <f>E26*F26*G26</f>
        <v>0</v>
      </c>
      <c r="I26" s="14"/>
      <c r="K26" s="85"/>
      <c r="L26" s="85"/>
      <c r="M26" s="85"/>
      <c r="N26" s="85"/>
      <c r="O26" s="85"/>
      <c r="P26" s="85"/>
    </row>
    <row r="27" spans="1:16" ht="15" customHeight="1">
      <c r="A27" s="63" t="s">
        <v>14</v>
      </c>
      <c r="B27" s="64"/>
      <c r="C27" s="64"/>
      <c r="D27" s="64"/>
      <c r="E27" s="64"/>
      <c r="F27" s="64"/>
      <c r="G27" s="65"/>
      <c r="H27" s="15">
        <f>SUM(H24:H26)</f>
        <v>1520</v>
      </c>
      <c r="I27" s="22"/>
      <c r="K27" s="85"/>
      <c r="L27" s="85"/>
      <c r="M27" s="85"/>
      <c r="N27" s="85"/>
      <c r="O27" s="85"/>
      <c r="P27" s="85"/>
    </row>
    <row r="28" spans="1:16" ht="15" hidden="1" customHeight="1">
      <c r="A28" s="76" t="s">
        <v>29</v>
      </c>
      <c r="B28" s="59" t="s">
        <v>30</v>
      </c>
      <c r="C28" s="86"/>
      <c r="D28" s="3"/>
      <c r="E28" s="23"/>
      <c r="F28" s="5">
        <v>1</v>
      </c>
      <c r="G28" s="5">
        <f t="shared" ref="G28:G30" si="2">$B$8</f>
        <v>151</v>
      </c>
      <c r="H28" s="13">
        <f t="shared" ref="H28:H40" si="3">E28*F28*G28</f>
        <v>0</v>
      </c>
      <c r="I28" s="24"/>
      <c r="K28" s="85"/>
      <c r="L28" s="85"/>
      <c r="M28" s="85"/>
      <c r="N28" s="85"/>
      <c r="O28" s="85"/>
      <c r="P28" s="85"/>
    </row>
    <row r="29" spans="1:16" ht="15" hidden="1" customHeight="1">
      <c r="A29" s="77"/>
      <c r="B29" s="57" t="s">
        <v>31</v>
      </c>
      <c r="C29" s="58"/>
      <c r="D29" s="3"/>
      <c r="E29" s="23"/>
      <c r="F29" s="5">
        <v>1</v>
      </c>
      <c r="G29" s="5">
        <f t="shared" si="2"/>
        <v>151</v>
      </c>
      <c r="H29" s="13">
        <f t="shared" si="3"/>
        <v>0</v>
      </c>
      <c r="I29" s="24"/>
      <c r="K29" s="85"/>
      <c r="L29" s="85"/>
      <c r="M29" s="85"/>
      <c r="N29" s="85"/>
      <c r="O29" s="85"/>
      <c r="P29" s="85"/>
    </row>
    <row r="30" spans="1:16" ht="15" hidden="1" customHeight="1">
      <c r="A30" s="77"/>
      <c r="B30" s="59" t="s">
        <v>32</v>
      </c>
      <c r="C30" s="86"/>
      <c r="D30" s="3"/>
      <c r="E30" s="23"/>
      <c r="F30" s="5">
        <v>1</v>
      </c>
      <c r="G30" s="5">
        <f t="shared" si="2"/>
        <v>151</v>
      </c>
      <c r="H30" s="13">
        <f t="shared" si="3"/>
        <v>0</v>
      </c>
      <c r="I30" s="24"/>
      <c r="K30" s="85"/>
      <c r="L30" s="85"/>
      <c r="M30" s="85"/>
      <c r="N30" s="85"/>
      <c r="O30" s="85"/>
      <c r="P30" s="85"/>
    </row>
    <row r="31" spans="1:16" ht="15" customHeight="1">
      <c r="A31" s="77"/>
      <c r="B31" s="57" t="s">
        <v>33</v>
      </c>
      <c r="C31" s="58"/>
      <c r="D31" s="3" t="s">
        <v>34</v>
      </c>
      <c r="E31" s="23">
        <v>12</v>
      </c>
      <c r="F31" s="5">
        <v>1</v>
      </c>
      <c r="G31" s="5">
        <f>$B$8</f>
        <v>151</v>
      </c>
      <c r="H31" s="13">
        <f t="shared" si="3"/>
        <v>1812</v>
      </c>
      <c r="I31" s="24"/>
      <c r="K31" s="85"/>
      <c r="L31" s="85"/>
      <c r="M31" s="85"/>
      <c r="N31" s="85"/>
      <c r="O31" s="85"/>
      <c r="P31" s="85"/>
    </row>
    <row r="32" spans="1:16" ht="15" customHeight="1">
      <c r="A32" s="77"/>
      <c r="B32" s="57" t="s">
        <v>35</v>
      </c>
      <c r="C32" s="58"/>
      <c r="D32" s="3" t="s">
        <v>36</v>
      </c>
      <c r="E32" s="23">
        <v>40</v>
      </c>
      <c r="F32" s="5">
        <v>1</v>
      </c>
      <c r="G32" s="5">
        <f t="shared" ref="G32:G40" si="4">$B$8</f>
        <v>151</v>
      </c>
      <c r="H32" s="13">
        <f t="shared" si="3"/>
        <v>6040</v>
      </c>
      <c r="I32" s="24"/>
      <c r="K32" s="85"/>
      <c r="L32" s="85"/>
      <c r="M32" s="85"/>
      <c r="N32" s="85"/>
      <c r="O32" s="85"/>
      <c r="P32" s="85"/>
    </row>
    <row r="33" spans="1:16" ht="15" customHeight="1">
      <c r="A33" s="77"/>
      <c r="B33" s="59" t="s">
        <v>37</v>
      </c>
      <c r="C33" s="60"/>
      <c r="D33" s="3" t="s">
        <v>38</v>
      </c>
      <c r="E33" s="23"/>
      <c r="F33" s="5">
        <v>1</v>
      </c>
      <c r="G33" s="5">
        <f t="shared" si="4"/>
        <v>151</v>
      </c>
      <c r="H33" s="13">
        <f t="shared" si="3"/>
        <v>0</v>
      </c>
      <c r="I33" s="24"/>
      <c r="K33" s="85"/>
      <c r="L33" s="85"/>
      <c r="M33" s="85"/>
      <c r="N33" s="85"/>
      <c r="O33" s="85"/>
      <c r="P33" s="85"/>
    </row>
    <row r="34" spans="1:16" ht="15" customHeight="1">
      <c r="A34" s="77"/>
      <c r="B34" s="59" t="s">
        <v>39</v>
      </c>
      <c r="C34" s="60"/>
      <c r="D34" s="3" t="s">
        <v>38</v>
      </c>
      <c r="E34" s="23"/>
      <c r="F34" s="5">
        <v>1</v>
      </c>
      <c r="G34" s="5">
        <f t="shared" si="4"/>
        <v>151</v>
      </c>
      <c r="H34" s="13">
        <f t="shared" si="3"/>
        <v>0</v>
      </c>
      <c r="I34" s="24"/>
      <c r="K34" s="85"/>
      <c r="L34" s="85"/>
      <c r="M34" s="85"/>
      <c r="N34" s="85"/>
      <c r="O34" s="85"/>
      <c r="P34" s="85"/>
    </row>
    <row r="35" spans="1:16" ht="15" customHeight="1">
      <c r="A35" s="77"/>
      <c r="B35" s="57" t="s">
        <v>40</v>
      </c>
      <c r="C35" s="75"/>
      <c r="D35" s="3" t="s">
        <v>34</v>
      </c>
      <c r="E35" s="23">
        <v>12</v>
      </c>
      <c r="F35" s="5">
        <v>1</v>
      </c>
      <c r="G35" s="5">
        <f t="shared" si="4"/>
        <v>151</v>
      </c>
      <c r="H35" s="13">
        <f t="shared" si="3"/>
        <v>1812</v>
      </c>
      <c r="I35" s="24"/>
      <c r="K35" s="85"/>
      <c r="L35" s="85"/>
      <c r="M35" s="85"/>
      <c r="N35" s="85"/>
      <c r="O35" s="85"/>
      <c r="P35" s="85"/>
    </row>
    <row r="36" spans="1:16" ht="15" customHeight="1">
      <c r="A36" s="77"/>
      <c r="B36" s="84" t="s">
        <v>41</v>
      </c>
      <c r="C36" s="58"/>
      <c r="D36" s="3" t="s">
        <v>42</v>
      </c>
      <c r="E36" s="23">
        <v>12</v>
      </c>
      <c r="F36" s="5">
        <v>1</v>
      </c>
      <c r="G36" s="5">
        <f t="shared" si="4"/>
        <v>151</v>
      </c>
      <c r="H36" s="13">
        <f t="shared" si="3"/>
        <v>1812</v>
      </c>
      <c r="I36" s="24"/>
      <c r="K36" s="85"/>
      <c r="L36" s="85"/>
      <c r="M36" s="85"/>
      <c r="N36" s="85"/>
      <c r="O36" s="85"/>
      <c r="P36" s="85"/>
    </row>
    <row r="37" spans="1:16" ht="15" hidden="1" customHeight="1">
      <c r="A37" s="77"/>
      <c r="B37" s="59" t="s">
        <v>43</v>
      </c>
      <c r="C37" s="60"/>
      <c r="D37" s="3"/>
      <c r="E37" s="23"/>
      <c r="F37" s="5">
        <v>1</v>
      </c>
      <c r="G37" s="5">
        <f t="shared" si="4"/>
        <v>151</v>
      </c>
      <c r="H37" s="13">
        <f t="shared" si="3"/>
        <v>0</v>
      </c>
      <c r="I37" s="24"/>
      <c r="K37" s="85"/>
      <c r="L37" s="85"/>
      <c r="M37" s="85"/>
      <c r="N37" s="85"/>
      <c r="O37" s="85"/>
      <c r="P37" s="85"/>
    </row>
    <row r="38" spans="1:16" ht="15" hidden="1" customHeight="1">
      <c r="A38" s="77"/>
      <c r="B38" s="59" t="s">
        <v>44</v>
      </c>
      <c r="C38" s="60"/>
      <c r="D38" s="3"/>
      <c r="E38" s="23"/>
      <c r="F38" s="5">
        <v>1</v>
      </c>
      <c r="G38" s="5">
        <f t="shared" si="4"/>
        <v>151</v>
      </c>
      <c r="H38" s="13">
        <f t="shared" si="3"/>
        <v>0</v>
      </c>
      <c r="I38" s="24"/>
      <c r="K38" s="85"/>
      <c r="L38" s="85"/>
      <c r="M38" s="85"/>
      <c r="N38" s="85"/>
      <c r="O38" s="85"/>
      <c r="P38" s="85"/>
    </row>
    <row r="39" spans="1:16" ht="15" hidden="1" customHeight="1">
      <c r="A39" s="77"/>
      <c r="B39" s="57" t="s">
        <v>45</v>
      </c>
      <c r="C39" s="75"/>
      <c r="D39" s="3"/>
      <c r="E39" s="23"/>
      <c r="F39" s="5">
        <v>1</v>
      </c>
      <c r="G39" s="5">
        <f t="shared" si="4"/>
        <v>151</v>
      </c>
      <c r="H39" s="13">
        <f t="shared" si="3"/>
        <v>0</v>
      </c>
      <c r="I39" s="24"/>
      <c r="K39" s="85"/>
      <c r="L39" s="85"/>
      <c r="M39" s="85"/>
      <c r="N39" s="85"/>
      <c r="O39" s="85"/>
      <c r="P39" s="85"/>
    </row>
    <row r="40" spans="1:16" ht="15" hidden="1" customHeight="1">
      <c r="A40" s="77"/>
      <c r="B40" s="84" t="s">
        <v>46</v>
      </c>
      <c r="C40" s="58"/>
      <c r="D40" s="3"/>
      <c r="E40" s="23"/>
      <c r="F40" s="5">
        <v>1</v>
      </c>
      <c r="G40" s="5">
        <f t="shared" si="4"/>
        <v>151</v>
      </c>
      <c r="H40" s="13">
        <f t="shared" si="3"/>
        <v>0</v>
      </c>
      <c r="I40" s="24"/>
      <c r="K40" s="85"/>
      <c r="L40" s="85"/>
      <c r="M40" s="85"/>
      <c r="N40" s="85"/>
      <c r="O40" s="85"/>
      <c r="P40" s="85"/>
    </row>
    <row r="41" spans="1:16" ht="15" customHeight="1">
      <c r="A41" s="63" t="s">
        <v>14</v>
      </c>
      <c r="B41" s="64"/>
      <c r="C41" s="64"/>
      <c r="D41" s="64"/>
      <c r="E41" s="64"/>
      <c r="F41" s="64"/>
      <c r="G41" s="65"/>
      <c r="H41" s="15">
        <f>SUM(H28:H40)</f>
        <v>11476</v>
      </c>
      <c r="I41" s="22"/>
      <c r="K41" s="85"/>
      <c r="L41" s="85"/>
      <c r="M41" s="85"/>
      <c r="N41" s="85"/>
      <c r="O41" s="85"/>
      <c r="P41" s="85"/>
    </row>
    <row r="42" spans="1:16" ht="15" customHeight="1">
      <c r="A42" s="76" t="s">
        <v>47</v>
      </c>
      <c r="B42" s="78" t="s">
        <v>48</v>
      </c>
      <c r="C42" s="79"/>
      <c r="D42" s="3" t="s">
        <v>49</v>
      </c>
      <c r="E42" s="25">
        <v>15</v>
      </c>
      <c r="F42" s="5">
        <v>1</v>
      </c>
      <c r="G42" s="5">
        <v>155</v>
      </c>
      <c r="H42" s="13">
        <f>E42*F42*G42</f>
        <v>2325</v>
      </c>
      <c r="I42" s="14"/>
      <c r="K42" s="85"/>
      <c r="L42" s="85"/>
      <c r="M42" s="85"/>
      <c r="N42" s="85"/>
      <c r="O42" s="85"/>
      <c r="P42" s="85"/>
    </row>
    <row r="43" spans="1:16" ht="15" customHeight="1">
      <c r="A43" s="77"/>
      <c r="B43" s="80"/>
      <c r="C43" s="81"/>
      <c r="D43" s="43" t="s">
        <v>50</v>
      </c>
      <c r="E43" s="25">
        <v>1300</v>
      </c>
      <c r="F43" s="5">
        <v>1</v>
      </c>
      <c r="G43" s="5">
        <v>1</v>
      </c>
      <c r="H43" s="13">
        <f t="shared" ref="H43:H55" si="5">E43*F43*G43</f>
        <v>1300</v>
      </c>
      <c r="I43" s="14"/>
      <c r="K43" s="85"/>
      <c r="L43" s="85"/>
      <c r="M43" s="85"/>
      <c r="N43" s="85"/>
      <c r="O43" s="85"/>
      <c r="P43" s="85"/>
    </row>
    <row r="44" spans="1:16" ht="15" customHeight="1">
      <c r="A44" s="77"/>
      <c r="B44" s="80"/>
      <c r="C44" s="81"/>
      <c r="D44" s="3"/>
      <c r="E44" s="25"/>
      <c r="F44" s="5"/>
      <c r="G44" s="5"/>
      <c r="H44" s="13">
        <f t="shared" si="5"/>
        <v>0</v>
      </c>
      <c r="I44" s="14"/>
      <c r="K44" s="85"/>
      <c r="L44" s="85"/>
      <c r="M44" s="85"/>
      <c r="N44" s="85"/>
      <c r="O44" s="85"/>
      <c r="P44" s="85"/>
    </row>
    <row r="45" spans="1:16" ht="15" customHeight="1">
      <c r="A45" s="77"/>
      <c r="B45" s="80"/>
      <c r="C45" s="81"/>
      <c r="D45" s="3"/>
      <c r="E45" s="25"/>
      <c r="F45" s="5"/>
      <c r="G45" s="5"/>
      <c r="H45" s="13">
        <f t="shared" si="5"/>
        <v>0</v>
      </c>
      <c r="I45" s="14"/>
      <c r="K45" s="85"/>
      <c r="L45" s="85"/>
      <c r="M45" s="85"/>
      <c r="N45" s="85"/>
      <c r="O45" s="85"/>
      <c r="P45" s="85"/>
    </row>
    <row r="46" spans="1:16" ht="15" customHeight="1">
      <c r="A46" s="77"/>
      <c r="B46" s="80"/>
      <c r="C46" s="81"/>
      <c r="D46" s="3"/>
      <c r="E46" s="25"/>
      <c r="F46" s="5"/>
      <c r="G46" s="5"/>
      <c r="H46" s="13">
        <f t="shared" si="5"/>
        <v>0</v>
      </c>
      <c r="I46" s="14"/>
      <c r="K46" s="85"/>
      <c r="L46" s="85"/>
      <c r="M46" s="85"/>
      <c r="N46" s="85"/>
      <c r="O46" s="85"/>
      <c r="P46" s="85"/>
    </row>
    <row r="47" spans="1:16" ht="15" customHeight="1">
      <c r="A47" s="77"/>
      <c r="B47" s="80"/>
      <c r="C47" s="81"/>
      <c r="D47" s="3"/>
      <c r="E47" s="25"/>
      <c r="F47" s="5"/>
      <c r="G47" s="5"/>
      <c r="H47" s="13">
        <f t="shared" si="5"/>
        <v>0</v>
      </c>
      <c r="I47" s="14"/>
      <c r="K47" s="85"/>
      <c r="L47" s="85"/>
      <c r="M47" s="85"/>
      <c r="N47" s="85"/>
      <c r="O47" s="85"/>
      <c r="P47" s="85"/>
    </row>
    <row r="48" spans="1:16" ht="15" customHeight="1">
      <c r="A48" s="77"/>
      <c r="B48" s="80"/>
      <c r="C48" s="81"/>
      <c r="D48" s="3"/>
      <c r="E48" s="25"/>
      <c r="F48" s="5"/>
      <c r="G48" s="5"/>
      <c r="H48" s="13">
        <f t="shared" si="5"/>
        <v>0</v>
      </c>
      <c r="I48" s="14"/>
      <c r="K48" s="85"/>
      <c r="L48" s="85"/>
      <c r="M48" s="85"/>
      <c r="N48" s="85"/>
      <c r="O48" s="85"/>
      <c r="P48" s="85"/>
    </row>
    <row r="49" spans="1:16" ht="15" customHeight="1">
      <c r="A49" s="77"/>
      <c r="B49" s="80"/>
      <c r="C49" s="81"/>
      <c r="D49" s="3"/>
      <c r="E49" s="25"/>
      <c r="F49" s="5"/>
      <c r="G49" s="5"/>
      <c r="H49" s="13">
        <f t="shared" si="5"/>
        <v>0</v>
      </c>
      <c r="I49" s="14"/>
      <c r="K49" s="85"/>
      <c r="L49" s="85"/>
      <c r="M49" s="85"/>
      <c r="N49" s="85"/>
      <c r="O49" s="85"/>
      <c r="P49" s="85"/>
    </row>
    <row r="50" spans="1:16" ht="15" hidden="1" customHeight="1">
      <c r="A50" s="77"/>
      <c r="B50" s="80"/>
      <c r="C50" s="81"/>
      <c r="D50" s="3"/>
      <c r="E50" s="25"/>
      <c r="F50" s="5"/>
      <c r="G50" s="5"/>
      <c r="H50" s="13">
        <f t="shared" si="5"/>
        <v>0</v>
      </c>
      <c r="I50" s="14"/>
      <c r="K50" s="85"/>
      <c r="L50" s="85"/>
      <c r="M50" s="85"/>
      <c r="N50" s="85"/>
      <c r="O50" s="85"/>
      <c r="P50" s="85"/>
    </row>
    <row r="51" spans="1:16" ht="15" hidden="1" customHeight="1">
      <c r="A51" s="77"/>
      <c r="B51" s="80"/>
      <c r="C51" s="81"/>
      <c r="D51" s="3"/>
      <c r="E51" s="25"/>
      <c r="F51" s="5"/>
      <c r="G51" s="5"/>
      <c r="H51" s="13">
        <f t="shared" si="5"/>
        <v>0</v>
      </c>
      <c r="I51" s="14"/>
      <c r="K51" s="85"/>
      <c r="L51" s="85"/>
      <c r="M51" s="85"/>
      <c r="N51" s="85"/>
      <c r="O51" s="85"/>
      <c r="P51" s="85"/>
    </row>
    <row r="52" spans="1:16" ht="15" hidden="1" customHeight="1">
      <c r="A52" s="77"/>
      <c r="B52" s="80"/>
      <c r="C52" s="81"/>
      <c r="D52" s="3"/>
      <c r="E52" s="25"/>
      <c r="F52" s="5"/>
      <c r="G52" s="5"/>
      <c r="H52" s="13">
        <f t="shared" si="5"/>
        <v>0</v>
      </c>
      <c r="I52" s="14"/>
      <c r="K52" s="85"/>
      <c r="L52" s="85"/>
      <c r="M52" s="85"/>
      <c r="N52" s="85"/>
      <c r="O52" s="85"/>
      <c r="P52" s="85"/>
    </row>
    <row r="53" spans="1:16" ht="15" hidden="1" customHeight="1">
      <c r="A53" s="77"/>
      <c r="B53" s="80"/>
      <c r="C53" s="81"/>
      <c r="D53" s="3"/>
      <c r="E53" s="25"/>
      <c r="F53" s="5"/>
      <c r="G53" s="5"/>
      <c r="H53" s="13">
        <f t="shared" si="5"/>
        <v>0</v>
      </c>
      <c r="I53" s="14"/>
      <c r="K53" s="85"/>
      <c r="L53" s="85"/>
      <c r="M53" s="85"/>
      <c r="N53" s="85"/>
      <c r="O53" s="85"/>
      <c r="P53" s="85"/>
    </row>
    <row r="54" spans="1:16" ht="15" hidden="1" customHeight="1">
      <c r="A54" s="77"/>
      <c r="B54" s="80"/>
      <c r="C54" s="81"/>
      <c r="D54" s="3"/>
      <c r="E54" s="25"/>
      <c r="F54" s="5"/>
      <c r="G54" s="5"/>
      <c r="H54" s="13">
        <f t="shared" si="5"/>
        <v>0</v>
      </c>
      <c r="I54" s="14"/>
      <c r="K54" s="85"/>
      <c r="L54" s="85"/>
      <c r="M54" s="85"/>
      <c r="N54" s="85"/>
      <c r="O54" s="85"/>
      <c r="P54" s="85"/>
    </row>
    <row r="55" spans="1:16" ht="15" hidden="1" customHeight="1">
      <c r="A55" s="77"/>
      <c r="B55" s="80"/>
      <c r="C55" s="81"/>
      <c r="D55" s="3"/>
      <c r="E55" s="25"/>
      <c r="F55" s="5"/>
      <c r="G55" s="5"/>
      <c r="H55" s="13">
        <f t="shared" si="5"/>
        <v>0</v>
      </c>
      <c r="I55" s="14"/>
      <c r="K55" s="85"/>
      <c r="L55" s="85"/>
      <c r="M55" s="85"/>
      <c r="N55" s="85"/>
      <c r="O55" s="85"/>
      <c r="P55" s="85"/>
    </row>
    <row r="56" spans="1:16" ht="15" customHeight="1">
      <c r="A56" s="77"/>
      <c r="B56" s="78" t="s">
        <v>51</v>
      </c>
      <c r="C56" s="79"/>
      <c r="D56" s="3" t="s">
        <v>52</v>
      </c>
      <c r="E56" s="41">
        <v>10</v>
      </c>
      <c r="F56" s="5">
        <v>1</v>
      </c>
      <c r="G56" s="5">
        <v>150</v>
      </c>
      <c r="H56" s="13">
        <f t="shared" ref="H56" si="6">E56*F56*G56</f>
        <v>1500</v>
      </c>
      <c r="I56" s="14"/>
      <c r="K56" s="85"/>
      <c r="L56" s="85"/>
      <c r="M56" s="85"/>
      <c r="N56" s="85"/>
      <c r="O56" s="85"/>
      <c r="P56" s="85"/>
    </row>
    <row r="57" spans="1:16" ht="15" customHeight="1">
      <c r="A57" s="77"/>
      <c r="B57" s="82"/>
      <c r="C57" s="83"/>
      <c r="D57" s="3" t="s">
        <v>53</v>
      </c>
      <c r="E57" s="40"/>
      <c r="F57" s="5"/>
      <c r="G57" s="5"/>
      <c r="H57" s="13">
        <f>E57*F57*G57</f>
        <v>0</v>
      </c>
      <c r="I57" s="14"/>
      <c r="K57" s="85"/>
      <c r="L57" s="85"/>
      <c r="M57" s="85"/>
      <c r="N57" s="85"/>
      <c r="O57" s="85"/>
      <c r="P57" s="85"/>
    </row>
    <row r="58" spans="1:16" ht="15" customHeight="1">
      <c r="A58" s="63" t="s">
        <v>14</v>
      </c>
      <c r="B58" s="64"/>
      <c r="C58" s="64"/>
      <c r="D58" s="64"/>
      <c r="E58" s="64"/>
      <c r="F58" s="64"/>
      <c r="G58" s="65"/>
      <c r="H58" s="15">
        <f>SUM(H42:H57)</f>
        <v>5125</v>
      </c>
      <c r="I58" s="22"/>
      <c r="K58" s="85"/>
      <c r="L58" s="85"/>
      <c r="M58" s="85"/>
      <c r="N58" s="85"/>
      <c r="O58" s="85"/>
      <c r="P58" s="85"/>
    </row>
    <row r="59" spans="1:16" ht="15" customHeight="1">
      <c r="A59" s="63" t="s">
        <v>54</v>
      </c>
      <c r="B59" s="64"/>
      <c r="C59" s="64"/>
      <c r="D59" s="64"/>
      <c r="E59" s="64"/>
      <c r="F59" s="64"/>
      <c r="G59" s="65"/>
      <c r="H59" s="15">
        <f>H17+H23+H27+H41+H58</f>
        <v>39081</v>
      </c>
      <c r="I59" s="22"/>
    </row>
    <row r="60" spans="1:16" ht="15" customHeight="1">
      <c r="A60" s="63" t="s">
        <v>55</v>
      </c>
      <c r="B60" s="64"/>
      <c r="C60" s="64"/>
      <c r="D60" s="64"/>
      <c r="E60" s="64"/>
      <c r="F60" s="64"/>
      <c r="G60" s="65"/>
      <c r="H60" s="26">
        <f>H59/150</f>
        <v>260.54000000000002</v>
      </c>
      <c r="I60" s="27">
        <f>ROUNDUP(H60*1470,-3)</f>
        <v>383000</v>
      </c>
    </row>
    <row r="61" spans="1:16" ht="15" customHeight="1">
      <c r="H61" s="2"/>
      <c r="I61" s="37">
        <v>380000</v>
      </c>
    </row>
    <row r="62" spans="1:16" ht="15" customHeight="1">
      <c r="H62" s="2"/>
      <c r="I62" s="37"/>
    </row>
    <row r="63" spans="1:16" ht="15" customHeight="1">
      <c r="H63" s="2"/>
    </row>
    <row r="64" spans="1:16" ht="15" customHeight="1">
      <c r="H64" s="2"/>
    </row>
    <row r="65" spans="8:8" ht="15" customHeight="1">
      <c r="H65" s="2"/>
    </row>
    <row r="66" spans="8:8" ht="15" customHeight="1">
      <c r="H66" s="2"/>
    </row>
    <row r="67" spans="8:8" ht="15" customHeight="1">
      <c r="H67" s="2"/>
    </row>
    <row r="68" spans="8:8" ht="15" customHeight="1">
      <c r="H68" s="2"/>
    </row>
    <row r="69" spans="8:8" ht="15" customHeight="1">
      <c r="H69" s="2"/>
    </row>
    <row r="70" spans="8:8" ht="15" customHeight="1">
      <c r="H70" s="2"/>
    </row>
    <row r="71" spans="8:8" ht="15" customHeight="1">
      <c r="H71" s="2"/>
    </row>
    <row r="72" spans="8:8" ht="15" customHeight="1">
      <c r="H72" s="2"/>
    </row>
    <row r="73" spans="8:8" ht="15" customHeight="1">
      <c r="H73" s="2"/>
    </row>
    <row r="74" spans="8:8" ht="20" customHeight="1">
      <c r="H74" s="2"/>
    </row>
    <row r="75" spans="8:8" ht="20" customHeight="1">
      <c r="H75" s="2"/>
    </row>
    <row r="76" spans="8:8" ht="20" customHeight="1">
      <c r="H76" s="2"/>
    </row>
    <row r="77" spans="8:8">
      <c r="H77" s="2"/>
    </row>
    <row r="78" spans="8:8">
      <c r="H78" s="2"/>
    </row>
    <row r="79" spans="8:8">
      <c r="H79" s="2"/>
    </row>
  </sheetData>
  <mergeCells count="44">
    <mergeCell ref="K6:P58"/>
    <mergeCell ref="B12:C12"/>
    <mergeCell ref="A27:G27"/>
    <mergeCell ref="A28:A40"/>
    <mergeCell ref="B28:C28"/>
    <mergeCell ref="B30:C30"/>
    <mergeCell ref="A18:A22"/>
    <mergeCell ref="B18:C18"/>
    <mergeCell ref="B19:C22"/>
    <mergeCell ref="A23:G23"/>
    <mergeCell ref="A24:A26"/>
    <mergeCell ref="B35:C35"/>
    <mergeCell ref="B36:C36"/>
    <mergeCell ref="B37:C37"/>
    <mergeCell ref="B38:C38"/>
    <mergeCell ref="B34:C34"/>
    <mergeCell ref="B39:C39"/>
    <mergeCell ref="A59:G59"/>
    <mergeCell ref="A60:G60"/>
    <mergeCell ref="A41:G41"/>
    <mergeCell ref="A42:A57"/>
    <mergeCell ref="B42:C55"/>
    <mergeCell ref="B56:C57"/>
    <mergeCell ref="A58:G58"/>
    <mergeCell ref="B40:C40"/>
    <mergeCell ref="B31:C31"/>
    <mergeCell ref="B29:C29"/>
    <mergeCell ref="B32:C32"/>
    <mergeCell ref="B33:C33"/>
    <mergeCell ref="B13:C13"/>
    <mergeCell ref="A17:G17"/>
    <mergeCell ref="A10:A16"/>
    <mergeCell ref="B10:C10"/>
    <mergeCell ref="B15:C15"/>
    <mergeCell ref="B16:C16"/>
    <mergeCell ref="B11:C11"/>
    <mergeCell ref="B14:C14"/>
    <mergeCell ref="B24:C25"/>
    <mergeCell ref="B26:C26"/>
    <mergeCell ref="B7:D7"/>
    <mergeCell ref="F7:I7"/>
    <mergeCell ref="B8:D8"/>
    <mergeCell ref="F8:I8"/>
    <mergeCell ref="A9:D9"/>
  </mergeCells>
  <phoneticPr fontId="2" type="noConversion"/>
  <pageMargins left="0.39370078740157483" right="0.39370078740157483" top="0.18" bottom="0.28999999999999998" header="0" footer="0"/>
  <pageSetup paperSize="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faa79-66ff-44b0-a8fa-693fbc31733b" xsi:nil="true"/>
    <lcf76f155ced4ddcb4097134ff3c332f xmlns="4b262e48-7f8a-4a7e-8936-03b28e3a5c6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EDB2F91F2148241A9EAD4C277656386" ma:contentTypeVersion="15" ma:contentTypeDescription="새 문서를 만듭니다." ma:contentTypeScope="" ma:versionID="f0368d7aa5c379118ccf3ad3ec09514f">
  <xsd:schema xmlns:xsd="http://www.w3.org/2001/XMLSchema" xmlns:xs="http://www.w3.org/2001/XMLSchema" xmlns:p="http://schemas.microsoft.com/office/2006/metadata/properties" xmlns:ns2="4b262e48-7f8a-4a7e-8936-03b28e3a5c6c" xmlns:ns3="ec6faa79-66ff-44b0-a8fa-693fbc31733b" targetNamespace="http://schemas.microsoft.com/office/2006/metadata/properties" ma:root="true" ma:fieldsID="74a4220ef9bf643084cc9a3ccd1bd0df" ns2:_="" ns3:_="">
    <xsd:import namespace="4b262e48-7f8a-4a7e-8936-03b28e3a5c6c"/>
    <xsd:import namespace="ec6faa79-66ff-44b0-a8fa-693fbc3173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e48-7f8a-4a7e-8936-03b28e3a5c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fed8afb7-d9d1-4bb5-b4a8-fc35c2faa9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faa79-66ff-44b0-a8fa-693fbc31733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a345fee-c17d-4285-8e89-9f1979c23017}" ma:internalName="TaxCatchAll" ma:showField="CatchAllData" ma:web="ec6faa79-66ff-44b0-a8fa-693fbc3173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141C71-9791-439C-80B6-1F8E74F471CE}">
  <ds:schemaRefs>
    <ds:schemaRef ds:uri="http://purl.org/dc/elements/1.1/"/>
    <ds:schemaRef ds:uri="ec6faa79-66ff-44b0-a8fa-693fbc31733b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documentManagement/types"/>
    <ds:schemaRef ds:uri="4b262e48-7f8a-4a7e-8936-03b28e3a5c6c"/>
  </ds:schemaRefs>
</ds:datastoreItem>
</file>

<file path=customXml/itemProps2.xml><?xml version="1.0" encoding="utf-8"?>
<ds:datastoreItem xmlns:ds="http://schemas.openxmlformats.org/officeDocument/2006/customXml" ds:itemID="{79166A8E-CA89-4A4F-899F-008D9D7E32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62e48-7f8a-4a7e-8936-03b28e3a5c6c"/>
    <ds:schemaRef ds:uri="ec6faa79-66ff-44b0-a8fa-693fbc3173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BB703D-3573-47B6-89AD-1FE3ADEA5D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기본서식</vt:lpstr>
      <vt:lpstr>기본서식!Print_Area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lg</dc:creator>
  <cp:keywords/>
  <dc:description/>
  <cp:lastModifiedBy>김윤정C</cp:lastModifiedBy>
  <cp:revision/>
  <dcterms:created xsi:type="dcterms:W3CDTF">2017-09-16T09:27:12Z</dcterms:created>
  <dcterms:modified xsi:type="dcterms:W3CDTF">2025-12-09T00:08:26Z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0x0101005EDB2F91F2148241A9EAD4C277656386</vt:lpwstr>
  </property>
  <property fmtid="{D5CDD505-2E9C-101B-9397-08002B2CF9AE}" pid="3" name="MediaServiceImageTags">
    <vt:lpwstr/>
  </property>
</Properties>
</file>