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현재_통합_문서"/>
  <mc:AlternateContent xmlns:mc="http://schemas.openxmlformats.org/markup-compatibility/2006">
    <mc:Choice Requires="x15">
      <x15ac:absPath xmlns:x15ac="http://schemas.microsoft.com/office/spreadsheetml/2010/11/ac" url="/Users/yoon/Desktop/tour-editor/tests/fixtures/itinerary-golden/"/>
    </mc:Choice>
  </mc:AlternateContent>
  <xr:revisionPtr revIDLastSave="0" documentId="8_{E820566A-EED0-9641-81A7-62A6C0154798}" xr6:coauthVersionLast="47" xr6:coauthVersionMax="47" xr10:uidLastSave="{00000000-0000-0000-0000-000000000000}"/>
  <bookViews>
    <workbookView xWindow="32760" yWindow="10700" windowWidth="27160" windowHeight="32500" activeTab="2" xr2:uid="{1D1D5423-52E2-C04F-AE9E-CC1E8B0DDFB3}"/>
  </bookViews>
  <sheets>
    <sheet name="우즈베키스탄6일 (일정)" sheetId="6" r:id="rId1"/>
    <sheet name="우즈베키스탄6일 (견적)" sheetId="7" r:id="rId2"/>
    <sheet name="카자흐스탄6일 (일정)" sheetId="9" r:id="rId3"/>
    <sheet name="카자흐스탄6일 (견적)" sheetId="10" r:id="rId4"/>
  </sheets>
  <definedNames>
    <definedName name="_xlnm.Print_Area" localSheetId="1">'우즈베키스탄6일 (견적)'!$A$1:$K$37</definedName>
    <definedName name="_xlnm.Print_Area" localSheetId="0">'우즈베키스탄6일 (일정)'!$A$1:$H$50</definedName>
    <definedName name="_xlnm.Print_Area" localSheetId="3">'카자흐스탄6일 (견적)'!$A$1:$J$35</definedName>
    <definedName name="_xlnm.Print_Titles" localSheetId="0">'우즈베키스탄6일 (일정)'!$1:$2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0" l="1"/>
  <c r="A8" i="9"/>
  <c r="A9" i="9"/>
  <c r="A14" i="9"/>
  <c r="A15" i="9"/>
  <c r="A22" i="9"/>
  <c r="A23" i="9"/>
  <c r="A31" i="9"/>
  <c r="A32" i="9"/>
  <c r="A37" i="9"/>
  <c r="A38" i="9"/>
  <c r="C5" i="7"/>
  <c r="A8" i="6"/>
  <c r="A9" i="6"/>
  <c r="A17" i="6"/>
  <c r="A18" i="6"/>
  <c r="A26" i="6"/>
  <c r="A27" i="6"/>
  <c r="A37" i="6"/>
  <c r="A38" i="6"/>
  <c r="A46" i="6"/>
  <c r="A47" i="6"/>
</calcChain>
</file>

<file path=xl/sharedStrings.xml><?xml version="1.0" encoding="utf-8"?>
<sst xmlns="http://schemas.openxmlformats.org/spreadsheetml/2006/main" count="263" uniqueCount="149">
  <si>
    <t xml:space="preserve">일                                      정 </t>
    <phoneticPr fontId="3" type="noConversion"/>
  </si>
  <si>
    <t>석:</t>
    <phoneticPr fontId="3" type="noConversion"/>
  </si>
  <si>
    <t>조:</t>
    <phoneticPr fontId="3" type="noConversion"/>
  </si>
  <si>
    <t>중:</t>
    <phoneticPr fontId="3" type="noConversion"/>
  </si>
  <si>
    <t>중:</t>
    <phoneticPr fontId="3" type="noConversion"/>
  </si>
  <si>
    <t>석:</t>
    <phoneticPr fontId="3" type="noConversion"/>
  </si>
  <si>
    <t>조:</t>
    <phoneticPr fontId="3" type="noConversion"/>
  </si>
  <si>
    <t>중:</t>
    <phoneticPr fontId="3" type="noConversion"/>
  </si>
  <si>
    <t>감사합니다.</t>
    <phoneticPr fontId="2" type="noConversion"/>
  </si>
  <si>
    <t>♣ 상기 일정은 항공 및 현지 사정에의해 변경될 수 있습니다. ♣</t>
    <phoneticPr fontId="3" type="noConversion"/>
  </si>
  <si>
    <t>견  적  서</t>
    <phoneticPr fontId="3" type="noConversion"/>
  </si>
  <si>
    <t>ATTN</t>
    <phoneticPr fontId="3" type="noConversion"/>
  </si>
  <si>
    <t>:</t>
    <phoneticPr fontId="2" type="noConversion"/>
  </si>
  <si>
    <t>FROM</t>
    <phoneticPr fontId="3" type="noConversion"/>
  </si>
  <si>
    <t>/ 투어랩</t>
    <phoneticPr fontId="2" type="noConversion"/>
  </si>
  <si>
    <t>DATE</t>
    <phoneticPr fontId="3" type="noConversion"/>
  </si>
  <si>
    <t>*** REF</t>
    <phoneticPr fontId="3" type="noConversion"/>
  </si>
  <si>
    <t>:</t>
    <phoneticPr fontId="2" type="noConversion"/>
  </si>
  <si>
    <t xml:space="preserve"> 귀사의 일익 번창하심을 기원합니다.</t>
    <phoneticPr fontId="3" type="noConversion"/>
  </si>
  <si>
    <t xml:space="preserve"> 문의에 감사드리며, 요청하신 상기 단체의 견적을 다음과 같이 정리하여 보내드리오니 확인 부탁드립니다. </t>
    <phoneticPr fontId="3" type="noConversion"/>
  </si>
  <si>
    <t xml:space="preserve"> 앞으로도 많은 관심과 성원 부탁드립니다.</t>
    <phoneticPr fontId="3" type="noConversion"/>
  </si>
  <si>
    <t>* 여행 조건</t>
    <phoneticPr fontId="3" type="noConversion"/>
  </si>
  <si>
    <t xml:space="preserve"> (NON  Fair Rate)</t>
    <phoneticPr fontId="3" type="noConversion"/>
  </si>
  <si>
    <t>03. 포함 사항</t>
    <phoneticPr fontId="3" type="noConversion"/>
  </si>
  <si>
    <t>04. 불포함 사항</t>
    <phoneticPr fontId="3" type="noConversion"/>
  </si>
  <si>
    <t>05. REMARKS</t>
    <phoneticPr fontId="3" type="noConversion"/>
  </si>
  <si>
    <t xml:space="preserve">  ② 출발일 및 인원수 변동으로 인한 투어피 증감 될 수 있습니다.</t>
    <phoneticPr fontId="2" type="noConversion"/>
  </si>
  <si>
    <t xml:space="preserve">인천 </t>
    <phoneticPr fontId="4" type="noConversion"/>
  </si>
  <si>
    <t>인천 도착</t>
    <phoneticPr fontId="4" type="noConversion"/>
  </si>
  <si>
    <t>현지식</t>
    <phoneticPr fontId="4" type="noConversion"/>
  </si>
  <si>
    <t>호텔식</t>
    <phoneticPr fontId="4" type="noConversion"/>
  </si>
  <si>
    <t xml:space="preserve">  ① 전일정 항공료</t>
    <phoneticPr fontId="3" type="noConversion"/>
  </si>
  <si>
    <t xml:space="preserve">  ② 기타 개인비용</t>
    <phoneticPr fontId="2" type="noConversion"/>
  </si>
  <si>
    <t xml:space="preserve">  ① 예약시점에 따라 요금 요금 인상될 수 있으며, </t>
    <phoneticPr fontId="2" type="noConversion"/>
  </si>
  <si>
    <t xml:space="preserve">       박람회나 대규모 축제 등의 기간에는 호텔 먼 외곽이나 타 도시로 진행될 수 있으며, 요금 인상될 수 있습니다.</t>
    <phoneticPr fontId="2" type="noConversion"/>
  </si>
  <si>
    <t>02.캠프&amp;HOTEL wz  Breakfast.</t>
    <phoneticPr fontId="2" type="noConversion"/>
  </si>
  <si>
    <t>우즈베키스탄  6일 OZ</t>
    <phoneticPr fontId="2" type="noConversion"/>
  </si>
  <si>
    <t xml:space="preserve">  ③ 전일정 가이드(한국어 가능 현지 가이드)</t>
    <phoneticPr fontId="3" type="noConversion"/>
  </si>
  <si>
    <t>OZ0573</t>
    <phoneticPr fontId="4" type="noConversion"/>
  </si>
  <si>
    <t>인천 출발</t>
    <phoneticPr fontId="4" type="noConversion"/>
  </si>
  <si>
    <t>타슈켄트 도착</t>
    <phoneticPr fontId="4" type="noConversion"/>
  </si>
  <si>
    <t>가이드 미팅 후 호텔 이동</t>
    <phoneticPr fontId="4" type="noConversion"/>
  </si>
  <si>
    <t>호텔투숙</t>
    <phoneticPr fontId="4" type="noConversion"/>
  </si>
  <si>
    <t>타슈켄트</t>
    <phoneticPr fontId="4" type="noConversion"/>
  </si>
  <si>
    <t>우즈베키스탄 6일 - 일정표</t>
    <phoneticPr fontId="4" type="noConversion"/>
  </si>
  <si>
    <t>사마르칸트</t>
    <phoneticPr fontId="4" type="noConversion"/>
  </si>
  <si>
    <t>아프로시압</t>
    <phoneticPr fontId="4" type="noConversion"/>
  </si>
  <si>
    <t>타슈켄트 출발</t>
    <phoneticPr fontId="4" type="noConversion"/>
  </si>
  <si>
    <t>호텔 투숙</t>
    <phoneticPr fontId="4" type="noConversion"/>
  </si>
  <si>
    <t>호텔 조식 후</t>
    <phoneticPr fontId="4" type="noConversion"/>
  </si>
  <si>
    <t>사마르칸트 도착</t>
    <phoneticPr fontId="4" type="noConversion"/>
  </si>
  <si>
    <t>사마르칸트 출발</t>
    <phoneticPr fontId="4" type="noConversion"/>
  </si>
  <si>
    <t>석식 후 호텔 투숙</t>
    <phoneticPr fontId="4" type="noConversion"/>
  </si>
  <si>
    <t>타슈켄트에서 유명한 화이트 모스크 미노르 모스크</t>
    <phoneticPr fontId="4" type="noConversion"/>
  </si>
  <si>
    <t>구시가지에 위치한 타슈켄트 종교 중심지 하자티 이맘 광장</t>
    <phoneticPr fontId="4" type="noConversion"/>
  </si>
  <si>
    <t>우즈베키스탄 전통시장 초르수 바자르</t>
    <phoneticPr fontId="4" type="noConversion"/>
  </si>
  <si>
    <t>타슈켄트 최고의 번화가 브로드 웨이</t>
    <phoneticPr fontId="4" type="noConversion"/>
  </si>
  <si>
    <t>세계정복을 꿈꿨던 아무르 티무르의 동상이 있는 아무르 티무르 과장</t>
    <phoneticPr fontId="4" type="noConversion"/>
  </si>
  <si>
    <t>석식 후 공항 이동</t>
    <phoneticPr fontId="4" type="noConversion"/>
  </si>
  <si>
    <t>OZ0574</t>
    <phoneticPr fontId="4" type="noConversion"/>
  </si>
  <si>
    <t>한   식</t>
    <phoneticPr fontId="4" type="noConversion"/>
  </si>
  <si>
    <t xml:space="preserve">1인  기준 TOUR FEE </t>
    <phoneticPr fontId="2" type="noConversion"/>
  </si>
  <si>
    <t>SGL SUPP</t>
    <phoneticPr fontId="2" type="noConversion"/>
  </si>
  <si>
    <t>남 용현 드림</t>
    <phoneticPr fontId="2" type="noConversion"/>
  </si>
  <si>
    <t>01. 전체 여정 : 현지 4 NTS 6DAYS</t>
    <phoneticPr fontId="3" type="noConversion"/>
  </si>
  <si>
    <t xml:space="preserve">  ② 전일정 일반 그룹식사</t>
    <phoneticPr fontId="2" type="noConversion"/>
  </si>
  <si>
    <t xml:space="preserve"> 숙 소 : 기내박</t>
    <phoneticPr fontId="4" type="noConversion"/>
  </si>
  <si>
    <t xml:space="preserve">가이드 미팅  </t>
    <phoneticPr fontId="4" type="noConversion"/>
  </si>
  <si>
    <t>석식 및 호텔 투숙</t>
    <phoneticPr fontId="4" type="noConversion"/>
  </si>
  <si>
    <t xml:space="preserve">오전 자유일정 </t>
    <phoneticPr fontId="4" type="noConversion"/>
  </si>
  <si>
    <t>이른 중식 후 기차역 이동</t>
    <phoneticPr fontId="4" type="noConversion"/>
  </si>
  <si>
    <t xml:space="preserve">석식 후 </t>
    <phoneticPr fontId="4" type="noConversion"/>
  </si>
  <si>
    <t>레스스탄 광장 야경투어</t>
    <phoneticPr fontId="4" type="noConversion"/>
  </si>
  <si>
    <t>15세기 초에 1년이 365일임을 계산해냈던 울르그백 천문대(외관),</t>
    <phoneticPr fontId="26" type="noConversion"/>
  </si>
  <si>
    <r>
      <t xml:space="preserve">사마르칸트의 과거 영화롭던 흔적을 볼 수 있는 </t>
    </r>
    <r>
      <rPr>
        <b/>
        <sz val="10"/>
        <color indexed="12"/>
        <rFont val="함초롬돋움"/>
        <family val="3"/>
        <charset val="129"/>
      </rPr>
      <t>아프로시압 박물관</t>
    </r>
    <r>
      <rPr>
        <sz val="10"/>
        <color indexed="8"/>
        <rFont val="함초롬돋움"/>
        <family val="3"/>
        <charset val="129"/>
      </rPr>
      <t xml:space="preserve"> 등 관광</t>
    </r>
    <phoneticPr fontId="26" type="noConversion"/>
  </si>
  <si>
    <t>&lt;울루그백 마드라사, 티라카리 마드라사, 셰르다르 마드라사&gt;</t>
    <phoneticPr fontId="4" type="noConversion"/>
  </si>
  <si>
    <r>
      <t xml:space="preserve">오늘날  가장 뛰어난 동양건축물의 집결체 </t>
    </r>
    <r>
      <rPr>
        <b/>
        <sz val="10"/>
        <color indexed="12"/>
        <rFont val="함초롬돋움"/>
        <family val="3"/>
        <charset val="129"/>
      </rPr>
      <t>레기스탄 광장</t>
    </r>
    <phoneticPr fontId="26" type="noConversion"/>
  </si>
  <si>
    <t>기차역 이동</t>
    <phoneticPr fontId="4" type="noConversion"/>
  </si>
  <si>
    <r>
      <t>침감산으로 이동(</t>
    </r>
    <r>
      <rPr>
        <b/>
        <sz val="10"/>
        <color indexed="12"/>
        <rFont val="함초롬돋움"/>
        <family val="3"/>
        <charset val="129"/>
      </rPr>
      <t>아미르소이 케이블카 탑승</t>
    </r>
    <r>
      <rPr>
        <sz val="10"/>
        <color indexed="8"/>
        <rFont val="함초롬돋움"/>
        <family val="3"/>
        <charset val="129"/>
      </rPr>
      <t>)</t>
    </r>
    <phoneticPr fontId="26" type="noConversion"/>
  </si>
  <si>
    <t>해발 3300m의 타슈켄트의 대표적인 휴양지 차르박호투어</t>
    <phoneticPr fontId="26" type="noConversion"/>
  </si>
  <si>
    <t xml:space="preserve">[참간산 중턱인 해발 1600m 지역에 위치한 차르박 호수는 인접한 톈산과 참간산의 만년설을 </t>
    <phoneticPr fontId="26" type="noConversion"/>
  </si>
  <si>
    <t>끌어들어와 생성된 인공 호수입니다.]</t>
    <phoneticPr fontId="26" type="noConversion"/>
  </si>
  <si>
    <t>타슈켄트 복귀</t>
    <phoneticPr fontId="26" type="noConversion"/>
  </si>
  <si>
    <t>중앙아시아 최거의 모스크로  손꼽히는 비비하놈 모스크등</t>
    <phoneticPr fontId="26" type="noConversion"/>
  </si>
  <si>
    <t>14 + 0 FOC</t>
    <phoneticPr fontId="2" type="noConversion"/>
  </si>
  <si>
    <t>/ 하나투어</t>
    <phoneticPr fontId="2" type="noConversion"/>
  </si>
  <si>
    <t xml:space="preserve"> ⑤ 타슈켄트 -&gt; 사마르칸트 -&gt; 타슈켄트 고속열차</t>
    <phoneticPr fontId="14" type="noConversion"/>
  </si>
  <si>
    <t>08:15</t>
    <phoneticPr fontId="4" type="noConversion"/>
  </si>
  <si>
    <t>일자(날짜)</t>
    <phoneticPr fontId="30" type="noConversion"/>
  </si>
  <si>
    <t>도  시</t>
    <phoneticPr fontId="30" type="noConversion"/>
  </si>
  <si>
    <t>교  통</t>
    <phoneticPr fontId="30" type="noConversion"/>
  </si>
  <si>
    <t xml:space="preserve">시  간 </t>
    <phoneticPr fontId="30" type="noConversion"/>
  </si>
  <si>
    <t>식   사</t>
    <phoneticPr fontId="30" type="noConversion"/>
  </si>
  <si>
    <t>인 천</t>
    <phoneticPr fontId="3" type="noConversion"/>
  </si>
  <si>
    <t>인천 출발</t>
    <phoneticPr fontId="3" type="noConversion"/>
  </si>
  <si>
    <t>알마티</t>
    <phoneticPr fontId="30" type="noConversion"/>
  </si>
  <si>
    <t>전용차량</t>
    <phoneticPr fontId="30" type="noConversion"/>
  </si>
  <si>
    <t>알마티 도착</t>
    <phoneticPr fontId="30" type="noConversion"/>
  </si>
  <si>
    <t>호텔 투숙</t>
    <phoneticPr fontId="30" type="noConversion"/>
  </si>
  <si>
    <t xml:space="preserve">◆ HOTEL : </t>
    <phoneticPr fontId="3" type="noConversion"/>
  </si>
  <si>
    <t>전일</t>
    <phoneticPr fontId="3" type="noConversion"/>
  </si>
  <si>
    <t>호텔 조식 후</t>
    <phoneticPr fontId="3" type="noConversion"/>
  </si>
  <si>
    <t>호텔식</t>
  </si>
  <si>
    <t>310KM</t>
    <phoneticPr fontId="30" type="noConversion"/>
  </si>
  <si>
    <r>
      <rPr>
        <b/>
        <sz val="10"/>
        <color indexed="12"/>
        <rFont val="함초롬돋움"/>
        <family val="3"/>
        <charset val="129"/>
      </rPr>
      <t>콜사이(Kolsai)호수</t>
    </r>
    <r>
      <rPr>
        <sz val="10"/>
        <rFont val="함초롬돋움"/>
        <family val="3"/>
        <charset val="129"/>
      </rPr>
      <t>와</t>
    </r>
    <r>
      <rPr>
        <b/>
        <sz val="10"/>
        <color indexed="12"/>
        <rFont val="함초롬돋움"/>
        <family val="3"/>
        <charset val="129"/>
      </rPr>
      <t xml:space="preserve"> 차린 협곡(Charyn Canyon)</t>
    </r>
    <r>
      <rPr>
        <sz val="10"/>
        <rFont val="함초롬돋움"/>
        <family val="3"/>
        <charset val="129"/>
      </rPr>
      <t xml:space="preserve"> 당일 여행</t>
    </r>
    <phoneticPr fontId="30" type="noConversion"/>
  </si>
  <si>
    <t>현지식</t>
    <phoneticPr fontId="2" type="noConversion"/>
  </si>
  <si>
    <t>&lt;콜사이 호수와 중앙아시아의 그랜드케년 차린 협곡의 아름다움을 느껴보세요!&gt;</t>
    <phoneticPr fontId="30" type="noConversion"/>
  </si>
  <si>
    <t>교통, 도로 상태에 따라 일정 시간이 차이 있을 수 있습니다.</t>
    <phoneticPr fontId="30" type="noConversion"/>
  </si>
  <si>
    <r>
      <t xml:space="preserve">곤돌라를 타고 해발 3,200m의 </t>
    </r>
    <r>
      <rPr>
        <b/>
        <sz val="10"/>
        <color indexed="12"/>
        <rFont val="함초롬돋움"/>
        <family val="3"/>
        <charset val="129"/>
      </rPr>
      <t xml:space="preserve">침블락 </t>
    </r>
    <r>
      <rPr>
        <sz val="10"/>
        <rFont val="함초롬돋움"/>
        <family val="3"/>
        <charset val="129"/>
      </rPr>
      <t>정상 탐방</t>
    </r>
    <phoneticPr fontId="30" type="noConversion"/>
  </si>
  <si>
    <t>알마티 복귀 하여, 아르바트(Arbat) 거리 도보 투어</t>
    <phoneticPr fontId="30" type="noConversion"/>
  </si>
  <si>
    <t xml:space="preserve">&lt;카자흐스탄 오페라와 발레 극장이 내려다 보이는 산책로는 작은 상점, </t>
    <phoneticPr fontId="30" type="noConversion"/>
  </si>
  <si>
    <t>식당, 카페와 아름다운 조명으로 가득 합니다. 많은 음악가들이 노래를 부르고</t>
    <phoneticPr fontId="30" type="noConversion"/>
  </si>
  <si>
    <t>악기연주하는 것을 들으 실 수 있습니다.&gt;</t>
    <phoneticPr fontId="30" type="noConversion"/>
  </si>
  <si>
    <t>빅알마티</t>
    <phoneticPr fontId="30" type="noConversion"/>
  </si>
  <si>
    <r>
      <t xml:space="preserve">일레 알라타우 국립공원에 있는 </t>
    </r>
    <r>
      <rPr>
        <b/>
        <sz val="10"/>
        <color indexed="12"/>
        <rFont val="함초롬돋움"/>
        <family val="3"/>
        <charset val="129"/>
      </rPr>
      <t>빅알마티 호수</t>
    </r>
    <r>
      <rPr>
        <sz val="10"/>
        <rFont val="함초롬돋움"/>
        <family val="3"/>
        <charset val="129"/>
      </rPr>
      <t>전경 감상</t>
    </r>
    <phoneticPr fontId="30" type="noConversion"/>
  </si>
  <si>
    <t>&lt;빙하수로 이루어진 호수는 4,000M이상의 산이 둘러싸고있어 아름다운풍광을 경험하실 수 있습니다.&gt;</t>
    <phoneticPr fontId="30" type="noConversion"/>
  </si>
  <si>
    <t>한   식</t>
    <phoneticPr fontId="2" type="noConversion"/>
  </si>
  <si>
    <t>승마장</t>
    <phoneticPr fontId="30" type="noConversion"/>
  </si>
  <si>
    <t>승마장 이동</t>
    <phoneticPr fontId="30" type="noConversion"/>
  </si>
  <si>
    <r>
      <rPr>
        <b/>
        <sz val="10"/>
        <color indexed="12"/>
        <rFont val="함초롬돋움"/>
        <family val="3"/>
        <charset val="129"/>
      </rPr>
      <t>승마 체험</t>
    </r>
    <r>
      <rPr>
        <sz val="10"/>
        <rFont val="함초롬돋움"/>
        <family val="3"/>
        <charset val="129"/>
      </rPr>
      <t xml:space="preserve"> 후</t>
    </r>
    <phoneticPr fontId="30" type="noConversion"/>
  </si>
  <si>
    <r>
      <rPr>
        <b/>
        <sz val="10"/>
        <color indexed="12"/>
        <rFont val="함초롬돋움"/>
        <family val="3"/>
        <charset val="129"/>
      </rPr>
      <t>Dostyk Plaza</t>
    </r>
    <r>
      <rPr>
        <sz val="10"/>
        <rFont val="함초롬돋움"/>
        <family val="3"/>
        <charset val="129"/>
      </rPr>
      <t xml:space="preserve"> 방문하여, 자유쇼핑</t>
    </r>
    <phoneticPr fontId="30" type="noConversion"/>
  </si>
  <si>
    <t>석식 후 호텔 이동</t>
    <phoneticPr fontId="30" type="noConversion"/>
  </si>
  <si>
    <r>
      <t>케이블카로</t>
    </r>
    <r>
      <rPr>
        <b/>
        <sz val="10"/>
        <color indexed="12"/>
        <rFont val="함초롬돋움"/>
        <family val="3"/>
        <charset val="129"/>
      </rPr>
      <t xml:space="preserve"> 콕토베 전망대</t>
    </r>
    <r>
      <rPr>
        <sz val="10"/>
        <rFont val="함초롬돋움"/>
        <family val="3"/>
        <charset val="129"/>
      </rPr>
      <t xml:space="preserve"> 올라 알마티 조망</t>
    </r>
    <phoneticPr fontId="30" type="noConversion"/>
  </si>
  <si>
    <t>판필로바 28인 공원내 승전 기념비, 젠코브성당</t>
    <phoneticPr fontId="30" type="noConversion"/>
  </si>
  <si>
    <t>공항 도착</t>
    <phoneticPr fontId="30" type="noConversion"/>
  </si>
  <si>
    <t>알마티 출발</t>
    <phoneticPr fontId="30" type="noConversion"/>
  </si>
  <si>
    <t>기내박</t>
    <phoneticPr fontId="30" type="noConversion"/>
  </si>
  <si>
    <t>인 천</t>
  </si>
  <si>
    <t>인천 도착</t>
  </si>
  <si>
    <t>♥고맙습니다♥</t>
    <phoneticPr fontId="2" type="noConversion"/>
  </si>
  <si>
    <t xml:space="preserve"># 항공, 현지 사정 등으로 인하여 일정 변경 될 수 있습니다. </t>
    <phoneticPr fontId="3" type="noConversion"/>
  </si>
  <si>
    <t>카자흐스탄 6일 (일정표)</t>
    <phoneticPr fontId="30" type="noConversion"/>
  </si>
  <si>
    <t>한  식</t>
    <phoneticPr fontId="2" type="noConversion"/>
  </si>
  <si>
    <t xml:space="preserve">박 기모 선임님 </t>
    <phoneticPr fontId="14" type="noConversion"/>
  </si>
  <si>
    <t xml:space="preserve">  ① 전일정 대형버스</t>
    <phoneticPr fontId="2" type="noConversion"/>
  </si>
  <si>
    <t xml:space="preserve">  ④ 일정상 입장료 : 레기스탄, 아프로시압, 침간산 </t>
    <phoneticPr fontId="3" type="noConversion"/>
  </si>
  <si>
    <t>카자흐스탄  6일 OZ</t>
    <phoneticPr fontId="2" type="noConversion"/>
  </si>
  <si>
    <t xml:space="preserve">  ④ 일정상 입장료 : 콜사이호수, 차른협곡, 침블락곤돌라, 승마체험, 콕토베전망대 케이블카</t>
    <phoneticPr fontId="3" type="noConversion"/>
  </si>
  <si>
    <t xml:space="preserve">    ☞Royal Tulip 5* 호텔 (조식포함)</t>
    <phoneticPr fontId="3" type="noConversion"/>
  </si>
  <si>
    <t>Royal Tulip 5*</t>
  </si>
  <si>
    <t xml:space="preserve">    ☞ 사마르 칸트 : HILTON GARDEN INN 4* (조식포함)</t>
    <phoneticPr fontId="3" type="noConversion"/>
  </si>
  <si>
    <t xml:space="preserve">    ☞  타슈켄트 : LOTTE CITY HOTEL TASHKENT PALAE 4* (조식포함)</t>
    <phoneticPr fontId="3" type="noConversion"/>
  </si>
  <si>
    <t xml:space="preserve"> 숙 소 :  LOTTE CITY HOTEL TASHKENT PALAE 4*</t>
    <phoneticPr fontId="4" type="noConversion"/>
  </si>
  <si>
    <t xml:space="preserve"> 숙 소 : HILTON GARDEN INN 4*</t>
    <phoneticPr fontId="4" type="noConversion"/>
  </si>
  <si>
    <t>KC 910</t>
    <phoneticPr fontId="3" type="noConversion"/>
  </si>
  <si>
    <t>가이드 미팅 후 석식</t>
    <phoneticPr fontId="30" type="noConversion"/>
  </si>
  <si>
    <t>00:25</t>
    <phoneticPr fontId="28" type="noConversion"/>
  </si>
  <si>
    <t>KC 909</t>
    <phoneticPr fontId="28" type="noConversion"/>
  </si>
  <si>
    <t>석식 후 공항 이동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</si>
</sst>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23" formatCode="\$#,##0_);\(\$#,##0\)"/>
    <numFmt numFmtId="184" formatCode="&quot;제&quot;\ 00&quot;일&quot;"/>
    <numFmt numFmtId="185" formatCode="m&quot;/&quot;d\(aaa\)"/>
    <numFmt numFmtId="186" formatCode="m&quot;/&quot;d;@"/>
    <numFmt numFmtId="188" formatCode="m&quot;/&quot;d"/>
    <numFmt numFmtId="206" formatCode="_(&quot;$&quot;* #,##0_);_(&quot;$&quot;* \(#,##0\);_(&quot;$&quot;* &quot;-&quot;_);_(@_)"/>
    <numFmt numFmtId="212" formatCode="[$-409]dd&quot; &quot;mmm&quot; &quot;\(ddd\)&quot; &quot;yyyy;@"/>
    <numFmt numFmtId="213" formatCode="[$€-2]\ #,##0;[Red]\-[$€-2]\ #,##0"/>
    <numFmt numFmtId="214" formatCode="[$$-409]#,##0"/>
    <numFmt numFmtId="215" formatCode="m&quot;/&quot;d\ \(aaa&quot;요일&quot;\)"/>
  </numFmts>
  <fonts count="49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u/>
      <sz val="16"/>
      <name val="함초롬돋움"/>
      <family val="3"/>
      <charset val="129"/>
    </font>
    <font>
      <sz val="11"/>
      <name val="함초롬돋움"/>
      <family val="3"/>
      <charset val="129"/>
    </font>
    <font>
      <sz val="10"/>
      <name val="함초롬돋움"/>
      <family val="3"/>
      <charset val="129"/>
    </font>
    <font>
      <sz val="10"/>
      <color indexed="8"/>
      <name val="함초롬돋움"/>
      <family val="3"/>
      <charset val="129"/>
    </font>
    <font>
      <b/>
      <sz val="10"/>
      <color indexed="12"/>
      <name val="함초롬돋움"/>
      <family val="3"/>
      <charset val="129"/>
    </font>
    <font>
      <sz val="9"/>
      <color indexed="8"/>
      <name val="함초롬돋움"/>
      <family val="3"/>
      <charset val="129"/>
    </font>
    <font>
      <b/>
      <sz val="10"/>
      <name val="함초롬돋움"/>
      <family val="3"/>
      <charset val="129"/>
    </font>
    <font>
      <sz val="12"/>
      <name val="바탕체"/>
      <family val="1"/>
      <charset val="129"/>
    </font>
    <font>
      <b/>
      <sz val="20"/>
      <name val="함초롬돋움"/>
      <family val="3"/>
      <charset val="129"/>
    </font>
    <font>
      <sz val="8"/>
      <name val="맑은 고딕"/>
      <family val="3"/>
      <charset val="129"/>
    </font>
    <font>
      <b/>
      <sz val="12"/>
      <name val="함초롬돋움"/>
      <family val="3"/>
      <charset val="129"/>
    </font>
    <font>
      <sz val="12"/>
      <name val="함초롬돋움"/>
      <family val="3"/>
      <charset val="129"/>
    </font>
    <font>
      <b/>
      <sz val="12"/>
      <color indexed="8"/>
      <name val="함초롬돋움"/>
      <family val="3"/>
      <charset val="129"/>
    </font>
    <font>
      <u/>
      <sz val="10"/>
      <name val="함초롬돋움"/>
      <family val="3"/>
      <charset val="129"/>
    </font>
    <font>
      <b/>
      <u/>
      <sz val="10"/>
      <name val="함초롬돋움"/>
      <family val="3"/>
      <charset val="129"/>
    </font>
    <font>
      <b/>
      <sz val="11"/>
      <name val="함초롬돋움"/>
      <family val="3"/>
      <charset val="129"/>
    </font>
    <font>
      <sz val="9"/>
      <name val="함초롬돋움"/>
      <family val="3"/>
      <charset val="129"/>
    </font>
    <font>
      <sz val="10"/>
      <name val="Helv"/>
      <family val="2"/>
    </font>
    <font>
      <b/>
      <sz val="9"/>
      <name val="함초롬돋움"/>
      <family val="3"/>
      <charset val="129"/>
    </font>
    <font>
      <b/>
      <sz val="10"/>
      <color indexed="8"/>
      <name val="함초롬돋움"/>
      <family val="3"/>
      <charset val="129"/>
    </font>
    <font>
      <b/>
      <sz val="10"/>
      <color indexed="12"/>
      <name val="함초롬돋움"/>
      <family val="3"/>
      <charset val="129"/>
    </font>
    <font>
      <sz val="8"/>
      <name val="맑은 고딕"/>
      <family val="3"/>
      <charset val="129"/>
    </font>
    <font>
      <b/>
      <sz val="10"/>
      <color indexed="12"/>
      <name val="함초롬돋움"/>
      <family val="3"/>
      <charset val="129"/>
    </font>
    <font>
      <sz val="8"/>
      <name val="맑은 고딕"/>
      <family val="3"/>
      <charset val="129"/>
    </font>
    <font>
      <b/>
      <u/>
      <sz val="15"/>
      <name val="함초롬돋움"/>
      <family val="3"/>
      <charset val="129"/>
    </font>
    <font>
      <sz val="8"/>
      <name val="맑은 고딕"/>
      <family val="3"/>
      <charset val="129"/>
    </font>
    <font>
      <sz val="1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b/>
      <sz val="10"/>
      <color theme="1"/>
      <name val="함초롬돋움"/>
      <family val="3"/>
      <charset val="129"/>
    </font>
    <font>
      <sz val="9"/>
      <color rgb="FF000000"/>
      <name val="함초롬돋움"/>
      <family val="3"/>
      <charset val="129"/>
    </font>
    <font>
      <sz val="10"/>
      <color rgb="FF000000"/>
      <name val="함초롬돋움"/>
      <family val="3"/>
      <charset val="129"/>
    </font>
    <font>
      <b/>
      <sz val="10"/>
      <color rgb="FF0000FF"/>
      <name val="함초롬돋움"/>
      <family val="3"/>
      <charset val="129"/>
    </font>
    <font>
      <sz val="11"/>
      <color theme="1"/>
      <name val="나눔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1"/>
      <color rgb="FF0000FF"/>
      <name val="함초롬돋움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0"/>
      <color rgb="FFFF0000"/>
      <name val="함초롬돋움"/>
      <family val="3"/>
      <charset val="129"/>
    </font>
    <font>
      <sz val="10"/>
      <color rgb="FFFF0000"/>
      <name val="함초롬돋움"/>
      <family val="3"/>
      <charset val="129"/>
    </font>
    <font>
      <b/>
      <sz val="10"/>
      <color rgb="FF003399"/>
      <name val="함초롬돋움"/>
      <family val="3"/>
      <charset val="129"/>
    </font>
    <font>
      <sz val="10"/>
      <color rgb="FF0000CC"/>
      <name val="함초롬돋움"/>
      <family val="3"/>
      <charset val="129"/>
    </font>
    <font>
      <sz val="10"/>
      <color theme="1"/>
      <name val="함초롬돋움"/>
      <family val="3"/>
      <charset val="129"/>
    </font>
    <font>
      <b/>
      <sz val="10"/>
      <color theme="6" tint="-0.499984740745262"/>
      <name val="함초롬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/>
      <diagonal/>
    </border>
  </borders>
  <cellStyleXfs count="24">
    <xf numFmtId="0" fontId="0" fillId="0" borderId="0">
      <alignment vertical="center"/>
    </xf>
    <xf numFmtId="206" fontId="1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32" fillId="0" borderId="0"/>
    <xf numFmtId="0" fontId="1" fillId="0" borderId="0"/>
    <xf numFmtId="0" fontId="3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/>
    <xf numFmtId="0" fontId="32" fillId="0" borderId="0"/>
    <xf numFmtId="0" fontId="1" fillId="0" borderId="0"/>
    <xf numFmtId="0" fontId="12" fillId="0" borderId="0"/>
    <xf numFmtId="0" fontId="22" fillId="0" borderId="0"/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</cellStyleXfs>
  <cellXfs count="188">
    <xf numFmtId="0" fontId="0" fillId="0" borderId="0" xfId="0">
      <alignment vertical="center"/>
    </xf>
    <xf numFmtId="0" fontId="6" fillId="0" borderId="0" xfId="5" applyFont="1"/>
    <xf numFmtId="0" fontId="8" fillId="0" borderId="1" xfId="5" applyFont="1" applyBorder="1" applyAlignment="1">
      <alignment horizontal="center" vertical="center" wrapText="1"/>
    </xf>
    <xf numFmtId="0" fontId="9" fillId="0" borderId="1" xfId="5" applyFont="1" applyBorder="1" applyAlignment="1">
      <alignment horizontal="center" vertical="center" wrapText="1"/>
    </xf>
    <xf numFmtId="20" fontId="9" fillId="0" borderId="2" xfId="5" quotePrefix="1" applyNumberFormat="1" applyFont="1" applyBorder="1" applyAlignment="1">
      <alignment horizontal="center" vertical="center" wrapText="1"/>
    </xf>
    <xf numFmtId="0" fontId="8" fillId="0" borderId="3" xfId="5" applyFont="1" applyBorder="1" applyAlignment="1">
      <alignment vertical="center"/>
    </xf>
    <xf numFmtId="0" fontId="8" fillId="0" borderId="0" xfId="5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35" fillId="0" borderId="1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/>
    </xf>
    <xf numFmtId="0" fontId="36" fillId="0" borderId="3" xfId="0" applyFont="1" applyBorder="1">
      <alignment vertical="center"/>
    </xf>
    <xf numFmtId="0" fontId="8" fillId="0" borderId="0" xfId="5" applyFont="1" applyBorder="1" applyAlignment="1">
      <alignment horizontal="right" vertical="center" wrapText="1"/>
    </xf>
    <xf numFmtId="20" fontId="8" fillId="0" borderId="1" xfId="5" applyNumberFormat="1" applyFont="1" applyFill="1" applyBorder="1" applyAlignment="1">
      <alignment horizontal="center" vertical="center" wrapText="1"/>
    </xf>
    <xf numFmtId="0" fontId="37" fillId="0" borderId="3" xfId="0" applyFont="1" applyFill="1" applyBorder="1">
      <alignment vertical="center"/>
    </xf>
    <xf numFmtId="0" fontId="9" fillId="0" borderId="2" xfId="5" quotePrefix="1" applyFont="1" applyBorder="1" applyAlignment="1">
      <alignment horizontal="center" vertical="center" wrapText="1"/>
    </xf>
    <xf numFmtId="0" fontId="8" fillId="0" borderId="4" xfId="5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20" fontId="8" fillId="0" borderId="5" xfId="5" quotePrefix="1" applyNumberFormat="1" applyFont="1" applyBorder="1" applyAlignment="1">
      <alignment horizontal="center" vertical="center" wrapText="1"/>
    </xf>
    <xf numFmtId="0" fontId="8" fillId="0" borderId="6" xfId="5" applyFont="1" applyBorder="1" applyAlignment="1">
      <alignment vertical="center"/>
    </xf>
    <xf numFmtId="0" fontId="8" fillId="0" borderId="7" xfId="5" applyFont="1" applyBorder="1" applyAlignment="1">
      <alignment horizontal="center" vertical="center" wrapText="1"/>
    </xf>
    <xf numFmtId="0" fontId="7" fillId="0" borderId="0" xfId="13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20" fontId="8" fillId="0" borderId="2" xfId="5" applyNumberFormat="1" applyFont="1" applyFill="1" applyBorder="1" applyAlignment="1">
      <alignment horizontal="center" vertical="center" wrapText="1"/>
    </xf>
    <xf numFmtId="0" fontId="37" fillId="0" borderId="3" xfId="6" applyFont="1" applyFill="1" applyBorder="1" applyAlignment="1">
      <alignment vertical="center"/>
    </xf>
    <xf numFmtId="0" fontId="8" fillId="0" borderId="0" xfId="5" applyFont="1" applyFill="1" applyBorder="1" applyAlignment="1">
      <alignment vertical="center"/>
    </xf>
    <xf numFmtId="0" fontId="7" fillId="0" borderId="7" xfId="0" applyFont="1" applyFill="1" applyBorder="1" applyAlignment="1">
      <alignment horizontal="left" vertical="center"/>
    </xf>
    <xf numFmtId="0" fontId="8" fillId="0" borderId="6" xfId="5" applyFont="1" applyFill="1" applyBorder="1" applyAlignment="1">
      <alignment horizontal="justify" vertical="center" wrapText="1"/>
    </xf>
    <xf numFmtId="20" fontId="38" fillId="0" borderId="2" xfId="5" quotePrefix="1" applyNumberFormat="1" applyFont="1" applyFill="1" applyBorder="1" applyAlignment="1">
      <alignment horizontal="center" vertical="center" wrapText="1"/>
    </xf>
    <xf numFmtId="0" fontId="7" fillId="0" borderId="0" xfId="6" applyFont="1" applyFill="1" applyBorder="1" applyAlignment="1">
      <alignment horizontal="left" vertical="center"/>
    </xf>
    <xf numFmtId="0" fontId="8" fillId="0" borderId="8" xfId="5" applyFont="1" applyBorder="1" applyAlignment="1">
      <alignment horizontal="center" vertical="center" wrapText="1"/>
    </xf>
    <xf numFmtId="0" fontId="8" fillId="0" borderId="9" xfId="5" applyFont="1" applyBorder="1" applyAlignment="1">
      <alignment horizontal="center" vertical="center" wrapText="1"/>
    </xf>
    <xf numFmtId="0" fontId="8" fillId="0" borderId="10" xfId="5" applyFont="1" applyBorder="1" applyAlignment="1">
      <alignment horizontal="center" vertical="center" wrapText="1"/>
    </xf>
    <xf numFmtId="0" fontId="8" fillId="0" borderId="0" xfId="5" applyFont="1" applyFill="1" applyBorder="1" applyAlignment="1">
      <alignment horizontal="center" vertical="center" wrapText="1"/>
    </xf>
    <xf numFmtId="20" fontId="8" fillId="0" borderId="2" xfId="5" quotePrefix="1" applyNumberFormat="1" applyFont="1" applyBorder="1" applyAlignment="1">
      <alignment horizontal="center" vertical="center" wrapText="1"/>
    </xf>
    <xf numFmtId="0" fontId="8" fillId="0" borderId="3" xfId="5" applyFont="1" applyFill="1" applyBorder="1" applyAlignment="1">
      <alignment horizontal="justify" vertical="center" wrapText="1"/>
    </xf>
    <xf numFmtId="0" fontId="8" fillId="0" borderId="1" xfId="5" applyFont="1" applyFill="1" applyBorder="1" applyAlignment="1">
      <alignment horizontal="center" vertical="center" wrapText="1"/>
    </xf>
    <xf numFmtId="20" fontId="8" fillId="0" borderId="2" xfId="5" quotePrefix="1" applyNumberFormat="1" applyFont="1" applyFill="1" applyBorder="1" applyAlignment="1">
      <alignment horizontal="center" vertical="center" wrapText="1"/>
    </xf>
    <xf numFmtId="0" fontId="8" fillId="0" borderId="3" xfId="6" applyFont="1" applyFill="1" applyBorder="1" applyAlignment="1">
      <alignment vertical="center"/>
    </xf>
    <xf numFmtId="0" fontId="7" fillId="0" borderId="0" xfId="9" applyFont="1" applyFill="1" applyBorder="1" applyAlignment="1">
      <alignment vertical="center"/>
    </xf>
    <xf numFmtId="0" fontId="11" fillId="0" borderId="3" xfId="9" applyFont="1" applyFill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20" fontId="9" fillId="0" borderId="5" xfId="5" quotePrefix="1" applyNumberFormat="1" applyFont="1" applyBorder="1" applyAlignment="1">
      <alignment horizontal="center" vertical="center" wrapText="1"/>
    </xf>
    <xf numFmtId="0" fontId="9" fillId="0" borderId="8" xfId="5" applyFont="1" applyBorder="1" applyAlignment="1">
      <alignment horizontal="center" vertical="center" wrapText="1"/>
    </xf>
    <xf numFmtId="20" fontId="9" fillId="0" borderId="9" xfId="5" quotePrefix="1" applyNumberFormat="1" applyFont="1" applyBorder="1" applyAlignment="1">
      <alignment horizontal="center" vertical="center" wrapText="1"/>
    </xf>
    <xf numFmtId="0" fontId="7" fillId="0" borderId="10" xfId="9" applyFont="1" applyFill="1" applyBorder="1" applyAlignment="1">
      <alignment vertical="center"/>
    </xf>
    <xf numFmtId="0" fontId="37" fillId="0" borderId="11" xfId="6" applyFont="1" applyFill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7" fillId="0" borderId="1" xfId="13" applyFont="1" applyFill="1" applyBorder="1" applyAlignment="1">
      <alignment horizontal="left" vertical="center"/>
    </xf>
    <xf numFmtId="184" fontId="8" fillId="0" borderId="12" xfId="5" applyNumberFormat="1" applyFont="1" applyFill="1" applyBorder="1" applyAlignment="1">
      <alignment horizontal="center" vertical="center" wrapText="1"/>
    </xf>
    <xf numFmtId="0" fontId="8" fillId="0" borderId="13" xfId="5" applyFont="1" applyBorder="1" applyAlignment="1">
      <alignment horizontal="center" vertical="center" wrapText="1"/>
    </xf>
    <xf numFmtId="185" fontId="10" fillId="0" borderId="12" xfId="5" applyNumberFormat="1" applyFont="1" applyFill="1" applyBorder="1" applyAlignment="1">
      <alignment horizontal="center" vertical="center" wrapText="1"/>
    </xf>
    <xf numFmtId="0" fontId="8" fillId="0" borderId="13" xfId="5" applyFont="1" applyBorder="1" applyAlignment="1">
      <alignment horizontal="right" vertical="center" wrapText="1"/>
    </xf>
    <xf numFmtId="185" fontId="8" fillId="0" borderId="12" xfId="5" applyNumberFormat="1" applyFont="1" applyFill="1" applyBorder="1" applyAlignment="1">
      <alignment horizontal="center" vertical="center" wrapText="1"/>
    </xf>
    <xf numFmtId="186" fontId="8" fillId="0" borderId="12" xfId="5" applyNumberFormat="1" applyFont="1" applyFill="1" applyBorder="1" applyAlignment="1">
      <alignment horizontal="center" vertical="center" wrapText="1"/>
    </xf>
    <xf numFmtId="184" fontId="8" fillId="0" borderId="14" xfId="5" applyNumberFormat="1" applyFont="1" applyFill="1" applyBorder="1" applyAlignment="1">
      <alignment horizontal="center" vertical="center" wrapText="1"/>
    </xf>
    <xf numFmtId="188" fontId="8" fillId="0" borderId="15" xfId="5" applyNumberFormat="1" applyFont="1" applyFill="1" applyBorder="1" applyAlignment="1">
      <alignment horizontal="center" vertical="center" wrapText="1"/>
    </xf>
    <xf numFmtId="0" fontId="8" fillId="0" borderId="16" xfId="5" applyFont="1" applyBorder="1" applyAlignment="1">
      <alignment horizontal="center" vertical="center" wrapText="1"/>
    </xf>
    <xf numFmtId="186" fontId="8" fillId="0" borderId="15" xfId="5" applyNumberFormat="1" applyFont="1" applyFill="1" applyBorder="1" applyAlignment="1">
      <alignment horizontal="center" vertical="center" wrapText="1"/>
    </xf>
    <xf numFmtId="0" fontId="39" fillId="0" borderId="0" xfId="2" applyFont="1" applyAlignment="1"/>
    <xf numFmtId="0" fontId="7" fillId="2" borderId="0" xfId="3" applyFont="1" applyFill="1" applyBorder="1" applyAlignment="1">
      <alignment horizontal="center" vertical="center"/>
    </xf>
    <xf numFmtId="0" fontId="7" fillId="2" borderId="0" xfId="3" applyFont="1" applyFill="1" applyBorder="1" applyAlignment="1">
      <alignment vertical="center"/>
    </xf>
    <xf numFmtId="0" fontId="7" fillId="2" borderId="0" xfId="3" applyFont="1" applyFill="1" applyAlignment="1">
      <alignment vertical="center"/>
    </xf>
    <xf numFmtId="0" fontId="32" fillId="2" borderId="0" xfId="16" applyFill="1" applyAlignment="1"/>
    <xf numFmtId="0" fontId="15" fillId="2" borderId="0" xfId="3" applyFont="1" applyFill="1" applyBorder="1" applyAlignment="1">
      <alignment vertical="center"/>
    </xf>
    <xf numFmtId="0" fontId="16" fillId="2" borderId="0" xfId="3" applyFont="1" applyFill="1" applyBorder="1" applyAlignment="1">
      <alignment vertical="center"/>
    </xf>
    <xf numFmtId="0" fontId="15" fillId="2" borderId="0" xfId="3" applyFont="1" applyFill="1" applyBorder="1" applyAlignment="1">
      <alignment horizontal="left" vertical="center"/>
    </xf>
    <xf numFmtId="0" fontId="16" fillId="2" borderId="0" xfId="3" applyFont="1" applyFill="1" applyAlignment="1">
      <alignment vertical="center"/>
    </xf>
    <xf numFmtId="0" fontId="40" fillId="2" borderId="0" xfId="16" applyFont="1" applyFill="1" applyAlignment="1"/>
    <xf numFmtId="0" fontId="17" fillId="2" borderId="0" xfId="20" applyFont="1" applyFill="1" applyAlignment="1">
      <alignment horizontal="left" vertical="center"/>
    </xf>
    <xf numFmtId="0" fontId="17" fillId="2" borderId="0" xfId="20" quotePrefix="1" applyFont="1" applyFill="1" applyAlignment="1">
      <alignment vertical="center"/>
    </xf>
    <xf numFmtId="0" fontId="17" fillId="2" borderId="0" xfId="20" applyFont="1" applyFill="1" applyAlignment="1">
      <alignment vertical="center"/>
    </xf>
    <xf numFmtId="0" fontId="18" fillId="2" borderId="0" xfId="3" applyFont="1" applyFill="1" applyAlignment="1">
      <alignment vertical="center"/>
    </xf>
    <xf numFmtId="0" fontId="7" fillId="2" borderId="0" xfId="3" applyFont="1" applyFill="1" applyAlignment="1">
      <alignment horizontal="left" vertical="center"/>
    </xf>
    <xf numFmtId="15" fontId="19" fillId="2" borderId="0" xfId="3" quotePrefix="1" applyNumberFormat="1" applyFont="1" applyFill="1" applyAlignment="1">
      <alignment horizontal="left" vertical="center"/>
    </xf>
    <xf numFmtId="0" fontId="11" fillId="2" borderId="0" xfId="3" applyFont="1" applyFill="1" applyBorder="1" applyAlignment="1">
      <alignment vertical="center"/>
    </xf>
    <xf numFmtId="0" fontId="20" fillId="2" borderId="0" xfId="3" applyFont="1" applyFill="1" applyBorder="1" applyAlignment="1">
      <alignment horizontal="center" vertical="center"/>
    </xf>
    <xf numFmtId="213" fontId="15" fillId="2" borderId="0" xfId="3" applyNumberFormat="1" applyFont="1" applyFill="1" applyBorder="1" applyAlignment="1">
      <alignment horizontal="center" vertical="center"/>
    </xf>
    <xf numFmtId="0" fontId="15" fillId="2" borderId="0" xfId="3" applyNumberFormat="1" applyFont="1" applyFill="1" applyBorder="1" applyAlignment="1">
      <alignment horizontal="center" vertical="center"/>
    </xf>
    <xf numFmtId="214" fontId="15" fillId="2" borderId="0" xfId="3" applyNumberFormat="1" applyFont="1" applyFill="1" applyBorder="1" applyAlignment="1">
      <alignment horizontal="center" vertical="center"/>
    </xf>
    <xf numFmtId="0" fontId="41" fillId="2" borderId="0" xfId="3" applyFont="1" applyFill="1" applyAlignment="1">
      <alignment horizontal="left" vertical="center"/>
    </xf>
    <xf numFmtId="0" fontId="38" fillId="2" borderId="0" xfId="3" applyFont="1" applyFill="1" applyAlignment="1">
      <alignment horizontal="left" vertical="center"/>
    </xf>
    <xf numFmtId="0" fontId="11" fillId="2" borderId="0" xfId="3" applyFont="1" applyFill="1" applyAlignment="1">
      <alignment horizontal="left" vertical="center"/>
    </xf>
    <xf numFmtId="0" fontId="11" fillId="2" borderId="0" xfId="3" quotePrefix="1" applyFont="1" applyFill="1" applyAlignment="1">
      <alignment horizontal="left" vertical="center"/>
    </xf>
    <xf numFmtId="0" fontId="21" fillId="2" borderId="0" xfId="3" applyFont="1" applyFill="1" applyAlignment="1">
      <alignment horizontal="left" vertical="center"/>
    </xf>
    <xf numFmtId="0" fontId="21" fillId="2" borderId="0" xfId="3" applyFont="1" applyFill="1" applyAlignment="1">
      <alignment vertical="center"/>
    </xf>
    <xf numFmtId="0" fontId="42" fillId="2" borderId="0" xfId="16" applyFont="1" applyFill="1" applyAlignment="1"/>
    <xf numFmtId="0" fontId="11" fillId="2" borderId="0" xfId="21" quotePrefix="1" applyFont="1" applyFill="1" applyBorder="1" applyAlignment="1">
      <alignment horizontal="left" vertical="center"/>
    </xf>
    <xf numFmtId="0" fontId="7" fillId="2" borderId="0" xfId="21" applyFont="1" applyFill="1" applyBorder="1" applyAlignment="1">
      <alignment horizontal="left" vertical="center"/>
    </xf>
    <xf numFmtId="0" fontId="7" fillId="2" borderId="0" xfId="21" applyFont="1" applyFill="1" applyAlignment="1">
      <alignment horizontal="left" vertical="center"/>
    </xf>
    <xf numFmtId="0" fontId="7" fillId="2" borderId="0" xfId="3" applyFont="1" applyFill="1" applyBorder="1" applyAlignment="1">
      <alignment horizontal="left" vertical="center"/>
    </xf>
    <xf numFmtId="0" fontId="11" fillId="2" borderId="0" xfId="3" quotePrefix="1" applyFont="1" applyFill="1" applyBorder="1" applyAlignment="1">
      <alignment horizontal="left" vertical="center"/>
    </xf>
    <xf numFmtId="0" fontId="43" fillId="2" borderId="0" xfId="3" applyFont="1" applyFill="1" applyBorder="1" applyAlignment="1">
      <alignment horizontal="left" vertical="center"/>
    </xf>
    <xf numFmtId="0" fontId="11" fillId="2" borderId="0" xfId="3" applyFont="1" applyFill="1" applyBorder="1" applyAlignment="1">
      <alignment horizontal="left" vertical="center"/>
    </xf>
    <xf numFmtId="0" fontId="21" fillId="2" borderId="0" xfId="3" applyFont="1" applyFill="1" applyBorder="1" applyAlignment="1">
      <alignment horizontal="left" vertical="center"/>
    </xf>
    <xf numFmtId="0" fontId="23" fillId="2" borderId="0" xfId="3" applyFont="1" applyFill="1" applyAlignment="1">
      <alignment horizontal="left" vertical="center"/>
    </xf>
    <xf numFmtId="0" fontId="44" fillId="2" borderId="0" xfId="4" applyFont="1" applyFill="1" applyBorder="1" applyAlignment="1">
      <alignment horizontal="left" vertical="center"/>
    </xf>
    <xf numFmtId="20" fontId="7" fillId="0" borderId="2" xfId="5" quotePrefix="1" applyNumberFormat="1" applyFont="1" applyBorder="1" applyAlignment="1">
      <alignment horizontal="center" vertical="center" wrapText="1"/>
    </xf>
    <xf numFmtId="0" fontId="37" fillId="0" borderId="0" xfId="6" applyFont="1" applyFill="1" applyBorder="1" applyAlignment="1">
      <alignment horizontal="center" vertical="center"/>
    </xf>
    <xf numFmtId="20" fontId="9" fillId="0" borderId="1" xfId="5" quotePrefix="1" applyNumberFormat="1" applyFont="1" applyBorder="1" applyAlignment="1">
      <alignment horizontal="center" vertical="center" wrapText="1"/>
    </xf>
    <xf numFmtId="0" fontId="37" fillId="0" borderId="13" xfId="6" applyFont="1" applyFill="1" applyBorder="1" applyAlignment="1">
      <alignment vertical="center"/>
    </xf>
    <xf numFmtId="0" fontId="37" fillId="0" borderId="17" xfId="6" applyFont="1" applyFill="1" applyBorder="1" applyAlignment="1">
      <alignment vertical="center"/>
    </xf>
    <xf numFmtId="0" fontId="37" fillId="0" borderId="13" xfId="6" applyFont="1" applyFill="1" applyBorder="1" applyAlignment="1">
      <alignment horizontal="center" vertical="center"/>
    </xf>
    <xf numFmtId="0" fontId="8" fillId="0" borderId="0" xfId="5" applyFont="1" applyBorder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0" fontId="7" fillId="0" borderId="3" xfId="9" applyFont="1" applyBorder="1" applyAlignment="1">
      <alignment horizontal="left" vertical="center"/>
    </xf>
    <xf numFmtId="0" fontId="45" fillId="0" borderId="0" xfId="13" applyFont="1" applyFill="1" applyBorder="1" applyAlignment="1">
      <alignment horizontal="left" vertical="center"/>
    </xf>
    <xf numFmtId="0" fontId="46" fillId="0" borderId="3" xfId="9" applyFont="1" applyBorder="1" applyAlignment="1">
      <alignment horizontal="left" vertical="center"/>
    </xf>
    <xf numFmtId="0" fontId="7" fillId="0" borderId="3" xfId="5" applyFont="1" applyBorder="1" applyAlignment="1">
      <alignment vertical="center"/>
    </xf>
    <xf numFmtId="0" fontId="7" fillId="0" borderId="1" xfId="0" applyFont="1" applyBorder="1">
      <alignment vertical="center"/>
    </xf>
    <xf numFmtId="0" fontId="7" fillId="0" borderId="3" xfId="0" applyFont="1" applyBorder="1" applyAlignment="1">
      <alignment horizontal="left" vertical="center"/>
    </xf>
    <xf numFmtId="0" fontId="47" fillId="0" borderId="3" xfId="0" applyFont="1" applyBorder="1">
      <alignment vertical="center"/>
    </xf>
    <xf numFmtId="0" fontId="7" fillId="3" borderId="18" xfId="5" applyFont="1" applyFill="1" applyBorder="1" applyAlignment="1">
      <alignment horizontal="center" vertical="center" wrapText="1"/>
    </xf>
    <xf numFmtId="0" fontId="7" fillId="3" borderId="19" xfId="5" applyFont="1" applyFill="1" applyBorder="1" applyAlignment="1">
      <alignment horizontal="center" vertical="center" wrapText="1"/>
    </xf>
    <xf numFmtId="0" fontId="7" fillId="3" borderId="20" xfId="5" applyFont="1" applyFill="1" applyBorder="1" applyAlignment="1">
      <alignment horizontal="center" vertical="center" wrapText="1"/>
    </xf>
    <xf numFmtId="184" fontId="8" fillId="0" borderId="12" xfId="5" applyNumberFormat="1" applyFont="1" applyBorder="1" applyAlignment="1">
      <alignment horizontal="center" vertical="center" wrapText="1"/>
    </xf>
    <xf numFmtId="0" fontId="48" fillId="0" borderId="2" xfId="5" applyFont="1" applyBorder="1" applyAlignment="1">
      <alignment horizontal="center" vertical="center" wrapText="1"/>
    </xf>
    <xf numFmtId="20" fontId="48" fillId="0" borderId="2" xfId="5" quotePrefix="1" applyNumberFormat="1" applyFont="1" applyBorder="1" applyAlignment="1">
      <alignment horizontal="center" vertical="center" wrapText="1"/>
    </xf>
    <xf numFmtId="0" fontId="8" fillId="0" borderId="0" xfId="14" applyFont="1" applyAlignment="1">
      <alignment horizontal="left" vertical="center"/>
    </xf>
    <xf numFmtId="0" fontId="8" fillId="0" borderId="0" xfId="5" applyFont="1" applyAlignment="1">
      <alignment horizontal="center" vertical="center" wrapText="1"/>
    </xf>
    <xf numFmtId="215" fontId="8" fillId="0" borderId="12" xfId="5" applyNumberFormat="1" applyFont="1" applyBorder="1" applyAlignment="1">
      <alignment horizontal="center" vertical="center" wrapText="1"/>
    </xf>
    <xf numFmtId="0" fontId="35" fillId="0" borderId="2" xfId="14" applyFont="1" applyBorder="1" applyAlignment="1">
      <alignment horizontal="center" vertical="center" wrapText="1"/>
    </xf>
    <xf numFmtId="0" fontId="8" fillId="0" borderId="1" xfId="14" applyFont="1" applyBorder="1" applyAlignment="1">
      <alignment horizontal="left" vertical="center"/>
    </xf>
    <xf numFmtId="0" fontId="8" fillId="0" borderId="8" xfId="14" applyFont="1" applyBorder="1" applyAlignment="1">
      <alignment horizontal="left" vertical="center"/>
    </xf>
    <xf numFmtId="186" fontId="8" fillId="0" borderId="15" xfId="5" applyNumberFormat="1" applyFont="1" applyBorder="1" applyAlignment="1">
      <alignment horizontal="center" vertical="center" wrapText="1"/>
    </xf>
    <xf numFmtId="0" fontId="9" fillId="0" borderId="9" xfId="5" quotePrefix="1" applyFont="1" applyBorder="1" applyAlignment="1">
      <alignment horizontal="center" vertical="center" wrapText="1"/>
    </xf>
    <xf numFmtId="0" fontId="7" fillId="4" borderId="10" xfId="14" applyFont="1" applyFill="1" applyBorder="1" applyAlignment="1">
      <alignment horizontal="left" vertical="center"/>
    </xf>
    <xf numFmtId="0" fontId="7" fillId="4" borderId="21" xfId="5" applyFont="1" applyFill="1" applyBorder="1" applyAlignment="1">
      <alignment horizontal="justify" vertical="center" wrapText="1"/>
    </xf>
    <xf numFmtId="0" fontId="8" fillId="0" borderId="1" xfId="5" applyFont="1" applyBorder="1" applyAlignment="1">
      <alignment horizontal="center" vertical="center" shrinkToFit="1"/>
    </xf>
    <xf numFmtId="0" fontId="37" fillId="0" borderId="3" xfId="6" applyFont="1" applyBorder="1" applyAlignment="1">
      <alignment vertical="center"/>
    </xf>
    <xf numFmtId="0" fontId="37" fillId="0" borderId="1" xfId="5" applyFont="1" applyBorder="1" applyAlignment="1">
      <alignment horizontal="center" vertical="center" wrapText="1"/>
    </xf>
    <xf numFmtId="20" fontId="48" fillId="0" borderId="1" xfId="5" quotePrefix="1" applyNumberFormat="1" applyFont="1" applyBorder="1" applyAlignment="1">
      <alignment horizontal="center" vertical="center" wrapText="1"/>
    </xf>
    <xf numFmtId="0" fontId="7" fillId="0" borderId="1" xfId="23" applyFont="1" applyFill="1" applyBorder="1" applyAlignment="1" applyProtection="1">
      <alignment horizontal="left" vertical="center"/>
    </xf>
    <xf numFmtId="0" fontId="35" fillId="0" borderId="3" xfId="9" applyFont="1" applyBorder="1" applyAlignment="1">
      <alignment vertical="center"/>
    </xf>
    <xf numFmtId="185" fontId="8" fillId="0" borderId="12" xfId="5" applyNumberFormat="1" applyFont="1" applyBorder="1" applyAlignment="1">
      <alignment horizontal="center" vertical="center" wrapText="1"/>
    </xf>
    <xf numFmtId="0" fontId="7" fillId="0" borderId="2" xfId="14" applyFont="1" applyBorder="1" applyAlignment="1">
      <alignment horizontal="center" vertical="center" wrapText="1"/>
    </xf>
    <xf numFmtId="20" fontId="8" fillId="0" borderId="1" xfId="5" applyNumberFormat="1" applyFont="1" applyBorder="1" applyAlignment="1">
      <alignment horizontal="center" vertical="center" wrapText="1"/>
    </xf>
    <xf numFmtId="0" fontId="7" fillId="0" borderId="3" xfId="10" applyFont="1" applyBorder="1" applyAlignment="1">
      <alignment horizontal="left" vertical="center"/>
    </xf>
    <xf numFmtId="0" fontId="7" fillId="0" borderId="8" xfId="10" applyFont="1" applyBorder="1" applyAlignment="1">
      <alignment vertical="center"/>
    </xf>
    <xf numFmtId="0" fontId="7" fillId="0" borderId="3" xfId="23" applyFont="1" applyFill="1" applyBorder="1" applyAlignment="1" applyProtection="1">
      <alignment horizontal="left" vertical="center"/>
    </xf>
    <xf numFmtId="0" fontId="8" fillId="0" borderId="15" xfId="5" applyFont="1" applyBorder="1" applyAlignment="1">
      <alignment horizontal="center" vertical="center" wrapText="1"/>
    </xf>
    <xf numFmtId="20" fontId="38" fillId="0" borderId="2" xfId="5" applyNumberFormat="1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left" vertical="center"/>
    </xf>
    <xf numFmtId="20" fontId="7" fillId="0" borderId="1" xfId="5" quotePrefix="1" applyNumberFormat="1" applyFont="1" applyBorder="1" applyAlignment="1">
      <alignment horizontal="center" vertical="center" wrapText="1"/>
    </xf>
    <xf numFmtId="0" fontId="7" fillId="0" borderId="38" xfId="10" applyFont="1" applyBorder="1" applyAlignment="1">
      <alignment horizontal="left" vertical="center"/>
    </xf>
    <xf numFmtId="0" fontId="8" fillId="0" borderId="3" xfId="5" applyFont="1" applyBorder="1" applyAlignment="1">
      <alignment horizontal="justify" vertical="center" wrapText="1"/>
    </xf>
    <xf numFmtId="20" fontId="7" fillId="0" borderId="2" xfId="5" applyNumberFormat="1" applyFont="1" applyBorder="1" applyAlignment="1">
      <alignment horizontal="center" vertical="center" wrapText="1"/>
    </xf>
    <xf numFmtId="0" fontId="7" fillId="0" borderId="3" xfId="17" applyFont="1" applyBorder="1" applyAlignment="1">
      <alignment horizontal="left" vertical="center"/>
    </xf>
    <xf numFmtId="0" fontId="24" fillId="0" borderId="3" xfId="5" applyFont="1" applyBorder="1" applyAlignment="1">
      <alignment horizontal="justify" vertical="center" wrapText="1"/>
    </xf>
    <xf numFmtId="0" fontId="9" fillId="0" borderId="2" xfId="5" applyFont="1" applyBorder="1" applyAlignment="1">
      <alignment horizontal="center" vertical="center" wrapText="1"/>
    </xf>
    <xf numFmtId="0" fontId="7" fillId="0" borderId="0" xfId="13" applyFont="1" applyAlignment="1">
      <alignment horizontal="left" vertical="center"/>
    </xf>
    <xf numFmtId="0" fontId="7" fillId="0" borderId="3" xfId="14" applyFont="1" applyBorder="1">
      <alignment vertical="center"/>
    </xf>
    <xf numFmtId="0" fontId="8" fillId="0" borderId="8" xfId="14" applyFont="1" applyBorder="1" applyAlignment="1">
      <alignment horizontal="center" vertical="center" wrapText="1"/>
    </xf>
    <xf numFmtId="0" fontId="8" fillId="0" borderId="9" xfId="14" applyFont="1" applyBorder="1" applyAlignment="1">
      <alignment horizontal="center" vertical="center" wrapText="1"/>
    </xf>
    <xf numFmtId="20" fontId="8" fillId="0" borderId="9" xfId="14" applyNumberFormat="1" applyFont="1" applyBorder="1" applyAlignment="1">
      <alignment horizontal="center" vertical="center" wrapText="1"/>
    </xf>
    <xf numFmtId="0" fontId="7" fillId="0" borderId="10" xfId="23" applyFont="1" applyFill="1" applyBorder="1" applyAlignment="1" applyProtection="1">
      <alignment horizontal="left" vertical="center"/>
    </xf>
    <xf numFmtId="0" fontId="7" fillId="0" borderId="11" xfId="9" applyFont="1" applyBorder="1" applyAlignment="1">
      <alignment horizontal="left" vertical="center"/>
    </xf>
    <xf numFmtId="0" fontId="7" fillId="5" borderId="22" xfId="0" applyFont="1" applyFill="1" applyBorder="1" applyAlignment="1">
      <alignment horizontal="left" vertical="center"/>
    </xf>
    <xf numFmtId="0" fontId="7" fillId="5" borderId="21" xfId="5" applyFont="1" applyFill="1" applyBorder="1" applyAlignment="1">
      <alignment horizontal="justify" vertical="center" wrapText="1"/>
    </xf>
    <xf numFmtId="0" fontId="7" fillId="0" borderId="39" xfId="10" applyFont="1" applyBorder="1" applyAlignment="1">
      <alignment horizontal="left" vertical="center"/>
    </xf>
    <xf numFmtId="0" fontId="7" fillId="0" borderId="8" xfId="23" applyFont="1" applyFill="1" applyBorder="1" applyAlignment="1" applyProtection="1">
      <alignment horizontal="left" vertical="center"/>
    </xf>
    <xf numFmtId="0" fontId="5" fillId="0" borderId="23" xfId="5" applyFont="1" applyFill="1" applyBorder="1" applyAlignment="1">
      <alignment horizontal="center" vertical="center"/>
    </xf>
    <xf numFmtId="0" fontId="7" fillId="3" borderId="24" xfId="5" applyFont="1" applyFill="1" applyBorder="1" applyAlignment="1">
      <alignment horizontal="center" vertical="center" wrapText="1"/>
    </xf>
    <xf numFmtId="0" fontId="7" fillId="3" borderId="25" xfId="5" applyFont="1" applyFill="1" applyBorder="1" applyAlignment="1">
      <alignment horizontal="center" vertical="center" wrapText="1"/>
    </xf>
    <xf numFmtId="0" fontId="7" fillId="3" borderId="26" xfId="5" applyFont="1" applyFill="1" applyBorder="1" applyAlignment="1">
      <alignment horizontal="center" vertical="center" wrapText="1"/>
    </xf>
    <xf numFmtId="0" fontId="9" fillId="6" borderId="27" xfId="5" applyFont="1" applyFill="1" applyBorder="1" applyAlignment="1">
      <alignment horizontal="center" vertical="center"/>
    </xf>
    <xf numFmtId="0" fontId="9" fillId="6" borderId="28" xfId="5" applyFont="1" applyFill="1" applyBorder="1" applyAlignment="1">
      <alignment horizontal="center" vertical="center"/>
    </xf>
    <xf numFmtId="0" fontId="9" fillId="6" borderId="29" xfId="5" applyFont="1" applyFill="1" applyBorder="1" applyAlignment="1">
      <alignment horizontal="center" vertical="center"/>
    </xf>
    <xf numFmtId="0" fontId="37" fillId="0" borderId="1" xfId="6" applyFont="1" applyFill="1" applyBorder="1" applyAlignment="1">
      <alignment horizontal="center" vertical="center"/>
    </xf>
    <xf numFmtId="0" fontId="37" fillId="0" borderId="13" xfId="6" applyFont="1" applyFill="1" applyBorder="1" applyAlignment="1">
      <alignment horizontal="center" vertical="center"/>
    </xf>
    <xf numFmtId="0" fontId="7" fillId="0" borderId="1" xfId="13" applyFont="1" applyFill="1" applyBorder="1" applyAlignment="1">
      <alignment horizontal="left" vertical="center" wrapText="1"/>
    </xf>
    <xf numFmtId="0" fontId="7" fillId="0" borderId="3" xfId="13" applyFont="1" applyFill="1" applyBorder="1" applyAlignment="1">
      <alignment horizontal="left" vertical="center" wrapText="1"/>
    </xf>
    <xf numFmtId="0" fontId="13" fillId="2" borderId="0" xfId="20" applyFont="1" applyFill="1" applyBorder="1" applyAlignment="1">
      <alignment horizontal="center" vertical="center"/>
    </xf>
    <xf numFmtId="212" fontId="15" fillId="2" borderId="0" xfId="3" applyNumberFormat="1" applyFont="1" applyFill="1" applyBorder="1" applyAlignment="1">
      <alignment horizontal="left" vertical="center"/>
    </xf>
    <xf numFmtId="0" fontId="20" fillId="3" borderId="30" xfId="3" applyFont="1" applyFill="1" applyBorder="1" applyAlignment="1">
      <alignment horizontal="center" vertical="center"/>
    </xf>
    <xf numFmtId="0" fontId="20" fillId="3" borderId="31" xfId="3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/>
    </xf>
    <xf numFmtId="23" fontId="15" fillId="0" borderId="23" xfId="3" applyNumberFormat="1" applyFont="1" applyFill="1" applyBorder="1" applyAlignment="1">
      <alignment horizontal="center" vertical="center"/>
    </xf>
    <xf numFmtId="23" fontId="15" fillId="0" borderId="33" xfId="3" applyNumberFormat="1" applyFont="1" applyFill="1" applyBorder="1" applyAlignment="1">
      <alignment horizontal="center" vertical="center"/>
    </xf>
    <xf numFmtId="0" fontId="15" fillId="0" borderId="34" xfId="3" applyNumberFormat="1" applyFont="1" applyFill="1" applyBorder="1" applyAlignment="1">
      <alignment horizontal="center" vertical="center"/>
    </xf>
    <xf numFmtId="0" fontId="15" fillId="0" borderId="23" xfId="3" applyNumberFormat="1" applyFont="1" applyFill="1" applyBorder="1" applyAlignment="1">
      <alignment horizontal="center" vertical="center"/>
    </xf>
    <xf numFmtId="0" fontId="15" fillId="0" borderId="35" xfId="3" applyNumberFormat="1" applyFont="1" applyFill="1" applyBorder="1" applyAlignment="1">
      <alignment horizontal="center" vertical="center"/>
    </xf>
    <xf numFmtId="0" fontId="15" fillId="0" borderId="36" xfId="3" applyNumberFormat="1" applyFont="1" applyFill="1" applyBorder="1" applyAlignment="1">
      <alignment horizontal="center" vertical="center"/>
    </xf>
    <xf numFmtId="23" fontId="15" fillId="0" borderId="36" xfId="3" applyNumberFormat="1" applyFont="1" applyFill="1" applyBorder="1" applyAlignment="1">
      <alignment horizontal="center" vertical="center"/>
    </xf>
    <xf numFmtId="23" fontId="15" fillId="0" borderId="37" xfId="3" applyNumberFormat="1" applyFont="1" applyFill="1" applyBorder="1" applyAlignment="1">
      <alignment horizontal="center" vertical="center"/>
    </xf>
    <xf numFmtId="0" fontId="29" fillId="0" borderId="23" xfId="5" applyFont="1" applyBorder="1" applyAlignment="1">
      <alignment horizontal="center" vertical="center"/>
    </xf>
    <xf numFmtId="0" fontId="9" fillId="3" borderId="27" xfId="5" applyFont="1" applyFill="1" applyBorder="1" applyAlignment="1">
      <alignment horizontal="center" vertical="center"/>
    </xf>
    <xf numFmtId="0" fontId="9" fillId="3" borderId="28" xfId="5" applyFont="1" applyFill="1" applyBorder="1" applyAlignment="1">
      <alignment horizontal="center" vertical="center"/>
    </xf>
    <xf numFmtId="0" fontId="9" fillId="3" borderId="29" xfId="5" applyFont="1" applyFill="1" applyBorder="1" applyAlignment="1">
      <alignment horizontal="center" vertical="center"/>
    </xf>
  </cellXfs>
  <cellStyles count="24">
    <cellStyle name="통화 [0] 2" xfId="1" xr:uid="{2AC47A2A-6639-D441-9B96-A9C8CBBF6CA3}"/>
    <cellStyle name="표준" xfId="0" builtinId="0"/>
    <cellStyle name="표준 10 2" xfId="2" xr:uid="{EB9C51A7-7221-8145-B4D1-4C595F05D7C8}"/>
    <cellStyle name="표준 15" xfId="3" xr:uid="{3105981E-9E52-814C-84B7-CC086DE2015E}"/>
    <cellStyle name="표준 16 3" xfId="4" xr:uid="{A16AF174-DC8E-9E48-8C09-8925F0BA2704}"/>
    <cellStyle name="표준 2" xfId="5" xr:uid="{860C6720-6636-654A-9688-86D428D39379}"/>
    <cellStyle name="표준 2 2" xfId="6" xr:uid="{2B86901C-6626-A44D-B963-0B6E58771D87}"/>
    <cellStyle name="표준 2 2 2" xfId="7" xr:uid="{7BB39D79-CFB0-F344-8150-E2B4DE1DBFFA}"/>
    <cellStyle name="표준 2 3 2 3" xfId="8" xr:uid="{0E46EF4D-66F7-224B-8176-B325063E4287}"/>
    <cellStyle name="표준 3" xfId="9" xr:uid="{3CEC948C-55D4-9A41-9586-14D994773F8B}"/>
    <cellStyle name="표준 3 2 2" xfId="10" xr:uid="{8AE0FAA0-A7EE-6642-BD99-B5D46610C873}"/>
    <cellStyle name="표준 3 2 2 2" xfId="11" xr:uid="{CBB2B6BF-7702-DC46-A83D-C965653B8120}"/>
    <cellStyle name="표준 3 2 3" xfId="12" xr:uid="{54A868B7-545B-6B4D-A7EF-EF2FAD88CF9E}"/>
    <cellStyle name="표준 3 3" xfId="13" xr:uid="{FB976222-A829-854F-B114-8182F728DF85}"/>
    <cellStyle name="표준 4" xfId="14" xr:uid="{502B8EDE-1105-0C42-9167-41F94BE7C366}"/>
    <cellStyle name="표준 4 28" xfId="15" xr:uid="{630B2FF7-2799-2245-AEAF-5066920F14D1}"/>
    <cellStyle name="표준 4 3" xfId="16" xr:uid="{E4EB1A82-92FF-2C46-BADB-1D7DAFF29719}"/>
    <cellStyle name="표준 4 5 2" xfId="17" xr:uid="{45C19841-0CF7-194E-BA13-44201A3E1275}"/>
    <cellStyle name="표준 5" xfId="18" xr:uid="{FCCF54AB-F7F3-1349-A947-BCB7FD9BF937}"/>
    <cellStyle name="표준 8" xfId="19" xr:uid="{13900CF6-56FC-6447-9B8D-14ECF39DC33E}"/>
    <cellStyle name="표준_0203 쾰른가구전시+독,스,이,프 9일" xfId="20" xr:uid="{C75398CA-31FE-2D4C-ACE3-A678AC91754B}"/>
    <cellStyle name="표준_09.00-땡큐-북유럽 5국 12일(KE)-04.14" xfId="21" xr:uid="{53B9969C-ECBC-CD45-9A2E-CC420983A537}"/>
    <cellStyle name="하이퍼링크 2" xfId="22" xr:uid="{F34D8B58-CFF5-B041-8A51-8E3A79D63772}"/>
    <cellStyle name="하이퍼링크 3" xfId="23" xr:uid="{288972C7-7D19-344C-81CC-519A9DE67B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9FE2-9AA3-2646-8679-7003C4373EDF}">
  <sheetPr>
    <tabColor rgb="FFFFC000"/>
  </sheetPr>
  <dimension ref="A1:I50"/>
  <sheetViews>
    <sheetView view="pageBreakPreview" zoomScaleNormal="100" zoomScaleSheetLayoutView="100" workbookViewId="0">
      <selection activeCell="E26" sqref="E26"/>
    </sheetView>
  </sheetViews>
  <sheetFormatPr baseColWidth="10" defaultColWidth="9" defaultRowHeight="17"/>
  <cols>
    <col min="1" max="1" width="9.83203125" style="1" customWidth="1"/>
    <col min="2" max="2" width="12.6640625" style="1" customWidth="1"/>
    <col min="3" max="3" width="9.33203125" style="1" customWidth="1"/>
    <col min="4" max="4" width="7.6640625" style="1" customWidth="1"/>
    <col min="5" max="5" width="12.6640625" style="1" customWidth="1"/>
    <col min="6" max="6" width="64.1640625" style="1" customWidth="1"/>
    <col min="7" max="7" width="3.6640625" style="1" customWidth="1"/>
    <col min="8" max="8" width="7.1640625" style="1" customWidth="1"/>
    <col min="9" max="16384" width="9" style="1"/>
  </cols>
  <sheetData>
    <row r="1" spans="1:8" ht="40" customHeight="1" thickBot="1">
      <c r="A1" s="160" t="s">
        <v>44</v>
      </c>
      <c r="B1" s="160"/>
      <c r="C1" s="160"/>
      <c r="D1" s="160"/>
      <c r="E1" s="160"/>
      <c r="F1" s="160"/>
      <c r="G1" s="160"/>
      <c r="H1" s="160"/>
    </row>
    <row r="2" spans="1:8" ht="25" customHeight="1">
      <c r="A2" s="111" t="s">
        <v>88</v>
      </c>
      <c r="B2" s="112" t="s">
        <v>89</v>
      </c>
      <c r="C2" s="113" t="s">
        <v>90</v>
      </c>
      <c r="D2" s="113" t="s">
        <v>91</v>
      </c>
      <c r="E2" s="161" t="s">
        <v>0</v>
      </c>
      <c r="F2" s="162"/>
      <c r="G2" s="161" t="s">
        <v>92</v>
      </c>
      <c r="H2" s="163"/>
    </row>
    <row r="3" spans="1:8" s="7" customFormat="1" ht="18" customHeight="1">
      <c r="A3" s="48">
        <v>1</v>
      </c>
      <c r="B3" s="2" t="s">
        <v>27</v>
      </c>
      <c r="C3" s="3" t="s">
        <v>38</v>
      </c>
      <c r="D3" s="4">
        <v>0.69097222222222221</v>
      </c>
      <c r="E3" s="40" t="s">
        <v>39</v>
      </c>
      <c r="F3" s="18"/>
      <c r="G3" s="6"/>
      <c r="H3" s="99"/>
    </row>
    <row r="4" spans="1:8" s="7" customFormat="1" ht="18" customHeight="1">
      <c r="A4" s="50">
        <v>45733</v>
      </c>
      <c r="B4" s="2" t="s">
        <v>43</v>
      </c>
      <c r="C4" s="8"/>
      <c r="D4" s="4">
        <v>0.86111111111111116</v>
      </c>
      <c r="E4" s="9" t="s">
        <v>40</v>
      </c>
      <c r="F4" s="10"/>
      <c r="G4" s="6"/>
      <c r="H4" s="99"/>
    </row>
    <row r="5" spans="1:8" s="7" customFormat="1" ht="18" customHeight="1">
      <c r="A5" s="52"/>
      <c r="B5" s="2"/>
      <c r="C5" s="12"/>
      <c r="D5" s="4"/>
      <c r="E5" s="9" t="s">
        <v>41</v>
      </c>
      <c r="F5" s="13"/>
      <c r="G5" s="6"/>
      <c r="H5" s="49"/>
    </row>
    <row r="6" spans="1:8" s="7" customFormat="1" ht="18" customHeight="1">
      <c r="A6" s="52"/>
      <c r="B6" s="2"/>
      <c r="C6" s="12"/>
      <c r="D6" s="4"/>
      <c r="E6" s="9" t="s">
        <v>42</v>
      </c>
      <c r="F6" s="13"/>
      <c r="G6" s="6"/>
      <c r="H6" s="49"/>
    </row>
    <row r="7" spans="1:8" s="7" customFormat="1" ht="18" customHeight="1">
      <c r="A7" s="53"/>
      <c r="B7" s="2"/>
      <c r="C7" s="2"/>
      <c r="D7" s="14"/>
      <c r="E7" s="156" t="s">
        <v>142</v>
      </c>
      <c r="F7" s="157"/>
      <c r="G7" s="6"/>
      <c r="H7" s="49"/>
    </row>
    <row r="8" spans="1:8" s="7" customFormat="1" ht="18" customHeight="1">
      <c r="A8" s="54">
        <f>$A$3+1</f>
        <v>2</v>
      </c>
      <c r="B8" s="15" t="s">
        <v>43</v>
      </c>
      <c r="C8" s="16"/>
      <c r="D8" s="17"/>
      <c r="E8" s="46" t="s">
        <v>49</v>
      </c>
      <c r="F8" s="18"/>
      <c r="G8" s="19" t="s">
        <v>2</v>
      </c>
      <c r="H8" s="100" t="s">
        <v>30</v>
      </c>
    </row>
    <row r="9" spans="1:8" s="7" customFormat="1" ht="18" customHeight="1">
      <c r="A9" s="52">
        <f>A4+1</f>
        <v>45734</v>
      </c>
      <c r="B9" s="2"/>
      <c r="C9" s="2"/>
      <c r="D9" s="4">
        <v>0.41666666666666669</v>
      </c>
      <c r="E9" s="47" t="s">
        <v>67</v>
      </c>
      <c r="F9" s="10"/>
      <c r="G9" s="6" t="s">
        <v>3</v>
      </c>
      <c r="H9" s="99" t="s">
        <v>29</v>
      </c>
    </row>
    <row r="10" spans="1:8" s="7" customFormat="1" ht="18" customHeight="1">
      <c r="A10" s="52"/>
      <c r="B10" s="2"/>
      <c r="C10" s="2"/>
      <c r="D10" s="4"/>
      <c r="E10" s="38" t="s">
        <v>53</v>
      </c>
      <c r="F10" s="23"/>
      <c r="G10" s="6" t="s">
        <v>1</v>
      </c>
      <c r="H10" s="99" t="s">
        <v>29</v>
      </c>
    </row>
    <row r="11" spans="1:8" s="7" customFormat="1" ht="18" customHeight="1">
      <c r="A11" s="52"/>
      <c r="B11" s="2"/>
      <c r="C11" s="2"/>
      <c r="D11" s="4"/>
      <c r="E11" s="38" t="s">
        <v>54</v>
      </c>
      <c r="F11" s="23"/>
      <c r="G11" s="167"/>
      <c r="H11" s="168"/>
    </row>
    <row r="12" spans="1:8" s="7" customFormat="1" ht="18" customHeight="1">
      <c r="A12" s="52"/>
      <c r="B12" s="2"/>
      <c r="C12" s="2"/>
      <c r="D12" s="4"/>
      <c r="E12" s="38" t="s">
        <v>55</v>
      </c>
      <c r="F12" s="23"/>
      <c r="G12" s="97"/>
      <c r="H12" s="101"/>
    </row>
    <row r="13" spans="1:8" s="7" customFormat="1" ht="18" customHeight="1">
      <c r="A13" s="52"/>
      <c r="B13" s="2"/>
      <c r="C13" s="2"/>
      <c r="D13" s="4"/>
      <c r="E13" s="38" t="s">
        <v>56</v>
      </c>
      <c r="F13" s="23"/>
      <c r="G13" s="97"/>
      <c r="H13" s="101"/>
    </row>
    <row r="14" spans="1:8" s="7" customFormat="1" ht="18" customHeight="1">
      <c r="A14" s="52"/>
      <c r="B14" s="2"/>
      <c r="C14" s="2"/>
      <c r="D14" s="4"/>
      <c r="E14" s="38" t="s">
        <v>57</v>
      </c>
      <c r="F14" s="23"/>
      <c r="G14" s="97"/>
      <c r="H14" s="101"/>
    </row>
    <row r="15" spans="1:8" s="7" customFormat="1" ht="18" customHeight="1">
      <c r="A15" s="52"/>
      <c r="B15" s="2"/>
      <c r="C15" s="2"/>
      <c r="D15" s="4"/>
      <c r="E15" s="47" t="s">
        <v>68</v>
      </c>
      <c r="F15" s="5"/>
      <c r="G15" s="6"/>
      <c r="H15" s="49"/>
    </row>
    <row r="16" spans="1:8" s="7" customFormat="1" ht="18" customHeight="1">
      <c r="A16" s="53"/>
      <c r="B16" s="2"/>
      <c r="C16" s="2"/>
      <c r="D16" s="14"/>
      <c r="E16" s="156" t="s">
        <v>142</v>
      </c>
      <c r="F16" s="157"/>
      <c r="G16" s="6"/>
      <c r="H16" s="49"/>
    </row>
    <row r="17" spans="1:9" s="7" customFormat="1" ht="18" customHeight="1">
      <c r="A17" s="54">
        <f>A8+1</f>
        <v>3</v>
      </c>
      <c r="B17" s="15" t="s">
        <v>43</v>
      </c>
      <c r="C17" s="16"/>
      <c r="D17" s="17"/>
      <c r="E17" s="25" t="s">
        <v>49</v>
      </c>
      <c r="F17" s="26"/>
      <c r="G17" s="19" t="s">
        <v>2</v>
      </c>
      <c r="H17" s="100" t="s">
        <v>30</v>
      </c>
      <c r="I17" s="24"/>
    </row>
    <row r="18" spans="1:9" s="7" customFormat="1" ht="18" customHeight="1">
      <c r="A18" s="52">
        <f>A9+1</f>
        <v>45735</v>
      </c>
      <c r="B18" s="2"/>
      <c r="C18" s="2"/>
      <c r="D18" s="22"/>
      <c r="E18" s="169" t="s">
        <v>69</v>
      </c>
      <c r="F18" s="170"/>
      <c r="G18" s="6" t="s">
        <v>4</v>
      </c>
      <c r="H18" s="99" t="s">
        <v>29</v>
      </c>
      <c r="I18" s="24"/>
    </row>
    <row r="19" spans="1:9" s="7" customFormat="1" ht="18" customHeight="1">
      <c r="A19" s="53"/>
      <c r="B19" s="2"/>
      <c r="C19" s="2"/>
      <c r="D19" s="27"/>
      <c r="E19" s="20" t="s">
        <v>70</v>
      </c>
      <c r="F19" s="13"/>
      <c r="G19" s="6" t="s">
        <v>5</v>
      </c>
      <c r="H19" s="99" t="s">
        <v>29</v>
      </c>
      <c r="I19" s="24"/>
    </row>
    <row r="20" spans="1:9" s="7" customFormat="1" ht="18" customHeight="1">
      <c r="A20" s="53"/>
      <c r="B20" s="2"/>
      <c r="C20" s="2"/>
      <c r="D20" s="27">
        <v>0.55208333333333337</v>
      </c>
      <c r="E20" s="20" t="s">
        <v>47</v>
      </c>
      <c r="F20" s="13"/>
      <c r="G20" s="167"/>
      <c r="H20" s="168"/>
      <c r="I20" s="24"/>
    </row>
    <row r="21" spans="1:9" s="7" customFormat="1" ht="18" customHeight="1">
      <c r="A21" s="53"/>
      <c r="B21" s="2" t="s">
        <v>45</v>
      </c>
      <c r="C21" s="2"/>
      <c r="D21" s="27">
        <v>0.71180555555555558</v>
      </c>
      <c r="E21" s="20" t="s">
        <v>50</v>
      </c>
      <c r="F21" s="13"/>
      <c r="G21" s="97"/>
      <c r="H21" s="101"/>
      <c r="I21" s="24"/>
    </row>
    <row r="22" spans="1:9" s="7" customFormat="1" ht="18" customHeight="1">
      <c r="A22" s="53"/>
      <c r="B22" s="2"/>
      <c r="C22" s="2"/>
      <c r="D22" s="27"/>
      <c r="E22" s="20" t="s">
        <v>71</v>
      </c>
      <c r="F22" s="13"/>
      <c r="G22" s="97"/>
      <c r="H22" s="101"/>
      <c r="I22" s="24"/>
    </row>
    <row r="23" spans="1:9" s="7" customFormat="1" ht="18" customHeight="1">
      <c r="A23" s="53"/>
      <c r="B23" s="2"/>
      <c r="C23" s="2"/>
      <c r="D23" s="27"/>
      <c r="E23" s="105" t="s">
        <v>72</v>
      </c>
      <c r="F23" s="13"/>
      <c r="G23" s="97"/>
      <c r="H23" s="101"/>
      <c r="I23" s="24"/>
    </row>
    <row r="24" spans="1:9" s="7" customFormat="1" ht="18" customHeight="1">
      <c r="A24" s="53"/>
      <c r="B24" s="2"/>
      <c r="C24" s="2"/>
      <c r="D24" s="27"/>
      <c r="E24" s="20" t="s">
        <v>48</v>
      </c>
      <c r="F24" s="13"/>
      <c r="G24" s="6"/>
      <c r="H24" s="49"/>
      <c r="I24" s="24"/>
    </row>
    <row r="25" spans="1:9" s="7" customFormat="1" ht="18" customHeight="1">
      <c r="A25" s="55"/>
      <c r="B25" s="29"/>
      <c r="C25" s="29"/>
      <c r="D25" s="30"/>
      <c r="E25" s="156" t="s">
        <v>143</v>
      </c>
      <c r="F25" s="157"/>
      <c r="G25" s="31"/>
      <c r="H25" s="56"/>
      <c r="I25" s="32"/>
    </row>
    <row r="26" spans="1:9" s="7" customFormat="1" ht="18" customHeight="1">
      <c r="A26" s="48">
        <f>A17+1</f>
        <v>4</v>
      </c>
      <c r="B26" s="15" t="s">
        <v>45</v>
      </c>
      <c r="C26" s="8"/>
      <c r="D26" s="33"/>
      <c r="E26" s="21" t="s">
        <v>49</v>
      </c>
      <c r="F26" s="34"/>
      <c r="G26" s="6" t="s">
        <v>6</v>
      </c>
      <c r="H26" s="99" t="s">
        <v>30</v>
      </c>
      <c r="I26" s="32"/>
    </row>
    <row r="27" spans="1:9" s="7" customFormat="1" ht="18" customHeight="1">
      <c r="A27" s="52">
        <f>A18+1</f>
        <v>45736</v>
      </c>
      <c r="B27" s="35"/>
      <c r="C27" s="2"/>
      <c r="D27" s="36"/>
      <c r="E27" s="103" t="s">
        <v>76</v>
      </c>
      <c r="F27" s="104"/>
      <c r="G27" s="6" t="s">
        <v>7</v>
      </c>
      <c r="H27" s="99" t="s">
        <v>29</v>
      </c>
      <c r="I27" s="24"/>
    </row>
    <row r="28" spans="1:9" s="7" customFormat="1" ht="18" customHeight="1">
      <c r="A28" s="52"/>
      <c r="B28" s="35"/>
      <c r="C28" s="2"/>
      <c r="D28" s="36"/>
      <c r="E28" s="103" t="s">
        <v>75</v>
      </c>
      <c r="F28" s="104"/>
      <c r="G28" s="6" t="s">
        <v>1</v>
      </c>
      <c r="H28" s="99" t="s">
        <v>60</v>
      </c>
      <c r="I28" s="24"/>
    </row>
    <row r="29" spans="1:9" s="7" customFormat="1" ht="17.25" customHeight="1">
      <c r="A29" s="52"/>
      <c r="B29" s="35"/>
      <c r="C29" s="2"/>
      <c r="D29" s="4"/>
      <c r="E29" s="103" t="s">
        <v>83</v>
      </c>
      <c r="F29" s="106"/>
      <c r="G29" s="6"/>
      <c r="H29" s="99"/>
      <c r="I29" s="24"/>
    </row>
    <row r="30" spans="1:9" s="7" customFormat="1" ht="18" customHeight="1">
      <c r="A30" s="52"/>
      <c r="B30" s="35"/>
      <c r="C30" s="2"/>
      <c r="D30" s="4"/>
      <c r="E30" s="103" t="s">
        <v>73</v>
      </c>
      <c r="F30" s="104"/>
      <c r="G30" s="6"/>
      <c r="H30" s="99"/>
      <c r="I30" s="24"/>
    </row>
    <row r="31" spans="1:9" s="7" customFormat="1" ht="18" customHeight="1">
      <c r="A31" s="52"/>
      <c r="B31" s="35"/>
      <c r="C31" s="2"/>
      <c r="D31" s="4"/>
      <c r="E31" s="103" t="s">
        <v>74</v>
      </c>
      <c r="F31" s="104"/>
      <c r="G31" s="6"/>
      <c r="H31" s="99"/>
      <c r="I31" s="24"/>
    </row>
    <row r="32" spans="1:9" s="7" customFormat="1" ht="18" customHeight="1">
      <c r="A32" s="52"/>
      <c r="B32" s="35"/>
      <c r="C32" s="2"/>
      <c r="D32" s="4"/>
      <c r="E32" s="28" t="s">
        <v>77</v>
      </c>
      <c r="F32" s="37"/>
      <c r="G32" s="6"/>
      <c r="H32" s="99"/>
      <c r="I32" s="24"/>
    </row>
    <row r="33" spans="1:9" s="7" customFormat="1" ht="18" customHeight="1">
      <c r="A33" s="52"/>
      <c r="B33" s="35"/>
      <c r="C33" s="2" t="s">
        <v>46</v>
      </c>
      <c r="D33" s="4">
        <v>0.70208333333333328</v>
      </c>
      <c r="E33" s="28" t="s">
        <v>51</v>
      </c>
      <c r="F33" s="37"/>
      <c r="G33" s="6"/>
      <c r="H33" s="99"/>
      <c r="I33" s="24"/>
    </row>
    <row r="34" spans="1:9" s="7" customFormat="1" ht="18" customHeight="1">
      <c r="A34" s="52"/>
      <c r="B34" s="35" t="s">
        <v>43</v>
      </c>
      <c r="C34" s="2"/>
      <c r="D34" s="4">
        <v>0.80347222222222225</v>
      </c>
      <c r="E34" s="28" t="s">
        <v>40</v>
      </c>
      <c r="F34" s="37"/>
      <c r="G34" s="6"/>
      <c r="H34" s="99"/>
      <c r="I34" s="24"/>
    </row>
    <row r="35" spans="1:9" s="7" customFormat="1" ht="18" customHeight="1">
      <c r="A35" s="52"/>
      <c r="B35" s="2"/>
      <c r="C35" s="4"/>
      <c r="D35" s="4"/>
      <c r="E35" s="38" t="s">
        <v>52</v>
      </c>
      <c r="F35" s="39"/>
      <c r="G35" s="11"/>
      <c r="H35" s="51"/>
      <c r="I35" s="24"/>
    </row>
    <row r="36" spans="1:9" s="7" customFormat="1" ht="18" customHeight="1">
      <c r="A36" s="55"/>
      <c r="B36" s="29"/>
      <c r="C36" s="29"/>
      <c r="D36" s="30"/>
      <c r="E36" s="156" t="s">
        <v>142</v>
      </c>
      <c r="F36" s="157"/>
      <c r="G36" s="31"/>
      <c r="H36" s="56"/>
      <c r="I36" s="32"/>
    </row>
    <row r="37" spans="1:9" s="7" customFormat="1" ht="18" customHeight="1">
      <c r="A37" s="48">
        <f>A26+1</f>
        <v>5</v>
      </c>
      <c r="B37" s="2" t="s">
        <v>43</v>
      </c>
      <c r="C37" s="3"/>
      <c r="D37" s="41"/>
      <c r="E37" s="38" t="s">
        <v>49</v>
      </c>
      <c r="F37" s="34"/>
      <c r="G37" s="6" t="s">
        <v>2</v>
      </c>
      <c r="H37" s="99" t="s">
        <v>30</v>
      </c>
      <c r="I37" s="24"/>
    </row>
    <row r="38" spans="1:9" s="7" customFormat="1" ht="18" customHeight="1">
      <c r="A38" s="52">
        <f>A27+1</f>
        <v>45737</v>
      </c>
      <c r="B38" s="2"/>
      <c r="C38" s="96"/>
      <c r="D38" s="4"/>
      <c r="E38" s="103" t="s">
        <v>78</v>
      </c>
      <c r="F38" s="107"/>
      <c r="G38" s="6" t="s">
        <v>3</v>
      </c>
      <c r="H38" s="99" t="s">
        <v>29</v>
      </c>
      <c r="I38" s="24"/>
    </row>
    <row r="39" spans="1:9" s="7" customFormat="1" ht="18" customHeight="1">
      <c r="A39" s="52"/>
      <c r="B39" s="2"/>
      <c r="C39" s="4"/>
      <c r="D39" s="4"/>
      <c r="E39" s="108" t="s">
        <v>79</v>
      </c>
      <c r="F39" s="109"/>
      <c r="G39" s="6" t="s">
        <v>1</v>
      </c>
      <c r="H39" s="99" t="s">
        <v>60</v>
      </c>
      <c r="I39" s="24"/>
    </row>
    <row r="40" spans="1:9" s="7" customFormat="1" ht="18" customHeight="1">
      <c r="A40" s="52"/>
      <c r="B40" s="2"/>
      <c r="C40" s="4"/>
      <c r="D40" s="4"/>
      <c r="E40" s="108" t="s">
        <v>80</v>
      </c>
      <c r="F40" s="109"/>
      <c r="G40" s="167"/>
      <c r="H40" s="168"/>
      <c r="I40" s="24"/>
    </row>
    <row r="41" spans="1:9" s="7" customFormat="1" ht="18" customHeight="1">
      <c r="A41" s="52"/>
      <c r="B41" s="2"/>
      <c r="C41" s="4"/>
      <c r="D41" s="4"/>
      <c r="E41" s="108" t="s">
        <v>81</v>
      </c>
      <c r="F41" s="109"/>
      <c r="G41" s="97"/>
      <c r="H41" s="101"/>
      <c r="I41" s="24"/>
    </row>
    <row r="42" spans="1:9" s="7" customFormat="1" ht="18" customHeight="1">
      <c r="A42" s="52"/>
      <c r="B42" s="2"/>
      <c r="C42" s="4"/>
      <c r="D42" s="4"/>
      <c r="E42" s="108" t="s">
        <v>82</v>
      </c>
      <c r="F42" s="110"/>
      <c r="G42" s="6"/>
      <c r="H42" s="49"/>
      <c r="I42" s="24"/>
    </row>
    <row r="43" spans="1:9" s="7" customFormat="1" ht="18" customHeight="1">
      <c r="A43" s="52"/>
      <c r="B43" s="2"/>
      <c r="C43" s="98"/>
      <c r="D43" s="4"/>
      <c r="E43" s="38" t="s">
        <v>58</v>
      </c>
      <c r="F43" s="23"/>
      <c r="G43" s="6"/>
      <c r="H43" s="49"/>
      <c r="I43" s="24"/>
    </row>
    <row r="44" spans="1:9" s="7" customFormat="1" ht="18" customHeight="1">
      <c r="A44" s="52"/>
      <c r="B44" s="2"/>
      <c r="C44" s="98" t="s">
        <v>59</v>
      </c>
      <c r="D44" s="4">
        <v>0.93055555555555558</v>
      </c>
      <c r="E44" s="38" t="s">
        <v>47</v>
      </c>
      <c r="F44" s="23"/>
      <c r="G44" s="6"/>
      <c r="H44" s="49"/>
      <c r="I44" s="24"/>
    </row>
    <row r="45" spans="1:9" s="7" customFormat="1" ht="18" customHeight="1">
      <c r="A45" s="57"/>
      <c r="B45" s="29"/>
      <c r="C45" s="42"/>
      <c r="D45" s="43"/>
      <c r="E45" s="156" t="s">
        <v>66</v>
      </c>
      <c r="F45" s="157"/>
      <c r="G45" s="31"/>
      <c r="H45" s="56"/>
      <c r="I45" s="24"/>
    </row>
    <row r="46" spans="1:9" s="7" customFormat="1" ht="18" customHeight="1">
      <c r="A46" s="48">
        <f>A37+1</f>
        <v>6</v>
      </c>
      <c r="B46" s="2"/>
      <c r="C46" s="3"/>
      <c r="D46" s="4" t="s">
        <v>87</v>
      </c>
      <c r="E46" s="102"/>
      <c r="F46" s="34"/>
      <c r="G46" s="6"/>
      <c r="H46" s="99"/>
    </row>
    <row r="47" spans="1:9" ht="18" customHeight="1">
      <c r="A47" s="52">
        <f>A38+1</f>
        <v>45738</v>
      </c>
      <c r="B47" s="2"/>
      <c r="C47" s="3"/>
      <c r="D47" s="4"/>
      <c r="E47" s="38"/>
      <c r="F47" s="23"/>
      <c r="G47" s="6"/>
      <c r="H47" s="49"/>
    </row>
    <row r="48" spans="1:9" ht="18" customHeight="1">
      <c r="A48" s="52"/>
      <c r="B48" s="2"/>
      <c r="C48" s="8"/>
      <c r="D48" s="4"/>
      <c r="E48" s="38" t="s">
        <v>28</v>
      </c>
      <c r="F48" s="23"/>
      <c r="G48" s="6"/>
      <c r="H48" s="49"/>
    </row>
    <row r="49" spans="1:8" ht="18" customHeight="1">
      <c r="A49" s="57"/>
      <c r="B49" s="29"/>
      <c r="C49" s="42"/>
      <c r="D49" s="43"/>
      <c r="E49" s="44" t="s">
        <v>8</v>
      </c>
      <c r="F49" s="45"/>
      <c r="G49" s="31"/>
      <c r="H49" s="56"/>
    </row>
    <row r="50" spans="1:8" ht="17.25" customHeight="1" thickBot="1">
      <c r="A50" s="164" t="s">
        <v>9</v>
      </c>
      <c r="B50" s="165"/>
      <c r="C50" s="165"/>
      <c r="D50" s="165"/>
      <c r="E50" s="165"/>
      <c r="F50" s="165"/>
      <c r="G50" s="165"/>
      <c r="H50" s="166"/>
    </row>
  </sheetData>
  <mergeCells count="8">
    <mergeCell ref="A1:H1"/>
    <mergeCell ref="E2:F2"/>
    <mergeCell ref="G2:H2"/>
    <mergeCell ref="A50:H50"/>
    <mergeCell ref="G11:H11"/>
    <mergeCell ref="G40:H40"/>
    <mergeCell ref="G20:H20"/>
    <mergeCell ref="E18:F18"/>
  </mergeCells>
  <phoneticPr fontId="4" type="noConversion"/>
  <dataValidations count="2">
    <dataValidation type="list" allowBlank="1" showInputMessage="1" showErrorMessage="1" sqref="H47:H49 H36 H24:H25 H5:H7 H42:H45 H15:H16" xr:uid="{AAF10524-49E6-E241-97AF-656A50A4E857}">
      <formula1>"불포함,호텔식,현지식,한   식,도시락,매   식,중국식,특   식"</formula1>
    </dataValidation>
    <dataValidation type="list" allowBlank="1" showInputMessage="1" showErrorMessage="1" sqref="C7:C8 C25:C26 C36 C4 C48 C16:C17" xr:uid="{10690128-3EA5-E44A-83E3-AD8DCE99BC91}">
      <formula1>"전용차량,드라이빙GD,전용버스,워킹가이드,불포함,승용차,7-9인승벤"</formula1>
    </dataValidation>
  </dataValidations>
  <printOptions horizontalCentered="1"/>
  <pageMargins left="0" right="0" top="1.6317708333333334" bottom="0" header="0" footer="0"/>
  <pageSetup paperSize="9" scale="65" orientation="portrait"/>
  <headerFooter alignWithMargins="0">
    <oddHeader>&amp;C&amp;G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8E6B-8089-AB4E-9E48-3C3AA63F6142}">
  <sheetPr>
    <tabColor rgb="FFFFC000"/>
  </sheetPr>
  <dimension ref="A1:K37"/>
  <sheetViews>
    <sheetView view="pageBreakPreview" zoomScale="106" zoomScaleNormal="100" zoomScaleSheetLayoutView="106" workbookViewId="0">
      <selection activeCell="A20" sqref="A20"/>
    </sheetView>
  </sheetViews>
  <sheetFormatPr baseColWidth="10" defaultColWidth="9" defaultRowHeight="15"/>
  <cols>
    <col min="1" max="1" width="13.83203125" style="58" customWidth="1"/>
    <col min="2" max="9" width="8.6640625" style="58" customWidth="1"/>
    <col min="10" max="11" width="10.6640625" style="58" customWidth="1"/>
    <col min="12" max="12" width="9" style="58" customWidth="1"/>
    <col min="13" max="16384" width="9" style="58"/>
  </cols>
  <sheetData>
    <row r="1" spans="1:11" ht="30">
      <c r="A1" s="171" t="s">
        <v>10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</row>
    <row r="2" spans="1:11" ht="7.5" customHeight="1">
      <c r="A2" s="59"/>
      <c r="B2" s="59"/>
      <c r="C2" s="59"/>
      <c r="D2" s="60"/>
      <c r="E2" s="60"/>
      <c r="F2" s="60"/>
      <c r="G2" s="60"/>
      <c r="H2" s="60"/>
      <c r="I2" s="60"/>
      <c r="J2" s="61"/>
      <c r="K2" s="62"/>
    </row>
    <row r="3" spans="1:11" ht="18">
      <c r="A3" s="63" t="s">
        <v>11</v>
      </c>
      <c r="B3" s="63" t="s">
        <v>12</v>
      </c>
      <c r="C3" s="63" t="s">
        <v>133</v>
      </c>
      <c r="D3" s="64"/>
      <c r="E3" s="65"/>
      <c r="F3" s="63"/>
      <c r="G3" s="63" t="s">
        <v>85</v>
      </c>
      <c r="H3" s="63"/>
      <c r="I3" s="64"/>
      <c r="J3" s="66"/>
      <c r="K3" s="67"/>
    </row>
    <row r="4" spans="1:11" ht="18">
      <c r="A4" s="63" t="s">
        <v>13</v>
      </c>
      <c r="B4" s="63" t="s">
        <v>12</v>
      </c>
      <c r="C4" s="63" t="s">
        <v>63</v>
      </c>
      <c r="D4" s="63"/>
      <c r="E4" s="65"/>
      <c r="F4" s="63"/>
      <c r="G4" s="63" t="s">
        <v>14</v>
      </c>
      <c r="H4" s="63"/>
      <c r="I4" s="64"/>
      <c r="J4" s="66"/>
      <c r="K4" s="67"/>
    </row>
    <row r="5" spans="1:11" ht="18">
      <c r="A5" s="63" t="s">
        <v>15</v>
      </c>
      <c r="B5" s="63" t="s">
        <v>12</v>
      </c>
      <c r="C5" s="172">
        <f ca="1">TODAY()</f>
        <v>46153</v>
      </c>
      <c r="D5" s="172"/>
      <c r="E5" s="172"/>
      <c r="F5" s="64"/>
      <c r="G5" s="64"/>
      <c r="H5" s="64"/>
      <c r="I5" s="64"/>
      <c r="J5" s="66"/>
      <c r="K5" s="67"/>
    </row>
    <row r="6" spans="1:11" ht="18">
      <c r="A6" s="68" t="s">
        <v>16</v>
      </c>
      <c r="B6" s="68" t="s">
        <v>17</v>
      </c>
      <c r="C6" s="69" t="s">
        <v>36</v>
      </c>
      <c r="D6" s="70"/>
      <c r="E6" s="70"/>
      <c r="F6" s="70"/>
      <c r="G6" s="70"/>
      <c r="H6" s="70"/>
      <c r="I6" s="70"/>
      <c r="J6" s="70"/>
      <c r="K6" s="62"/>
    </row>
    <row r="7" spans="1:11" ht="6.75" customHeight="1">
      <c r="A7" s="71"/>
      <c r="B7" s="71"/>
      <c r="C7" s="61"/>
      <c r="D7" s="61"/>
      <c r="E7" s="61"/>
      <c r="F7" s="61"/>
      <c r="G7" s="61"/>
      <c r="H7" s="61"/>
      <c r="I7" s="61"/>
      <c r="J7" s="61"/>
      <c r="K7" s="62"/>
    </row>
    <row r="8" spans="1:11" ht="14" customHeight="1">
      <c r="A8" s="61" t="s">
        <v>18</v>
      </c>
      <c r="B8" s="61"/>
      <c r="C8" s="61"/>
      <c r="D8" s="61"/>
      <c r="E8" s="61"/>
      <c r="F8" s="61"/>
      <c r="G8" s="61"/>
      <c r="H8" s="61"/>
      <c r="I8" s="61"/>
      <c r="J8" s="61"/>
      <c r="K8" s="62"/>
    </row>
    <row r="9" spans="1:11" ht="14" customHeight="1">
      <c r="A9" s="61" t="s">
        <v>19</v>
      </c>
      <c r="B9" s="61"/>
      <c r="C9" s="61"/>
      <c r="D9" s="61"/>
      <c r="E9" s="61"/>
      <c r="F9" s="61"/>
      <c r="G9" s="61"/>
      <c r="H9" s="61"/>
      <c r="I9" s="61"/>
      <c r="J9" s="61"/>
      <c r="K9" s="62"/>
    </row>
    <row r="10" spans="1:11" ht="14" customHeight="1">
      <c r="A10" s="72" t="s">
        <v>20</v>
      </c>
      <c r="B10" s="72"/>
      <c r="C10" s="72"/>
      <c r="D10" s="73"/>
      <c r="E10" s="72"/>
      <c r="F10" s="61"/>
      <c r="G10" s="61"/>
      <c r="H10" s="61"/>
      <c r="I10" s="61"/>
      <c r="J10" s="61"/>
      <c r="K10" s="62"/>
    </row>
    <row r="11" spans="1:11" ht="18" thickBot="1">
      <c r="A11" s="72"/>
      <c r="B11" s="72"/>
      <c r="C11" s="72"/>
      <c r="D11" s="73"/>
      <c r="E11" s="72"/>
      <c r="F11" s="61"/>
      <c r="G11" s="61"/>
      <c r="H11" s="61"/>
      <c r="I11" s="61"/>
      <c r="J11" s="61"/>
      <c r="K11" s="62"/>
    </row>
    <row r="12" spans="1:11" ht="23" customHeight="1" thickBot="1">
      <c r="A12" s="74"/>
      <c r="B12" s="74"/>
      <c r="C12" s="173" t="s">
        <v>61</v>
      </c>
      <c r="D12" s="174"/>
      <c r="E12" s="174"/>
      <c r="F12" s="174"/>
      <c r="G12" s="174"/>
      <c r="H12" s="174"/>
      <c r="I12" s="175"/>
      <c r="J12" s="75"/>
      <c r="K12" s="62"/>
    </row>
    <row r="13" spans="1:11" ht="23" customHeight="1" thickTop="1">
      <c r="A13" s="74"/>
      <c r="B13" s="74"/>
      <c r="C13" s="180" t="s">
        <v>84</v>
      </c>
      <c r="D13" s="181"/>
      <c r="E13" s="181"/>
      <c r="F13" s="181"/>
      <c r="G13" s="182">
        <v>860</v>
      </c>
      <c r="H13" s="182"/>
      <c r="I13" s="183"/>
      <c r="J13" s="75"/>
      <c r="K13" s="62"/>
    </row>
    <row r="14" spans="1:11" ht="23" customHeight="1" thickBot="1">
      <c r="A14" s="74"/>
      <c r="B14" s="74"/>
      <c r="C14" s="178" t="s">
        <v>62</v>
      </c>
      <c r="D14" s="179"/>
      <c r="E14" s="179"/>
      <c r="F14" s="179"/>
      <c r="G14" s="176">
        <v>180</v>
      </c>
      <c r="H14" s="176"/>
      <c r="I14" s="177"/>
      <c r="J14" s="75"/>
      <c r="K14" s="62"/>
    </row>
    <row r="15" spans="1:11" ht="18">
      <c r="A15" s="74"/>
      <c r="B15" s="74"/>
      <c r="C15" s="77"/>
      <c r="D15" s="77"/>
      <c r="E15" s="77"/>
      <c r="F15" s="77"/>
      <c r="G15" s="78"/>
      <c r="H15" s="78"/>
      <c r="I15" s="78"/>
      <c r="J15" s="76"/>
      <c r="K15" s="62"/>
    </row>
    <row r="16" spans="1:11" ht="17">
      <c r="A16" s="79" t="s">
        <v>21</v>
      </c>
      <c r="B16" s="79"/>
      <c r="C16" s="80" t="s">
        <v>22</v>
      </c>
      <c r="D16" s="80"/>
      <c r="E16" s="81"/>
      <c r="F16" s="81"/>
      <c r="G16" s="81"/>
      <c r="H16" s="81"/>
      <c r="I16" s="81"/>
      <c r="J16" s="61"/>
      <c r="K16" s="62"/>
    </row>
    <row r="17" spans="1:11" ht="17">
      <c r="A17" s="81" t="s">
        <v>64</v>
      </c>
      <c r="B17" s="81"/>
      <c r="C17" s="72"/>
      <c r="D17" s="72"/>
      <c r="E17" s="72"/>
      <c r="F17" s="72"/>
      <c r="G17" s="72"/>
      <c r="H17" s="72"/>
      <c r="I17" s="72"/>
      <c r="J17" s="61"/>
      <c r="K17" s="62"/>
    </row>
    <row r="18" spans="1:11" ht="12" customHeight="1">
      <c r="A18" s="72"/>
      <c r="B18" s="72"/>
      <c r="C18" s="72"/>
      <c r="D18" s="72"/>
      <c r="E18" s="72"/>
      <c r="F18" s="72"/>
      <c r="G18" s="72"/>
      <c r="H18" s="72"/>
      <c r="I18" s="72"/>
      <c r="J18" s="61"/>
      <c r="K18" s="62"/>
    </row>
    <row r="19" spans="1:11" ht="17">
      <c r="A19" s="82" t="s">
        <v>35</v>
      </c>
      <c r="B19" s="82"/>
      <c r="C19" s="72"/>
      <c r="D19" s="72"/>
      <c r="E19" s="72"/>
      <c r="F19" s="72"/>
      <c r="G19" s="72"/>
      <c r="H19" s="72"/>
      <c r="I19" s="72"/>
      <c r="J19" s="61"/>
      <c r="K19" s="62"/>
    </row>
    <row r="20" spans="1:11" ht="17">
      <c r="A20" s="94" t="s">
        <v>141</v>
      </c>
      <c r="B20" s="82"/>
      <c r="C20" s="72"/>
      <c r="D20" s="72"/>
      <c r="E20" s="72"/>
      <c r="F20" s="72"/>
      <c r="G20" s="72"/>
      <c r="H20" s="72"/>
      <c r="I20" s="72"/>
      <c r="J20" s="61"/>
      <c r="K20" s="62"/>
    </row>
    <row r="21" spans="1:11" ht="14" customHeight="1">
      <c r="A21" s="94" t="s">
        <v>140</v>
      </c>
      <c r="B21" s="83"/>
      <c r="C21" s="83"/>
      <c r="D21" s="83"/>
      <c r="E21" s="83"/>
      <c r="F21" s="83"/>
      <c r="G21" s="83"/>
      <c r="H21" s="83"/>
      <c r="I21" s="83"/>
      <c r="J21" s="84"/>
      <c r="K21" s="85"/>
    </row>
    <row r="22" spans="1:11" ht="12" customHeight="1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62"/>
    </row>
    <row r="23" spans="1:11" ht="17">
      <c r="A23" s="86" t="s">
        <v>23</v>
      </c>
      <c r="B23" s="86"/>
      <c r="C23" s="87"/>
      <c r="D23" s="88"/>
      <c r="E23" s="88"/>
      <c r="F23" s="72"/>
      <c r="G23" s="72"/>
      <c r="H23" s="72"/>
      <c r="I23" s="72"/>
      <c r="J23" s="61"/>
      <c r="K23" s="62"/>
    </row>
    <row r="24" spans="1:11" ht="17">
      <c r="A24" s="87" t="s">
        <v>134</v>
      </c>
      <c r="B24" s="87"/>
      <c r="C24" s="87"/>
      <c r="D24" s="88"/>
      <c r="E24" s="88"/>
      <c r="F24" s="72"/>
      <c r="G24" s="72"/>
      <c r="H24" s="72"/>
      <c r="I24" s="72"/>
      <c r="J24" s="61"/>
      <c r="K24" s="62"/>
    </row>
    <row r="25" spans="1:11" ht="17">
      <c r="A25" s="89" t="s">
        <v>65</v>
      </c>
      <c r="B25" s="89"/>
      <c r="C25" s="89"/>
      <c r="D25" s="87"/>
      <c r="E25" s="88"/>
      <c r="F25" s="72"/>
      <c r="G25" s="72"/>
      <c r="H25" s="72"/>
      <c r="I25" s="72"/>
      <c r="J25" s="61"/>
      <c r="K25" s="62"/>
    </row>
    <row r="26" spans="1:11" ht="17">
      <c r="A26" s="89" t="s">
        <v>37</v>
      </c>
      <c r="B26" s="89"/>
      <c r="C26" s="89"/>
      <c r="D26" s="87"/>
      <c r="E26" s="88"/>
      <c r="F26" s="72"/>
      <c r="G26" s="72"/>
      <c r="H26" s="72"/>
      <c r="I26" s="72"/>
      <c r="J26" s="61"/>
      <c r="K26" s="62"/>
    </row>
    <row r="27" spans="1:11" ht="17">
      <c r="A27" s="89" t="s">
        <v>135</v>
      </c>
      <c r="B27" s="89"/>
      <c r="C27" s="89"/>
      <c r="D27" s="88"/>
      <c r="E27" s="88"/>
      <c r="F27" s="72"/>
      <c r="G27" s="72"/>
      <c r="H27" s="72"/>
      <c r="I27" s="72"/>
      <c r="J27" s="61"/>
      <c r="K27" s="62"/>
    </row>
    <row r="28" spans="1:11" ht="17">
      <c r="A28" s="89" t="s">
        <v>86</v>
      </c>
      <c r="B28" s="89"/>
      <c r="C28" s="89"/>
      <c r="D28" s="88"/>
      <c r="E28" s="88"/>
      <c r="F28" s="72"/>
      <c r="G28" s="72"/>
      <c r="H28" s="72"/>
      <c r="I28" s="72"/>
      <c r="J28" s="61"/>
      <c r="K28" s="62"/>
    </row>
    <row r="29" spans="1:11" ht="12" customHeight="1">
      <c r="A29" s="89"/>
      <c r="B29" s="89"/>
      <c r="C29" s="89"/>
      <c r="D29" s="87"/>
      <c r="E29" s="88"/>
      <c r="F29" s="72"/>
      <c r="G29" s="72"/>
      <c r="H29" s="72"/>
      <c r="I29" s="72"/>
      <c r="J29" s="61"/>
      <c r="K29" s="62"/>
    </row>
    <row r="30" spans="1:11" ht="17">
      <c r="A30" s="90" t="s">
        <v>24</v>
      </c>
      <c r="B30" s="90"/>
      <c r="C30" s="89"/>
      <c r="D30" s="72"/>
      <c r="E30" s="88"/>
      <c r="F30" s="72"/>
      <c r="G30" s="72"/>
      <c r="H30" s="72"/>
      <c r="I30" s="72"/>
      <c r="J30" s="61"/>
      <c r="K30" s="62"/>
    </row>
    <row r="31" spans="1:11" ht="17">
      <c r="A31" s="89" t="s">
        <v>31</v>
      </c>
      <c r="B31" s="89"/>
      <c r="C31" s="89"/>
      <c r="D31" s="89"/>
      <c r="E31" s="88"/>
      <c r="F31" s="72"/>
      <c r="G31" s="72"/>
      <c r="H31" s="72"/>
      <c r="I31" s="72"/>
      <c r="J31" s="61"/>
      <c r="K31" s="62"/>
    </row>
    <row r="32" spans="1:11" ht="17">
      <c r="A32" s="89" t="s">
        <v>32</v>
      </c>
      <c r="B32" s="89"/>
      <c r="C32" s="89"/>
      <c r="D32" s="89"/>
      <c r="E32" s="88"/>
      <c r="F32" s="72"/>
      <c r="G32" s="72"/>
      <c r="H32" s="72"/>
      <c r="I32" s="72"/>
      <c r="J32" s="61"/>
      <c r="K32" s="62"/>
    </row>
    <row r="33" spans="1:11" ht="12" customHeight="1">
      <c r="A33" s="89"/>
      <c r="B33" s="91"/>
      <c r="C33" s="89"/>
      <c r="D33" s="89"/>
      <c r="E33" s="88"/>
      <c r="F33" s="72"/>
      <c r="G33" s="72"/>
      <c r="H33" s="72"/>
      <c r="I33" s="72"/>
      <c r="J33" s="61"/>
      <c r="K33" s="62"/>
    </row>
    <row r="34" spans="1:11" ht="17">
      <c r="A34" s="92" t="s">
        <v>25</v>
      </c>
      <c r="B34" s="92"/>
      <c r="C34" s="89"/>
      <c r="D34" s="72"/>
      <c r="E34" s="72"/>
      <c r="F34" s="72"/>
      <c r="G34" s="72"/>
      <c r="H34" s="72"/>
      <c r="I34" s="72"/>
      <c r="J34" s="61"/>
      <c r="K34" s="62"/>
    </row>
    <row r="35" spans="1:11">
      <c r="A35" s="95" t="s">
        <v>33</v>
      </c>
      <c r="B35" s="85"/>
      <c r="C35" s="85"/>
      <c r="D35" s="85"/>
      <c r="E35" s="85"/>
      <c r="F35" s="85"/>
      <c r="G35" s="85"/>
      <c r="H35" s="85"/>
      <c r="I35" s="85"/>
      <c r="J35" s="85"/>
      <c r="K35" s="85"/>
    </row>
    <row r="36" spans="1:11">
      <c r="A36" s="95" t="s">
        <v>34</v>
      </c>
      <c r="B36" s="85"/>
      <c r="C36" s="85"/>
      <c r="D36" s="85"/>
      <c r="E36" s="85"/>
      <c r="F36" s="85"/>
      <c r="G36" s="85"/>
      <c r="H36" s="85"/>
      <c r="I36" s="85"/>
      <c r="J36" s="85"/>
      <c r="K36" s="85"/>
    </row>
    <row r="37" spans="1:11">
      <c r="A37" s="89" t="s">
        <v>26</v>
      </c>
      <c r="B37" s="93"/>
      <c r="C37" s="93"/>
      <c r="D37" s="83"/>
      <c r="E37" s="83"/>
      <c r="F37" s="83"/>
      <c r="G37" s="83"/>
      <c r="H37" s="83"/>
      <c r="I37" s="83"/>
      <c r="J37" s="84"/>
      <c r="K37" s="85"/>
    </row>
  </sheetData>
  <mergeCells count="7">
    <mergeCell ref="A1:K1"/>
    <mergeCell ref="C5:E5"/>
    <mergeCell ref="C12:I12"/>
    <mergeCell ref="G14:I14"/>
    <mergeCell ref="C14:F14"/>
    <mergeCell ref="C13:F13"/>
    <mergeCell ref="G13:I13"/>
  </mergeCells>
  <phoneticPr fontId="14" type="noConversion"/>
  <printOptions horizontalCentered="1"/>
  <pageMargins left="0.70866141732283472" right="0.70866141732283472" top="1.8110236220472442" bottom="0.74803149606299213" header="0.31496062992125984" footer="0.31496062992125984"/>
  <pageSetup paperSize="9" scale="77" orientation="portrait"/>
  <headerFooter>
    <oddHeader>&amp;C&amp;G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C271-8407-8744-80FC-350D5E166D4D}">
  <sheetPr>
    <tabColor rgb="FFFFFF00"/>
  </sheetPr>
  <dimension ref="A1:I41"/>
  <sheetViews>
    <sheetView tabSelected="1" zoomScaleNormal="100" workbookViewId="0">
      <selection activeCell="F16" sqref="F16"/>
    </sheetView>
  </sheetViews>
  <sheetFormatPr baseColWidth="10" defaultColWidth="9" defaultRowHeight="17"/>
  <cols>
    <col min="1" max="1" width="12.6640625" style="1" customWidth="1"/>
    <col min="2" max="2" width="10.33203125" style="1" customWidth="1"/>
    <col min="3" max="3" width="9.33203125" style="1" customWidth="1"/>
    <col min="4" max="4" width="8.1640625" style="1" customWidth="1"/>
    <col min="5" max="5" width="10.1640625" style="1" customWidth="1"/>
    <col min="6" max="6" width="65.1640625" style="1" customWidth="1"/>
    <col min="7" max="7" width="3.6640625" style="1" customWidth="1"/>
    <col min="8" max="8" width="7" style="1" customWidth="1"/>
    <col min="9" max="16384" width="9" style="1"/>
  </cols>
  <sheetData>
    <row r="1" spans="1:8" ht="40.25" customHeight="1" thickBot="1">
      <c r="A1" s="184" t="s">
        <v>131</v>
      </c>
      <c r="B1" s="184"/>
      <c r="C1" s="184"/>
      <c r="D1" s="184"/>
      <c r="E1" s="184"/>
      <c r="F1" s="184"/>
      <c r="G1" s="184"/>
      <c r="H1" s="184"/>
    </row>
    <row r="2" spans="1:8" ht="25.25" customHeight="1">
      <c r="A2" s="111" t="s">
        <v>88</v>
      </c>
      <c r="B2" s="112" t="s">
        <v>89</v>
      </c>
      <c r="C2" s="113" t="s">
        <v>90</v>
      </c>
      <c r="D2" s="113" t="s">
        <v>91</v>
      </c>
      <c r="E2" s="161" t="s">
        <v>0</v>
      </c>
      <c r="F2" s="162"/>
      <c r="G2" s="161" t="s">
        <v>92</v>
      </c>
      <c r="H2" s="163"/>
    </row>
    <row r="3" spans="1:8" s="7" customFormat="1" ht="18" customHeight="1">
      <c r="A3" s="114">
        <v>1</v>
      </c>
      <c r="B3" s="2" t="s">
        <v>93</v>
      </c>
      <c r="C3" s="115" t="s">
        <v>144</v>
      </c>
      <c r="D3" s="116">
        <v>0.4861111111111111</v>
      </c>
      <c r="E3" s="117" t="s">
        <v>94</v>
      </c>
      <c r="F3" s="5"/>
      <c r="G3" s="118"/>
      <c r="H3" s="49"/>
    </row>
    <row r="4" spans="1:8" s="7" customFormat="1" ht="18" customHeight="1">
      <c r="A4" s="119">
        <v>45733</v>
      </c>
      <c r="B4" s="2" t="s">
        <v>95</v>
      </c>
      <c r="C4" s="120" t="s">
        <v>96</v>
      </c>
      <c r="D4" s="116">
        <v>0.61805555555555558</v>
      </c>
      <c r="E4" s="121" t="s">
        <v>97</v>
      </c>
      <c r="F4" s="5"/>
      <c r="G4" s="118" t="s">
        <v>1</v>
      </c>
      <c r="H4" s="49" t="s">
        <v>105</v>
      </c>
    </row>
    <row r="5" spans="1:8" s="7" customFormat="1" ht="18" customHeight="1">
      <c r="A5" s="119"/>
      <c r="B5" s="2"/>
      <c r="C5" s="120"/>
      <c r="D5" s="116"/>
      <c r="E5" s="121" t="s">
        <v>145</v>
      </c>
      <c r="F5" s="5"/>
      <c r="G5" s="118"/>
      <c r="H5" s="49"/>
    </row>
    <row r="6" spans="1:8" s="7" customFormat="1" ht="18" customHeight="1">
      <c r="A6" s="119"/>
      <c r="B6" s="2"/>
      <c r="C6" s="120"/>
      <c r="D6" s="116"/>
      <c r="E6" s="122" t="s">
        <v>98</v>
      </c>
      <c r="F6" s="5"/>
      <c r="G6" s="118"/>
      <c r="H6" s="49"/>
    </row>
    <row r="7" spans="1:8" s="7" customFormat="1" ht="18" customHeight="1">
      <c r="A7" s="123"/>
      <c r="B7" s="29"/>
      <c r="C7" s="30"/>
      <c r="D7" s="124"/>
      <c r="E7" s="125" t="s">
        <v>99</v>
      </c>
      <c r="F7" s="126" t="s">
        <v>139</v>
      </c>
      <c r="G7" s="31"/>
      <c r="H7" s="56"/>
    </row>
    <row r="8" spans="1:8" s="7" customFormat="1" ht="18" customHeight="1">
      <c r="A8" s="114">
        <f>$A$3+1</f>
        <v>2</v>
      </c>
      <c r="B8" s="127" t="s">
        <v>95</v>
      </c>
      <c r="C8" s="120" t="s">
        <v>96</v>
      </c>
      <c r="D8" s="33" t="s">
        <v>100</v>
      </c>
      <c r="E8" s="117" t="s">
        <v>101</v>
      </c>
      <c r="F8" s="128"/>
      <c r="G8" s="118" t="s">
        <v>2</v>
      </c>
      <c r="H8" s="49" t="s">
        <v>102</v>
      </c>
    </row>
    <row r="9" spans="1:8" s="7" customFormat="1" ht="18" customHeight="1">
      <c r="A9" s="119">
        <f>A4+1</f>
        <v>45734</v>
      </c>
      <c r="B9" s="129"/>
      <c r="C9" s="120" t="s">
        <v>103</v>
      </c>
      <c r="D9" s="130"/>
      <c r="E9" s="131" t="s">
        <v>104</v>
      </c>
      <c r="F9" s="132"/>
      <c r="G9" s="118" t="s">
        <v>3</v>
      </c>
      <c r="H9" s="49" t="s">
        <v>105</v>
      </c>
    </row>
    <row r="10" spans="1:8" s="7" customFormat="1" ht="18" customHeight="1">
      <c r="A10" s="133"/>
      <c r="B10" s="129"/>
      <c r="C10" s="120"/>
      <c r="D10" s="130"/>
      <c r="E10" s="131" t="s">
        <v>106</v>
      </c>
      <c r="F10" s="132"/>
      <c r="G10" s="118" t="s">
        <v>1</v>
      </c>
      <c r="H10" s="49" t="s">
        <v>105</v>
      </c>
    </row>
    <row r="11" spans="1:8" s="7" customFormat="1" ht="18" customHeight="1">
      <c r="A11" s="133"/>
      <c r="B11" s="129"/>
      <c r="C11" s="134"/>
      <c r="D11" s="135"/>
      <c r="E11" s="131" t="s">
        <v>107</v>
      </c>
      <c r="F11" s="136"/>
      <c r="G11" s="118"/>
      <c r="H11" s="49"/>
    </row>
    <row r="12" spans="1:8" s="7" customFormat="1" ht="18" customHeight="1">
      <c r="A12" s="133"/>
      <c r="B12" s="129"/>
      <c r="C12" s="134"/>
      <c r="D12" s="98"/>
      <c r="E12" s="137" t="s">
        <v>98</v>
      </c>
      <c r="F12" s="138"/>
      <c r="G12" s="118"/>
      <c r="H12" s="49"/>
    </row>
    <row r="13" spans="1:8" s="7" customFormat="1" ht="18" customHeight="1">
      <c r="A13" s="139"/>
      <c r="B13" s="29"/>
      <c r="C13" s="30"/>
      <c r="D13" s="30"/>
      <c r="E13" s="125" t="s">
        <v>99</v>
      </c>
      <c r="F13" s="126" t="s">
        <v>139</v>
      </c>
      <c r="G13" s="31"/>
      <c r="H13" s="56"/>
    </row>
    <row r="14" spans="1:8" s="7" customFormat="1" ht="18" customHeight="1">
      <c r="A14" s="114">
        <f>$A$3+2</f>
        <v>3</v>
      </c>
      <c r="B14" s="127" t="s">
        <v>95</v>
      </c>
      <c r="C14" s="120" t="s">
        <v>96</v>
      </c>
      <c r="D14" s="33" t="s">
        <v>100</v>
      </c>
      <c r="E14" s="117" t="s">
        <v>101</v>
      </c>
      <c r="F14" s="128"/>
      <c r="G14" s="118" t="s">
        <v>2</v>
      </c>
      <c r="H14" s="49" t="s">
        <v>102</v>
      </c>
    </row>
    <row r="15" spans="1:8" s="7" customFormat="1" ht="18" customHeight="1">
      <c r="A15" s="119">
        <f>A4+2</f>
        <v>45735</v>
      </c>
      <c r="B15" s="129"/>
      <c r="C15" s="134"/>
      <c r="D15" s="98"/>
      <c r="E15" s="131" t="s">
        <v>108</v>
      </c>
      <c r="F15" s="136"/>
      <c r="G15" s="118" t="s">
        <v>3</v>
      </c>
      <c r="H15" s="49" t="s">
        <v>105</v>
      </c>
    </row>
    <row r="16" spans="1:8" s="7" customFormat="1" ht="18" customHeight="1">
      <c r="A16" s="133"/>
      <c r="B16" s="129"/>
      <c r="C16" s="134"/>
      <c r="D16" s="135"/>
      <c r="E16" s="131" t="s">
        <v>109</v>
      </c>
      <c r="F16" s="136"/>
      <c r="G16" s="118" t="s">
        <v>1</v>
      </c>
      <c r="H16" s="49" t="s">
        <v>132</v>
      </c>
    </row>
    <row r="17" spans="1:9" s="7" customFormat="1" ht="18" customHeight="1">
      <c r="A17" s="133"/>
      <c r="B17" s="2"/>
      <c r="C17" s="134"/>
      <c r="D17" s="135"/>
      <c r="E17" s="131" t="s">
        <v>110</v>
      </c>
      <c r="F17" s="136"/>
      <c r="G17" s="118"/>
      <c r="H17" s="49"/>
    </row>
    <row r="18" spans="1:9" s="7" customFormat="1" ht="18" customHeight="1">
      <c r="A18" s="133"/>
      <c r="B18" s="2"/>
      <c r="C18" s="134"/>
      <c r="D18" s="135"/>
      <c r="E18" s="131" t="s">
        <v>111</v>
      </c>
      <c r="F18" s="136"/>
      <c r="G18" s="118"/>
      <c r="H18" s="49"/>
    </row>
    <row r="19" spans="1:9" s="7" customFormat="1" ht="18" customHeight="1">
      <c r="A19" s="133"/>
      <c r="B19" s="129"/>
      <c r="C19" s="134"/>
      <c r="D19" s="98"/>
      <c r="E19" s="131" t="s">
        <v>112</v>
      </c>
      <c r="F19" s="136"/>
      <c r="G19" s="118"/>
      <c r="H19" s="49"/>
    </row>
    <row r="20" spans="1:9" s="7" customFormat="1" ht="18" customHeight="1">
      <c r="A20" s="133"/>
      <c r="B20" s="129"/>
      <c r="C20" s="140"/>
      <c r="D20" s="98"/>
      <c r="E20" s="141" t="s">
        <v>98</v>
      </c>
      <c r="F20" s="132"/>
      <c r="G20" s="118"/>
      <c r="H20" s="49"/>
    </row>
    <row r="21" spans="1:9" s="7" customFormat="1" ht="18" customHeight="1">
      <c r="A21" s="123"/>
      <c r="B21" s="29"/>
      <c r="C21" s="30"/>
      <c r="D21" s="30"/>
      <c r="E21" s="125" t="s">
        <v>99</v>
      </c>
      <c r="F21" s="126" t="s">
        <v>139</v>
      </c>
      <c r="G21" s="31"/>
      <c r="H21" s="56"/>
      <c r="I21" s="118"/>
    </row>
    <row r="22" spans="1:9" s="7" customFormat="1" ht="18" customHeight="1">
      <c r="A22" s="114">
        <f>$A$3+3</f>
        <v>4</v>
      </c>
      <c r="B22" s="127" t="s">
        <v>95</v>
      </c>
      <c r="C22" s="120" t="s">
        <v>96</v>
      </c>
      <c r="D22" s="33" t="s">
        <v>100</v>
      </c>
      <c r="E22" s="117" t="s">
        <v>101</v>
      </c>
      <c r="F22" s="128"/>
      <c r="G22" s="118" t="s">
        <v>2</v>
      </c>
      <c r="H22" s="49" t="s">
        <v>102</v>
      </c>
    </row>
    <row r="23" spans="1:9" s="7" customFormat="1" ht="18" customHeight="1">
      <c r="A23" s="119">
        <f>A4+3</f>
        <v>45736</v>
      </c>
      <c r="B23" s="129" t="s">
        <v>113</v>
      </c>
      <c r="C23" s="140"/>
      <c r="D23" s="98"/>
      <c r="E23" s="131" t="s">
        <v>114</v>
      </c>
      <c r="F23" s="132"/>
      <c r="G23" s="118" t="s">
        <v>3</v>
      </c>
      <c r="H23" s="49" t="s">
        <v>105</v>
      </c>
    </row>
    <row r="24" spans="1:9" s="7" customFormat="1" ht="18" customHeight="1">
      <c r="A24" s="133"/>
      <c r="B24" s="129"/>
      <c r="C24" s="140"/>
      <c r="D24" s="98"/>
      <c r="E24" s="131" t="s">
        <v>115</v>
      </c>
      <c r="F24" s="132"/>
      <c r="G24" s="118" t="s">
        <v>1</v>
      </c>
      <c r="H24" s="49" t="s">
        <v>116</v>
      </c>
    </row>
    <row r="25" spans="1:9" s="7" customFormat="1" ht="18" customHeight="1">
      <c r="A25" s="133"/>
      <c r="B25" s="129" t="s">
        <v>117</v>
      </c>
      <c r="C25" s="140"/>
      <c r="D25" s="98"/>
      <c r="E25" s="131" t="s">
        <v>118</v>
      </c>
      <c r="F25" s="132"/>
      <c r="G25" s="118"/>
      <c r="H25" s="49"/>
    </row>
    <row r="26" spans="1:9" s="7" customFormat="1" ht="18" customHeight="1">
      <c r="A26" s="133"/>
      <c r="B26" s="129"/>
      <c r="C26" s="140"/>
      <c r="D26" s="98"/>
      <c r="E26" s="131" t="s">
        <v>119</v>
      </c>
      <c r="F26" s="132"/>
      <c r="G26" s="118"/>
      <c r="H26" s="49"/>
    </row>
    <row r="27" spans="1:9" s="7" customFormat="1" ht="18" customHeight="1">
      <c r="A27" s="133"/>
      <c r="B27" s="129"/>
      <c r="C27" s="140"/>
      <c r="D27" s="142"/>
      <c r="E27" s="131" t="s">
        <v>120</v>
      </c>
      <c r="F27" s="132"/>
      <c r="G27" s="118"/>
      <c r="H27" s="49"/>
    </row>
    <row r="28" spans="1:9" s="7" customFormat="1" ht="18" customHeight="1">
      <c r="A28" s="133"/>
      <c r="B28" s="129"/>
      <c r="C28" s="140"/>
      <c r="D28" s="98"/>
      <c r="E28" s="131" t="s">
        <v>121</v>
      </c>
      <c r="F28" s="132"/>
      <c r="G28" s="118"/>
      <c r="H28" s="49"/>
    </row>
    <row r="29" spans="1:9" s="7" customFormat="1" ht="18" customHeight="1">
      <c r="A29" s="133"/>
      <c r="B29" s="129"/>
      <c r="C29" s="134"/>
      <c r="D29" s="135"/>
      <c r="E29" s="143" t="s">
        <v>98</v>
      </c>
      <c r="F29" s="136"/>
      <c r="G29" s="118"/>
      <c r="H29" s="49"/>
    </row>
    <row r="30" spans="1:9" s="7" customFormat="1" ht="18" customHeight="1">
      <c r="A30" s="123"/>
      <c r="B30" s="29"/>
      <c r="C30" s="30"/>
      <c r="D30" s="30"/>
      <c r="E30" s="125" t="s">
        <v>99</v>
      </c>
      <c r="F30" s="126" t="s">
        <v>139</v>
      </c>
      <c r="G30" s="31"/>
      <c r="H30" s="56"/>
      <c r="I30" s="118"/>
    </row>
    <row r="31" spans="1:9" s="7" customFormat="1" ht="18" customHeight="1">
      <c r="A31" s="114">
        <f>$A$3+4</f>
        <v>5</v>
      </c>
      <c r="B31" s="127" t="s">
        <v>95</v>
      </c>
      <c r="C31" s="120" t="s">
        <v>96</v>
      </c>
      <c r="D31" s="33" t="s">
        <v>100</v>
      </c>
      <c r="E31" s="117" t="s">
        <v>101</v>
      </c>
      <c r="F31" s="128"/>
      <c r="G31" s="118" t="s">
        <v>2</v>
      </c>
      <c r="H31" s="49" t="s">
        <v>102</v>
      </c>
    </row>
    <row r="32" spans="1:9" s="7" customFormat="1" ht="18" customHeight="1">
      <c r="A32" s="119">
        <f>A4+4</f>
        <v>45737</v>
      </c>
      <c r="B32" s="129"/>
      <c r="C32" s="140"/>
      <c r="D32" s="98"/>
      <c r="E32" s="131" t="s">
        <v>122</v>
      </c>
      <c r="F32" s="132"/>
      <c r="G32" s="118" t="s">
        <v>3</v>
      </c>
      <c r="H32" s="49" t="s">
        <v>105</v>
      </c>
    </row>
    <row r="33" spans="1:8" s="7" customFormat="1" ht="18" customHeight="1">
      <c r="A33" s="133"/>
      <c r="B33" s="129"/>
      <c r="C33" s="140"/>
      <c r="D33" s="98"/>
      <c r="E33" s="131" t="s">
        <v>123</v>
      </c>
      <c r="F33" s="132"/>
      <c r="G33" s="118" t="s">
        <v>1</v>
      </c>
      <c r="H33" s="49" t="s">
        <v>116</v>
      </c>
    </row>
    <row r="34" spans="1:8">
      <c r="A34" s="133"/>
      <c r="B34" s="2"/>
      <c r="C34" s="120"/>
      <c r="D34" s="116"/>
      <c r="E34" s="131" t="s">
        <v>148</v>
      </c>
      <c r="F34" s="144"/>
      <c r="G34" s="118"/>
      <c r="H34" s="49"/>
    </row>
    <row r="35" spans="1:8">
      <c r="A35" s="133"/>
      <c r="B35" s="2"/>
      <c r="C35" s="120"/>
      <c r="D35" s="130"/>
      <c r="E35" s="159" t="s">
        <v>124</v>
      </c>
      <c r="F35" s="144"/>
      <c r="G35" s="118"/>
      <c r="H35" s="49"/>
    </row>
    <row r="36" spans="1:8">
      <c r="A36" s="123"/>
      <c r="B36" s="29"/>
      <c r="C36" s="30"/>
      <c r="D36" s="30"/>
      <c r="E36" s="125" t="s">
        <v>99</v>
      </c>
      <c r="F36" s="126" t="s">
        <v>126</v>
      </c>
      <c r="G36" s="31"/>
      <c r="H36" s="56"/>
    </row>
    <row r="37" spans="1:8">
      <c r="A37" s="114">
        <f>$A$3+5</f>
        <v>6</v>
      </c>
      <c r="B37" s="2" t="s">
        <v>127</v>
      </c>
      <c r="C37" s="145" t="s">
        <v>147</v>
      </c>
      <c r="D37" s="116" t="s">
        <v>146</v>
      </c>
      <c r="E37" s="158" t="s">
        <v>125</v>
      </c>
      <c r="F37" s="146"/>
      <c r="G37" s="118"/>
      <c r="H37" s="49"/>
    </row>
    <row r="38" spans="1:8">
      <c r="A38" s="119">
        <f>A4+5</f>
        <v>45738</v>
      </c>
      <c r="B38" s="2"/>
      <c r="C38" s="115"/>
      <c r="D38" s="116">
        <v>0.42708333333333331</v>
      </c>
      <c r="E38" s="121" t="s">
        <v>128</v>
      </c>
      <c r="F38" s="147"/>
      <c r="G38" s="118"/>
      <c r="H38" s="49"/>
    </row>
    <row r="39" spans="1:8">
      <c r="A39" s="133"/>
      <c r="B39" s="127"/>
      <c r="C39" s="148"/>
      <c r="D39" s="116"/>
      <c r="E39" s="149"/>
      <c r="F39" s="150"/>
      <c r="G39" s="118"/>
      <c r="H39" s="49"/>
    </row>
    <row r="40" spans="1:8">
      <c r="A40" s="123"/>
      <c r="B40" s="151"/>
      <c r="C40" s="152"/>
      <c r="D40" s="153"/>
      <c r="E40" s="154" t="s">
        <v>129</v>
      </c>
      <c r="F40" s="155"/>
      <c r="G40" s="31"/>
      <c r="H40" s="56"/>
    </row>
    <row r="41" spans="1:8" ht="23.25" customHeight="1" thickBot="1">
      <c r="A41" s="185" t="s">
        <v>130</v>
      </c>
      <c r="B41" s="186"/>
      <c r="C41" s="186"/>
      <c r="D41" s="186"/>
      <c r="E41" s="186"/>
      <c r="F41" s="186"/>
      <c r="G41" s="186"/>
      <c r="H41" s="187"/>
    </row>
  </sheetData>
  <mergeCells count="4">
    <mergeCell ref="A1:H1"/>
    <mergeCell ref="E2:F2"/>
    <mergeCell ref="G2:H2"/>
    <mergeCell ref="A41:H41"/>
  </mergeCells>
  <phoneticPr fontId="28" type="noConversion"/>
  <dataValidations disablePrompts="1" count="2">
    <dataValidation type="list" allowBlank="1" showInputMessage="1" showErrorMessage="1" sqref="C65512 FM65512 C65532:C65533 FM65532:FM65533 C65521:C65522 FM65521:FM65522 C65509:C65510 FM65509:FM65510 C65507 FM65507 C65505 FM65505 C65497:C65499 FM65497:FM65499 C65484:C65486 FM65484:FM65486 C65489:C65491 FM65489:FM65491 FM7:FM8 FM13:FM14 FM21:FM22 FM30:FM33" xr:uid="{0DE9FB5A-D72F-3D4E-BE3B-2EA943EC369A}">
      <formula1>"전용차량,드라이빙GD,전용버스,워킹가이드,불포함,승용차,7-9인승벤"</formula1>
    </dataValidation>
    <dataValidation type="list" allowBlank="1" showInputMessage="1" showErrorMessage="1" sqref="H65483:H65525 FR65483:FR65525 H65527:H65536 FR65527:FR65536 FR3:FR33" xr:uid="{47310A0A-D290-414F-9E7C-A1768D79E08C}">
      <formula1>"불포함,호텔식,현지식,한   식,도시락,매   식,중국식,특   식"</formula1>
    </dataValidation>
  </dataValidations>
  <pageMargins left="0.7" right="0.7" top="0.75" bottom="0.75" header="0.3" footer="0.3"/>
  <pageSetup paperSize="9" scale="63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514C1-4F14-0547-B056-410E0FC62315}">
  <sheetPr>
    <tabColor rgb="FFFFFF00"/>
  </sheetPr>
  <dimension ref="A1:K35"/>
  <sheetViews>
    <sheetView zoomScaleNormal="100" workbookViewId="0">
      <selection activeCell="R14" sqref="R14"/>
    </sheetView>
  </sheetViews>
  <sheetFormatPr baseColWidth="10" defaultColWidth="9" defaultRowHeight="15"/>
  <cols>
    <col min="1" max="1" width="13.83203125" style="58" customWidth="1"/>
    <col min="2" max="9" width="8.6640625" style="58" customWidth="1"/>
    <col min="10" max="11" width="10.6640625" style="58" customWidth="1"/>
    <col min="12" max="16384" width="9" style="58"/>
  </cols>
  <sheetData>
    <row r="1" spans="1:11" ht="30">
      <c r="A1" s="171" t="s">
        <v>10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</row>
    <row r="2" spans="1:11" ht="7.5" customHeight="1">
      <c r="A2" s="59"/>
      <c r="B2" s="59"/>
      <c r="C2" s="59"/>
      <c r="D2" s="60"/>
      <c r="E2" s="60"/>
      <c r="F2" s="60"/>
      <c r="G2" s="60"/>
      <c r="H2" s="60"/>
      <c r="I2" s="60"/>
      <c r="J2" s="61"/>
      <c r="K2" s="62"/>
    </row>
    <row r="3" spans="1:11" ht="18">
      <c r="A3" s="63" t="s">
        <v>11</v>
      </c>
      <c r="B3" s="63" t="s">
        <v>12</v>
      </c>
      <c r="C3" s="63" t="s">
        <v>133</v>
      </c>
      <c r="D3" s="64"/>
      <c r="E3" s="65"/>
      <c r="F3" s="63"/>
      <c r="G3" s="63" t="s">
        <v>85</v>
      </c>
      <c r="H3" s="63"/>
      <c r="I3" s="64"/>
      <c r="J3" s="66"/>
      <c r="K3" s="67"/>
    </row>
    <row r="4" spans="1:11" ht="18">
      <c r="A4" s="63" t="s">
        <v>13</v>
      </c>
      <c r="B4" s="63" t="s">
        <v>12</v>
      </c>
      <c r="C4" s="63" t="s">
        <v>63</v>
      </c>
      <c r="D4" s="63"/>
      <c r="E4" s="65"/>
      <c r="F4" s="63"/>
      <c r="G4" s="63" t="s">
        <v>14</v>
      </c>
      <c r="H4" s="63"/>
      <c r="I4" s="64"/>
      <c r="J4" s="66"/>
      <c r="K4" s="67"/>
    </row>
    <row r="5" spans="1:11" ht="18">
      <c r="A5" s="63" t="s">
        <v>15</v>
      </c>
      <c r="B5" s="63" t="s">
        <v>12</v>
      </c>
      <c r="C5" s="172">
        <f ca="1">TODAY()</f>
        <v>46153</v>
      </c>
      <c r="D5" s="172"/>
      <c r="E5" s="172"/>
      <c r="F5" s="64"/>
      <c r="G5" s="64"/>
      <c r="H5" s="64"/>
      <c r="I5" s="64"/>
      <c r="J5" s="66"/>
      <c r="K5" s="67"/>
    </row>
    <row r="6" spans="1:11" ht="18">
      <c r="A6" s="68" t="s">
        <v>16</v>
      </c>
      <c r="B6" s="68" t="s">
        <v>12</v>
      </c>
      <c r="C6" s="69" t="s">
        <v>136</v>
      </c>
      <c r="D6" s="70"/>
      <c r="E6" s="70"/>
      <c r="F6" s="70"/>
      <c r="G6" s="70"/>
      <c r="H6" s="70"/>
      <c r="I6" s="70"/>
      <c r="J6" s="70"/>
      <c r="K6" s="62"/>
    </row>
    <row r="7" spans="1:11" ht="6.75" customHeight="1">
      <c r="A7" s="71"/>
      <c r="B7" s="71"/>
      <c r="C7" s="61"/>
      <c r="D7" s="61"/>
      <c r="E7" s="61"/>
      <c r="F7" s="61"/>
      <c r="G7" s="61"/>
      <c r="H7" s="61"/>
      <c r="I7" s="61"/>
      <c r="J7" s="61"/>
      <c r="K7" s="62"/>
    </row>
    <row r="8" spans="1:11" ht="14" customHeight="1">
      <c r="A8" s="61" t="s">
        <v>18</v>
      </c>
      <c r="B8" s="61"/>
      <c r="C8" s="61"/>
      <c r="D8" s="61"/>
      <c r="E8" s="61"/>
      <c r="F8" s="61"/>
      <c r="G8" s="61"/>
      <c r="H8" s="61"/>
      <c r="I8" s="61"/>
      <c r="J8" s="61"/>
      <c r="K8" s="62"/>
    </row>
    <row r="9" spans="1:11" ht="14" customHeight="1">
      <c r="A9" s="61" t="s">
        <v>19</v>
      </c>
      <c r="B9" s="61"/>
      <c r="C9" s="61"/>
      <c r="D9" s="61"/>
      <c r="E9" s="61"/>
      <c r="F9" s="61"/>
      <c r="G9" s="61"/>
      <c r="H9" s="61"/>
      <c r="I9" s="61"/>
      <c r="J9" s="61"/>
      <c r="K9" s="62"/>
    </row>
    <row r="10" spans="1:11" ht="14" customHeight="1">
      <c r="A10" s="72" t="s">
        <v>20</v>
      </c>
      <c r="B10" s="72"/>
      <c r="C10" s="72"/>
      <c r="D10" s="73"/>
      <c r="E10" s="72"/>
      <c r="F10" s="61"/>
      <c r="G10" s="61"/>
      <c r="H10" s="61"/>
      <c r="I10" s="61"/>
      <c r="J10" s="61"/>
      <c r="K10" s="62"/>
    </row>
    <row r="11" spans="1:11" ht="18" thickBot="1">
      <c r="A11" s="72"/>
      <c r="B11" s="72"/>
      <c r="C11" s="72"/>
      <c r="D11" s="73"/>
      <c r="E11" s="72"/>
      <c r="F11" s="61"/>
      <c r="G11" s="61"/>
      <c r="H11" s="61"/>
      <c r="I11" s="61"/>
      <c r="J11" s="61"/>
      <c r="K11" s="62"/>
    </row>
    <row r="12" spans="1:11" ht="23" customHeight="1" thickBot="1">
      <c r="A12" s="74"/>
      <c r="B12" s="74"/>
      <c r="C12" s="173" t="s">
        <v>61</v>
      </c>
      <c r="D12" s="174"/>
      <c r="E12" s="174"/>
      <c r="F12" s="174"/>
      <c r="G12" s="174"/>
      <c r="H12" s="174"/>
      <c r="I12" s="175"/>
      <c r="J12" s="75"/>
      <c r="K12" s="62"/>
    </row>
    <row r="13" spans="1:11" ht="23" customHeight="1" thickTop="1">
      <c r="A13" s="74"/>
      <c r="B13" s="74"/>
      <c r="C13" s="180" t="s">
        <v>84</v>
      </c>
      <c r="D13" s="181"/>
      <c r="E13" s="181"/>
      <c r="F13" s="181"/>
      <c r="G13" s="182">
        <v>895</v>
      </c>
      <c r="H13" s="182"/>
      <c r="I13" s="183"/>
      <c r="J13" s="75"/>
      <c r="K13" s="62"/>
    </row>
    <row r="14" spans="1:11" ht="23" customHeight="1" thickBot="1">
      <c r="A14" s="74"/>
      <c r="B14" s="74"/>
      <c r="C14" s="178" t="s">
        <v>62</v>
      </c>
      <c r="D14" s="179"/>
      <c r="E14" s="179"/>
      <c r="F14" s="179"/>
      <c r="G14" s="176">
        <v>180</v>
      </c>
      <c r="H14" s="176"/>
      <c r="I14" s="177"/>
      <c r="J14" s="75"/>
      <c r="K14" s="62"/>
    </row>
    <row r="15" spans="1:11" ht="18">
      <c r="A15" s="74"/>
      <c r="B15" s="74"/>
      <c r="C15" s="77"/>
      <c r="D15" s="77"/>
      <c r="E15" s="77"/>
      <c r="F15" s="77"/>
      <c r="G15" s="78"/>
      <c r="H15" s="78"/>
      <c r="I15" s="78"/>
      <c r="J15" s="76"/>
      <c r="K15" s="62"/>
    </row>
    <row r="16" spans="1:11" ht="17">
      <c r="A16" s="79" t="s">
        <v>21</v>
      </c>
      <c r="B16" s="79"/>
      <c r="C16" s="80" t="s">
        <v>22</v>
      </c>
      <c r="D16" s="80"/>
      <c r="E16" s="81"/>
      <c r="F16" s="81"/>
      <c r="G16" s="81"/>
      <c r="H16" s="81"/>
      <c r="I16" s="81"/>
      <c r="J16" s="61"/>
      <c r="K16" s="62"/>
    </row>
    <row r="17" spans="1:11" ht="17">
      <c r="A17" s="81" t="s">
        <v>64</v>
      </c>
      <c r="B17" s="81"/>
      <c r="C17" s="72"/>
      <c r="D17" s="72"/>
      <c r="E17" s="72"/>
      <c r="F17" s="72"/>
      <c r="G17" s="72"/>
      <c r="H17" s="72"/>
      <c r="I17" s="72"/>
      <c r="J17" s="61"/>
      <c r="K17" s="62"/>
    </row>
    <row r="18" spans="1:11" ht="12" customHeight="1">
      <c r="A18" s="72"/>
      <c r="B18" s="72"/>
      <c r="C18" s="72"/>
      <c r="D18" s="72"/>
      <c r="E18" s="72"/>
      <c r="F18" s="72"/>
      <c r="G18" s="72"/>
      <c r="H18" s="72"/>
      <c r="I18" s="72"/>
      <c r="J18" s="61"/>
      <c r="K18" s="62"/>
    </row>
    <row r="19" spans="1:11" ht="17">
      <c r="A19" s="82" t="s">
        <v>35</v>
      </c>
      <c r="B19" s="82"/>
      <c r="C19" s="72"/>
      <c r="D19" s="72"/>
      <c r="E19" s="72"/>
      <c r="F19" s="72"/>
      <c r="G19" s="72"/>
      <c r="H19" s="72"/>
      <c r="I19" s="72"/>
      <c r="J19" s="61"/>
      <c r="K19" s="62"/>
    </row>
    <row r="20" spans="1:11" ht="14" customHeight="1">
      <c r="A20" s="94" t="s">
        <v>138</v>
      </c>
      <c r="B20" s="83"/>
      <c r="C20" s="83"/>
      <c r="D20" s="83"/>
      <c r="E20" s="83"/>
      <c r="F20" s="83"/>
      <c r="G20" s="83"/>
      <c r="H20" s="83"/>
      <c r="I20" s="83"/>
      <c r="J20" s="84"/>
      <c r="K20" s="85"/>
    </row>
    <row r="21" spans="1:11" ht="12" customHeight="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62"/>
    </row>
    <row r="22" spans="1:11" ht="17">
      <c r="A22" s="86" t="s">
        <v>23</v>
      </c>
      <c r="B22" s="86"/>
      <c r="C22" s="87"/>
      <c r="D22" s="88"/>
      <c r="E22" s="88"/>
      <c r="F22" s="72"/>
      <c r="G22" s="72"/>
      <c r="H22" s="72"/>
      <c r="I22" s="72"/>
      <c r="J22" s="61"/>
      <c r="K22" s="62"/>
    </row>
    <row r="23" spans="1:11" ht="17">
      <c r="A23" s="87" t="s">
        <v>134</v>
      </c>
      <c r="B23" s="87"/>
      <c r="C23" s="87"/>
      <c r="D23" s="88"/>
      <c r="E23" s="88"/>
      <c r="F23" s="72"/>
      <c r="G23" s="72"/>
      <c r="H23" s="72"/>
      <c r="I23" s="72"/>
      <c r="J23" s="61"/>
      <c r="K23" s="62"/>
    </row>
    <row r="24" spans="1:11" ht="17">
      <c r="A24" s="89" t="s">
        <v>65</v>
      </c>
      <c r="B24" s="89"/>
      <c r="C24" s="89"/>
      <c r="D24" s="87"/>
      <c r="E24" s="88"/>
      <c r="F24" s="72"/>
      <c r="G24" s="72"/>
      <c r="H24" s="72"/>
      <c r="I24" s="72"/>
      <c r="J24" s="61"/>
      <c r="K24" s="62"/>
    </row>
    <row r="25" spans="1:11" ht="17">
      <c r="A25" s="89" t="s">
        <v>37</v>
      </c>
      <c r="B25" s="89"/>
      <c r="C25" s="89"/>
      <c r="D25" s="87"/>
      <c r="E25" s="88"/>
      <c r="F25" s="72"/>
      <c r="G25" s="72"/>
      <c r="H25" s="72"/>
      <c r="I25" s="72"/>
      <c r="J25" s="61"/>
      <c r="K25" s="62"/>
    </row>
    <row r="26" spans="1:11" ht="17">
      <c r="A26" s="89" t="s">
        <v>137</v>
      </c>
      <c r="B26" s="89"/>
      <c r="C26" s="89"/>
      <c r="D26" s="88"/>
      <c r="E26" s="88"/>
      <c r="F26" s="72"/>
      <c r="G26" s="72"/>
      <c r="H26" s="72"/>
      <c r="I26" s="72"/>
      <c r="J26" s="61"/>
      <c r="K26" s="62"/>
    </row>
    <row r="27" spans="1:11" ht="12" customHeight="1">
      <c r="A27" s="89"/>
      <c r="B27" s="89"/>
      <c r="C27" s="89"/>
      <c r="D27" s="87"/>
      <c r="E27" s="88"/>
      <c r="F27" s="72"/>
      <c r="G27" s="72"/>
      <c r="H27" s="72"/>
      <c r="I27" s="72"/>
      <c r="J27" s="61"/>
      <c r="K27" s="62"/>
    </row>
    <row r="28" spans="1:11" ht="17">
      <c r="A28" s="90" t="s">
        <v>24</v>
      </c>
      <c r="B28" s="90"/>
      <c r="C28" s="89"/>
      <c r="D28" s="72"/>
      <c r="E28" s="88"/>
      <c r="F28" s="72"/>
      <c r="G28" s="72"/>
      <c r="H28" s="72"/>
      <c r="I28" s="72"/>
      <c r="J28" s="61"/>
      <c r="K28" s="62"/>
    </row>
    <row r="29" spans="1:11" ht="17">
      <c r="A29" s="89" t="s">
        <v>31</v>
      </c>
      <c r="B29" s="89"/>
      <c r="C29" s="89"/>
      <c r="D29" s="89"/>
      <c r="E29" s="88"/>
      <c r="F29" s="72"/>
      <c r="G29" s="72"/>
      <c r="H29" s="72"/>
      <c r="I29" s="72"/>
      <c r="J29" s="61"/>
      <c r="K29" s="62"/>
    </row>
    <row r="30" spans="1:11" ht="17">
      <c r="A30" s="89" t="s">
        <v>32</v>
      </c>
      <c r="B30" s="89"/>
      <c r="C30" s="89"/>
      <c r="D30" s="89"/>
      <c r="E30" s="88"/>
      <c r="F30" s="72"/>
      <c r="G30" s="72"/>
      <c r="H30" s="72"/>
      <c r="I30" s="72"/>
      <c r="J30" s="61"/>
      <c r="K30" s="62"/>
    </row>
    <row r="31" spans="1:11" ht="12" customHeight="1">
      <c r="A31" s="89"/>
      <c r="B31" s="91"/>
      <c r="C31" s="89"/>
      <c r="D31" s="89"/>
      <c r="E31" s="88"/>
      <c r="F31" s="72"/>
      <c r="G31" s="72"/>
      <c r="H31" s="72"/>
      <c r="I31" s="72"/>
      <c r="J31" s="61"/>
      <c r="K31" s="62"/>
    </row>
    <row r="32" spans="1:11" ht="17">
      <c r="A32" s="92" t="s">
        <v>25</v>
      </c>
      <c r="B32" s="92"/>
      <c r="C32" s="89"/>
      <c r="D32" s="72"/>
      <c r="E32" s="72"/>
      <c r="F32" s="72"/>
      <c r="G32" s="72"/>
      <c r="H32" s="72"/>
      <c r="I32" s="72"/>
      <c r="J32" s="61"/>
      <c r="K32" s="62"/>
    </row>
    <row r="33" spans="1:11">
      <c r="A33" s="95" t="s">
        <v>33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</row>
    <row r="34" spans="1:11">
      <c r="A34" s="95" t="s">
        <v>34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</row>
    <row r="35" spans="1:11">
      <c r="A35" s="89" t="s">
        <v>26</v>
      </c>
      <c r="B35" s="93"/>
      <c r="C35" s="93"/>
      <c r="D35" s="83"/>
      <c r="E35" s="83"/>
      <c r="F35" s="83"/>
      <c r="G35" s="83"/>
      <c r="H35" s="83"/>
      <c r="I35" s="83"/>
      <c r="J35" s="84"/>
      <c r="K35" s="85"/>
    </row>
  </sheetData>
  <mergeCells count="7">
    <mergeCell ref="A1:K1"/>
    <mergeCell ref="C5:E5"/>
    <mergeCell ref="C12:I12"/>
    <mergeCell ref="C13:F13"/>
    <mergeCell ref="G13:I13"/>
    <mergeCell ref="C14:F14"/>
    <mergeCell ref="G14:I14"/>
  </mergeCells>
  <phoneticPr fontId="28" type="noConversion"/>
  <pageMargins left="0.7" right="0.7" top="0.75" bottom="0.75" header="0.3" footer="0.3"/>
  <pageSetup paperSize="9" scale="86" orientation="portrait" verticalDpi="0"/>
  <colBreaks count="1" manualBreakCount="1">
    <brk id="1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EDB2F91F2148241A9EAD4C277656386" ma:contentTypeVersion="15" ma:contentTypeDescription="새 문서를 만듭니다." ma:contentTypeScope="" ma:versionID="f0368d7aa5c379118ccf3ad3ec09514f">
  <xsd:schema xmlns:xsd="http://www.w3.org/2001/XMLSchema" xmlns:xs="http://www.w3.org/2001/XMLSchema" xmlns:p="http://schemas.microsoft.com/office/2006/metadata/properties" xmlns:ns2="4b262e48-7f8a-4a7e-8936-03b28e3a5c6c" xmlns:ns3="ec6faa79-66ff-44b0-a8fa-693fbc31733b" targetNamespace="http://schemas.microsoft.com/office/2006/metadata/properties" ma:root="true" ma:fieldsID="74a4220ef9bf643084cc9a3ccd1bd0df" ns2:_="" ns3:_="">
    <xsd:import namespace="4b262e48-7f8a-4a7e-8936-03b28e3a5c6c"/>
    <xsd:import namespace="ec6faa79-66ff-44b0-a8fa-693fbc3173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e48-7f8a-4a7e-8936-03b28e3a5c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fed8afb7-d9d1-4bb5-b4a8-fc35c2faa9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faa79-66ff-44b0-a8fa-693fbc31733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a345fee-c17d-4285-8e89-9f1979c23017}" ma:internalName="TaxCatchAll" ma:showField="CatchAllData" ma:web="ec6faa79-66ff-44b0-a8fa-693fbc3173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FCAD00-64F5-4187-93CF-24EE8B9D15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CDDBD8-442D-4ED8-945B-FF76DB1ECC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62e48-7f8a-4a7e-8936-03b28e3a5c6c"/>
    <ds:schemaRef ds:uri="ec6faa79-66ff-44b0-a8fa-693fbc3173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우즈베키스탄6일 (일정)</vt:lpstr>
      <vt:lpstr>우즈베키스탄6일 (견적)</vt:lpstr>
      <vt:lpstr>카자흐스탄6일 (일정)</vt:lpstr>
      <vt:lpstr>카자흐스탄6일 (견적)</vt:lpstr>
      <vt:lpstr>'우즈베키스탄6일 (견적)'!Print_Area</vt:lpstr>
      <vt:lpstr>'우즈베키스탄6일 (일정)'!Print_Area</vt:lpstr>
      <vt:lpstr>'카자흐스탄6일 (견적)'!Print_Area</vt:lpstr>
      <vt:lpstr>'우즈베키스탄6일 (일정)'!Print_Titles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김윤정C</cp:lastModifiedBy>
  <cp:lastPrinted>2025-01-05T15:53:08Z</cp:lastPrinted>
  <dcterms:created xsi:type="dcterms:W3CDTF">2016-12-07T05:36:06Z</dcterms:created>
  <dcterms:modified xsi:type="dcterms:W3CDTF">2026-05-11T05:02:33Z</dcterms:modified>
</cp:coreProperties>
</file>