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on/Desktop/tour-editor/tests/fixtures/itinerary-golden/"/>
    </mc:Choice>
  </mc:AlternateContent>
  <xr:revisionPtr revIDLastSave="0" documentId="13_ncr:1_{E9B0FF8D-0369-5940-89FF-666BA37138DD}" xr6:coauthVersionLast="47" xr6:coauthVersionMax="47" xr10:uidLastSave="{00000000-0000-0000-0000-000000000000}"/>
  <bookViews>
    <workbookView xWindow="0" yWindow="600" windowWidth="31620" windowHeight="32720" activeTab="2" xr2:uid="{00000000-000D-0000-FFFF-FFFF00000000}"/>
  </bookViews>
  <sheets>
    <sheet name="인보이스" sheetId="15" state="hidden" r:id="rId1"/>
    <sheet name="확정서" sheetId="12" state="hidden" r:id="rId2"/>
    <sheet name="일정표" sheetId="25" r:id="rId3"/>
    <sheet name="견적" sheetId="24" r:id="rId4"/>
    <sheet name="샘플일정" sheetId="6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</externalReferences>
  <definedNames>
    <definedName name="_">#REF!</definedName>
    <definedName name="__">'[4]2.대외공문'!#REF!</definedName>
    <definedName name="___">'[4]2.대외공문'!#REF!</definedName>
    <definedName name="____">'[5]#REF'!#REF!</definedName>
    <definedName name="_________________________________________LPS2" hidden="1">{#N/A,#N/A,FALSE,"단축1";#N/A,#N/A,FALSE,"단축2";#N/A,#N/A,FALSE,"단축3";#N/A,#N/A,FALSE,"장축";#N/A,#N/A,FALSE,"4WD"}</definedName>
    <definedName name="________________________________________LPS2" hidden="1">{#N/A,#N/A,FALSE,"단축1";#N/A,#N/A,FALSE,"단축2";#N/A,#N/A,FALSE,"단축3";#N/A,#N/A,FALSE,"장축";#N/A,#N/A,FALSE,"4WD"}</definedName>
    <definedName name="_______________________________________LPS2" hidden="1">{#N/A,#N/A,FALSE,"단축1";#N/A,#N/A,FALSE,"단축2";#N/A,#N/A,FALSE,"단축3";#N/A,#N/A,FALSE,"장축";#N/A,#N/A,FALSE,"4WD"}</definedName>
    <definedName name="______________________________________LPS2" hidden="1">{#N/A,#N/A,FALSE,"단축1";#N/A,#N/A,FALSE,"단축2";#N/A,#N/A,FALSE,"단축3";#N/A,#N/A,FALSE,"장축";#N/A,#N/A,FALSE,"4WD"}</definedName>
    <definedName name="_____________________________________LPS2" hidden="1">{#N/A,#N/A,FALSE,"단축1";#N/A,#N/A,FALSE,"단축2";#N/A,#N/A,FALSE,"단축3";#N/A,#N/A,FALSE,"장축";#N/A,#N/A,FALSE,"4WD"}</definedName>
    <definedName name="____________________________________LPS2" hidden="1">{#N/A,#N/A,FALSE,"단축1";#N/A,#N/A,FALSE,"단축2";#N/A,#N/A,FALSE,"단축3";#N/A,#N/A,FALSE,"장축";#N/A,#N/A,FALSE,"4WD"}</definedName>
    <definedName name="___________________________________LPS2" hidden="1">{#N/A,#N/A,FALSE,"단축1";#N/A,#N/A,FALSE,"단축2";#N/A,#N/A,FALSE,"단축3";#N/A,#N/A,FALSE,"장축";#N/A,#N/A,FALSE,"4WD"}</definedName>
    <definedName name="__________________________________LPS2" hidden="1">{#N/A,#N/A,FALSE,"단축1";#N/A,#N/A,FALSE,"단축2";#N/A,#N/A,FALSE,"단축3";#N/A,#N/A,FALSE,"장축";#N/A,#N/A,FALSE,"4WD"}</definedName>
    <definedName name="_________________________________LPS2" hidden="1">{#N/A,#N/A,FALSE,"단축1";#N/A,#N/A,FALSE,"단축2";#N/A,#N/A,FALSE,"단축3";#N/A,#N/A,FALSE,"장축";#N/A,#N/A,FALSE,"4WD"}</definedName>
    <definedName name="________________________________LPS2" hidden="1">{#N/A,#N/A,FALSE,"단축1";#N/A,#N/A,FALSE,"단축2";#N/A,#N/A,FALSE,"단축3";#N/A,#N/A,FALSE,"장축";#N/A,#N/A,FALSE,"4WD"}</definedName>
    <definedName name="_______________________________LPS2" hidden="1">{#N/A,#N/A,FALSE,"단축1";#N/A,#N/A,FALSE,"단축2";#N/A,#N/A,FALSE,"단축3";#N/A,#N/A,FALSE,"장축";#N/A,#N/A,FALSE,"4WD"}</definedName>
    <definedName name="______________________________LPS2" hidden="1">{#N/A,#N/A,FALSE,"단축1";#N/A,#N/A,FALSE,"단축2";#N/A,#N/A,FALSE,"단축3";#N/A,#N/A,FALSE,"장축";#N/A,#N/A,FALSE,"4WD"}</definedName>
    <definedName name="_____________________________LPS2" hidden="1">{#N/A,#N/A,FALSE,"단축1";#N/A,#N/A,FALSE,"단축2";#N/A,#N/A,FALSE,"단축3";#N/A,#N/A,FALSE,"장축";#N/A,#N/A,FALSE,"4WD"}</definedName>
    <definedName name="____________________________LPS2" hidden="1">{#N/A,#N/A,FALSE,"단축1";#N/A,#N/A,FALSE,"단축2";#N/A,#N/A,FALSE,"단축3";#N/A,#N/A,FALSE,"장축";#N/A,#N/A,FALSE,"4WD"}</definedName>
    <definedName name="___________________________LPS2" hidden="1">{#N/A,#N/A,FALSE,"단축1";#N/A,#N/A,FALSE,"단축2";#N/A,#N/A,FALSE,"단축3";#N/A,#N/A,FALSE,"장축";#N/A,#N/A,FALSE,"4WD"}</definedName>
    <definedName name="__________________________LPS2" hidden="1">{#N/A,#N/A,FALSE,"단축1";#N/A,#N/A,FALSE,"단축2";#N/A,#N/A,FALSE,"단축3";#N/A,#N/A,FALSE,"장축";#N/A,#N/A,FALSE,"4WD"}</definedName>
    <definedName name="_________________________LPS2" hidden="1">{#N/A,#N/A,FALSE,"단축1";#N/A,#N/A,FALSE,"단축2";#N/A,#N/A,FALSE,"단축3";#N/A,#N/A,FALSE,"장축";#N/A,#N/A,FALSE,"4WD"}</definedName>
    <definedName name="_________________________SDW1" hidden="1">'[6]#REF'!#REF!</definedName>
    <definedName name="________________________LPS2" hidden="1">{#N/A,#N/A,FALSE,"단축1";#N/A,#N/A,FALSE,"단축2";#N/A,#N/A,FALSE,"단축3";#N/A,#N/A,FALSE,"장축";#N/A,#N/A,FALSE,"4WD"}</definedName>
    <definedName name="________________________SDW1" hidden="1">'[7]#REF'!#REF!</definedName>
    <definedName name="_______________________LPS2" hidden="1">{#N/A,#N/A,FALSE,"단축1";#N/A,#N/A,FALSE,"단축2";#N/A,#N/A,FALSE,"단축3";#N/A,#N/A,FALSE,"장축";#N/A,#N/A,FALSE,"4WD"}</definedName>
    <definedName name="_______________________SDW1" hidden="1">'[7]#REF'!#REF!</definedName>
    <definedName name="______________________LPS2" hidden="1">{#N/A,#N/A,FALSE,"단축1";#N/A,#N/A,FALSE,"단축2";#N/A,#N/A,FALSE,"단축3";#N/A,#N/A,FALSE,"장축";#N/A,#N/A,FALSE,"4WD"}</definedName>
    <definedName name="______________________SDW1" hidden="1">'[7]#REF'!#REF!</definedName>
    <definedName name="_____________________LPS2" hidden="1">{#N/A,#N/A,FALSE,"단축1";#N/A,#N/A,FALSE,"단축2";#N/A,#N/A,FALSE,"단축3";#N/A,#N/A,FALSE,"장축";#N/A,#N/A,FALSE,"4WD"}</definedName>
    <definedName name="_____________________SDW1" hidden="1">'[7]#REF'!#REF!</definedName>
    <definedName name="____________________LPS2" hidden="1">{#N/A,#N/A,FALSE,"단축1";#N/A,#N/A,FALSE,"단축2";#N/A,#N/A,FALSE,"단축3";#N/A,#N/A,FALSE,"장축";#N/A,#N/A,FALSE,"4WD"}</definedName>
    <definedName name="____________________SDW1" hidden="1">'[8]#REF'!#REF!</definedName>
    <definedName name="___________________LPS2" hidden="1">{#N/A,#N/A,FALSE,"단축1";#N/A,#N/A,FALSE,"단축2";#N/A,#N/A,FALSE,"단축3";#N/A,#N/A,FALSE,"장축";#N/A,#N/A,FALSE,"4WD"}</definedName>
    <definedName name="___________________SDW1" hidden="1">'[9]#REF'!#REF!</definedName>
    <definedName name="__________________LPS2" hidden="1">{#N/A,#N/A,FALSE,"단축1";#N/A,#N/A,FALSE,"단축2";#N/A,#N/A,FALSE,"단축3";#N/A,#N/A,FALSE,"장축";#N/A,#N/A,FALSE,"4WD"}</definedName>
    <definedName name="__________________SDW1" hidden="1">'[9]#REF'!#REF!</definedName>
    <definedName name="_________________LPS2" hidden="1">{#N/A,#N/A,FALSE,"단축1";#N/A,#N/A,FALSE,"단축2";#N/A,#N/A,FALSE,"단축3";#N/A,#N/A,FALSE,"장축";#N/A,#N/A,FALSE,"4WD"}</definedName>
    <definedName name="_________________SDW1" hidden="1">'[10]#REF'!#REF!</definedName>
    <definedName name="________________LPS2" hidden="1">{#N/A,#N/A,FALSE,"단축1";#N/A,#N/A,FALSE,"단축2";#N/A,#N/A,FALSE,"단축3";#N/A,#N/A,FALSE,"장축";#N/A,#N/A,FALSE,"4WD"}</definedName>
    <definedName name="________________SDW1" hidden="1">'[10]#REF'!#REF!</definedName>
    <definedName name="_______________LPS2" hidden="1">{#N/A,#N/A,FALSE,"단축1";#N/A,#N/A,FALSE,"단축2";#N/A,#N/A,FALSE,"단축3";#N/A,#N/A,FALSE,"장축";#N/A,#N/A,FALSE,"4WD"}</definedName>
    <definedName name="_______________SDW1" hidden="1">'[10]#REF'!#REF!</definedName>
    <definedName name="______________LPS2" hidden="1">{#N/A,#N/A,FALSE,"단축1";#N/A,#N/A,FALSE,"단축2";#N/A,#N/A,FALSE,"단축3";#N/A,#N/A,FALSE,"장축";#N/A,#N/A,FALSE,"4WD"}</definedName>
    <definedName name="______________SDW1" hidden="1">'[10]#REF'!#REF!</definedName>
    <definedName name="_____________LPS2" hidden="1">{#N/A,#N/A,FALSE,"단축1";#N/A,#N/A,FALSE,"단축2";#N/A,#N/A,FALSE,"단축3";#N/A,#N/A,FALSE,"장축";#N/A,#N/A,FALSE,"4WD"}</definedName>
    <definedName name="_____________SDW1" hidden="1">'[10]#REF'!#REF!</definedName>
    <definedName name="____________LPS2" hidden="1">{#N/A,#N/A,FALSE,"단축1";#N/A,#N/A,FALSE,"단축2";#N/A,#N/A,FALSE,"단축3";#N/A,#N/A,FALSE,"장축";#N/A,#N/A,FALSE,"4WD"}</definedName>
    <definedName name="____________SDW1" hidden="1">'[10]#REF'!#REF!</definedName>
    <definedName name="___________KDX3">[0]!___________KDX3</definedName>
    <definedName name="___________LPS2" hidden="1">{#N/A,#N/A,FALSE,"단축1";#N/A,#N/A,FALSE,"단축2";#N/A,#N/A,FALSE,"단축3";#N/A,#N/A,FALSE,"장축";#N/A,#N/A,FALSE,"4WD"}</definedName>
    <definedName name="___________SDW1" hidden="1">'[10]#REF'!#REF!</definedName>
    <definedName name="__________KDX3">[0]!__________KDX3</definedName>
    <definedName name="__________LPS2" hidden="1">{#N/A,#N/A,FALSE,"단축1";#N/A,#N/A,FALSE,"단축2";#N/A,#N/A,FALSE,"단축3";#N/A,#N/A,FALSE,"장축";#N/A,#N/A,FALSE,"4WD"}</definedName>
    <definedName name="__________SDW1" hidden="1">'[5]#REF'!#REF!</definedName>
    <definedName name="_________KDX3">[0]!_________KDX3</definedName>
    <definedName name="_________LPS2" hidden="1">{#N/A,#N/A,FALSE,"단축1";#N/A,#N/A,FALSE,"단축2";#N/A,#N/A,FALSE,"단축3";#N/A,#N/A,FALSE,"장축";#N/A,#N/A,FALSE,"4WD"}</definedName>
    <definedName name="_________SDW1" hidden="1">'[10]#REF'!#REF!</definedName>
    <definedName name="_________SHR1" localSheetId="2">#REF!</definedName>
    <definedName name="_________SHR1">#REF!</definedName>
    <definedName name="_________SHR2" localSheetId="2">#REF!</definedName>
    <definedName name="_________SHR2">#REF!</definedName>
    <definedName name="_________tax1" localSheetId="2">#REF!</definedName>
    <definedName name="_________tax1">#REF!</definedName>
    <definedName name="_________tax2" localSheetId="2">#REF!</definedName>
    <definedName name="_________tax2">#REF!</definedName>
    <definedName name="_________tax3" localSheetId="2">#REF!</definedName>
    <definedName name="_________tax3">#REF!</definedName>
    <definedName name="_________tax4" localSheetId="2">#REF!</definedName>
    <definedName name="_________tax4">#REF!</definedName>
    <definedName name="________KDX3">[0]!________KDX3</definedName>
    <definedName name="________LPS2" hidden="1">{#N/A,#N/A,FALSE,"단축1";#N/A,#N/A,FALSE,"단축2";#N/A,#N/A,FALSE,"단축3";#N/A,#N/A,FALSE,"장축";#N/A,#N/A,FALSE,"4WD"}</definedName>
    <definedName name="________SDW1" localSheetId="2" hidden="1">'[5]#REF'!#REF!</definedName>
    <definedName name="________SDW1" hidden="1">'[5]#REF'!#REF!</definedName>
    <definedName name="_______KDX3">[0]!_______KDX3</definedName>
    <definedName name="_______LPS2" hidden="1">{#N/A,#N/A,FALSE,"단축1";#N/A,#N/A,FALSE,"단축2";#N/A,#N/A,FALSE,"단축3";#N/A,#N/A,FALSE,"장축";#N/A,#N/A,FALSE,"4WD"}</definedName>
    <definedName name="_______SDW1" hidden="1">'[5]#REF'!#REF!</definedName>
    <definedName name="_______SHR1" localSheetId="2">#REF!</definedName>
    <definedName name="_______SHR1">#REF!</definedName>
    <definedName name="_______SHR2" localSheetId="2">#REF!</definedName>
    <definedName name="_______SHR2">#REF!</definedName>
    <definedName name="_______tax1" localSheetId="2">#REF!</definedName>
    <definedName name="_______tax1">#REF!</definedName>
    <definedName name="_______tax2" localSheetId="2">#REF!</definedName>
    <definedName name="_______tax2">#REF!</definedName>
    <definedName name="_______tax3" localSheetId="2">#REF!</definedName>
    <definedName name="_______tax3">#REF!</definedName>
    <definedName name="_______tax4" localSheetId="2">#REF!</definedName>
    <definedName name="_______tax4">#REF!</definedName>
    <definedName name="______?">#REF!</definedName>
    <definedName name="______KDX3">[0]!______KDX3</definedName>
    <definedName name="______LPS2" localSheetId="2" hidden="1">{#N/A,#N/A,FALSE,"단축1";#N/A,#N/A,FALSE,"단축2";#N/A,#N/A,FALSE,"단축3";#N/A,#N/A,FALSE,"장축";#N/A,#N/A,FALSE,"4WD"}</definedName>
    <definedName name="______LPS2" hidden="1">{#N/A,#N/A,FALSE,"단축1";#N/A,#N/A,FALSE,"단축2";#N/A,#N/A,FALSE,"단축3";#N/A,#N/A,FALSE,"장축";#N/A,#N/A,FALSE,"4WD"}</definedName>
    <definedName name="______R3_t">#N/A</definedName>
    <definedName name="______SDW1" hidden="1">'[5]#REF'!#REF!</definedName>
    <definedName name="______SHR1" localSheetId="2">#REF!</definedName>
    <definedName name="______SHR1">#REF!</definedName>
    <definedName name="______SHR2" localSheetId="2">#REF!</definedName>
    <definedName name="______SHR2">#REF!</definedName>
    <definedName name="______tax1" localSheetId="2">#REF!</definedName>
    <definedName name="______tax1">#REF!</definedName>
    <definedName name="______tax2" localSheetId="2">#REF!</definedName>
    <definedName name="______tax2">#REF!</definedName>
    <definedName name="______tax3" localSheetId="2">#REF!</definedName>
    <definedName name="______tax3">#REF!</definedName>
    <definedName name="______tax4" localSheetId="2">#REF!</definedName>
    <definedName name="______tax4">#REF!</definedName>
    <definedName name="_____?">#REF!</definedName>
    <definedName name="_____?_컛?___i">#REF!</definedName>
    <definedName name="_____a1">#REF!</definedName>
    <definedName name="_____a2">#REF!</definedName>
    <definedName name="_____A20000">#REF!</definedName>
    <definedName name="_____A25000">#REF!</definedName>
    <definedName name="_____a3">#REF!</definedName>
    <definedName name="_____C1244ㅁ1430">#REF!</definedName>
    <definedName name="_____CND1">#REF!</definedName>
    <definedName name="_____DMK1">#REF!</definedName>
    <definedName name="_____eop1">#REF!</definedName>
    <definedName name="_____eop2">#REF!</definedName>
    <definedName name="_____KDX3">[0]!_____KDX3</definedName>
    <definedName name="_____LPS2" localSheetId="2" hidden="1">{#N/A,#N/A,FALSE,"단축1";#N/A,#N/A,FALSE,"단축2";#N/A,#N/A,FALSE,"단축3";#N/A,#N/A,FALSE,"장축";#N/A,#N/A,FALSE,"4WD"}</definedName>
    <definedName name="_____LPS2" hidden="1">{#N/A,#N/A,FALSE,"단축1";#N/A,#N/A,FALSE,"단축2";#N/A,#N/A,FALSE,"단축3";#N/A,#N/A,FALSE,"장축";#N/A,#N/A,FALSE,"4WD"}</definedName>
    <definedName name="_____SDW1" hidden="1">'[5]#REF'!#REF!</definedName>
    <definedName name="_____SHR1" localSheetId="2">#REF!</definedName>
    <definedName name="_____SHR1">#REF!</definedName>
    <definedName name="_____SHR2" localSheetId="2">#REF!</definedName>
    <definedName name="_____SHR2">#REF!</definedName>
    <definedName name="_____tax1" localSheetId="2">#REF!</definedName>
    <definedName name="_____tax1">#REF!</definedName>
    <definedName name="_____tax2" localSheetId="2">#REF!</definedName>
    <definedName name="_____tax2">#REF!</definedName>
    <definedName name="_____tax3" localSheetId="2">#REF!</definedName>
    <definedName name="_____tax3">#REF!</definedName>
    <definedName name="_____tax4" localSheetId="2">#REF!</definedName>
    <definedName name="_____tax4">#REF!</definedName>
    <definedName name="_____US1">#REF!</definedName>
    <definedName name="_____VAR1">#REF!</definedName>
    <definedName name="_____VEN425">#N/A</definedName>
    <definedName name="_____yr1">#REF!</definedName>
    <definedName name="_____yr2">#REF!</definedName>
    <definedName name="_____YR94">#REF!</definedName>
    <definedName name="____?">#REF!</definedName>
    <definedName name="____?____?">#N/A</definedName>
    <definedName name="____?_컛?___i">#REF!</definedName>
    <definedName name="____a1">#REF!</definedName>
    <definedName name="____a2">#REF!</definedName>
    <definedName name="____A20000">#REF!</definedName>
    <definedName name="____A25000">#REF!</definedName>
    <definedName name="____a3">#REF!</definedName>
    <definedName name="____BOX1">'[11]2월'!#REF!</definedName>
    <definedName name="____C1244ㅁ1430">#REF!</definedName>
    <definedName name="____CND1">#REF!</definedName>
    <definedName name="____DMK1">#REF!</definedName>
    <definedName name="____eop1">#REF!</definedName>
    <definedName name="____eop2">#REF!</definedName>
    <definedName name="____KDX3" localSheetId="2">일정표!____KDX3</definedName>
    <definedName name="____KDX3">[0]!____KDX3</definedName>
    <definedName name="____LPS2" localSheetId="2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SDW1" hidden="1">'[5]#REF'!#REF!</definedName>
    <definedName name="____SHR1" localSheetId="2">#REF!</definedName>
    <definedName name="____SHR1">#REF!</definedName>
    <definedName name="____SHR2" localSheetId="2">#REF!</definedName>
    <definedName name="____SHR2">#REF!</definedName>
    <definedName name="____tax1" localSheetId="2">#REF!</definedName>
    <definedName name="____tax1">#REF!</definedName>
    <definedName name="____tax2" localSheetId="2">#REF!</definedName>
    <definedName name="____tax2">#REF!</definedName>
    <definedName name="____tax3" localSheetId="2">#REF!</definedName>
    <definedName name="____tax3">#REF!</definedName>
    <definedName name="____tax4" localSheetId="2">#REF!</definedName>
    <definedName name="____tax4">#REF!</definedName>
    <definedName name="____US1">#REF!</definedName>
    <definedName name="____VAR1">#REF!</definedName>
    <definedName name="____VEN425">#N/A</definedName>
    <definedName name="____yr1">#REF!</definedName>
    <definedName name="____yr2">#REF!</definedName>
    <definedName name="____YR94">#REF!</definedName>
    <definedName name="___?">#REF!</definedName>
    <definedName name="___?_컛?___i">#REF!</definedName>
    <definedName name="___0">'[5]#REF'!#REF!</definedName>
    <definedName name="___01">'[5]#REF'!#REF!</definedName>
    <definedName name="___02">'[5]#REF'!#REF!</definedName>
    <definedName name="___03">'[5]#REF'!#REF!</definedName>
    <definedName name="___a1">#REF!</definedName>
    <definedName name="___a2">#REF!</definedName>
    <definedName name="___A20000">#REF!</definedName>
    <definedName name="___A25000">#REF!</definedName>
    <definedName name="___a3">#REF!</definedName>
    <definedName name="___Ａ４">[12]주행!#REF!</definedName>
    <definedName name="___age1" localSheetId="2">#REF!</definedName>
    <definedName name="___age1">#REF!</definedName>
    <definedName name="___BOX1">'[11]2월'!#REF!</definedName>
    <definedName name="___C1244ㅁ1430">#REF!</definedName>
    <definedName name="___CND1">#REF!</definedName>
    <definedName name="___DMK1">#REF!</definedName>
    <definedName name="___eop1">#REF!</definedName>
    <definedName name="___eop2">#REF!</definedName>
    <definedName name="___KDX3" localSheetId="2">일정표!___KDX3</definedName>
    <definedName name="___KDX3">[0]!___KDX3</definedName>
    <definedName name="___LPS2" localSheetId="2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O3">[13]石油類!#REF!</definedName>
    <definedName name="___SDW1" hidden="1">'[5]#REF'!#REF!</definedName>
    <definedName name="___SHR1" localSheetId="2">#REF!</definedName>
    <definedName name="___SHR1">#REF!</definedName>
    <definedName name="___SHR2" localSheetId="2">#REF!</definedName>
    <definedName name="___SHR2">#REF!</definedName>
    <definedName name="___tax1" localSheetId="2">#REF!</definedName>
    <definedName name="___tax1">#REF!</definedName>
    <definedName name="___tax2" localSheetId="2">#REF!</definedName>
    <definedName name="___tax2">#REF!</definedName>
    <definedName name="___tax3" localSheetId="2">#REF!</definedName>
    <definedName name="___tax3">#REF!</definedName>
    <definedName name="___tax4" localSheetId="2">#REF!</definedName>
    <definedName name="___tax4">#REF!</definedName>
    <definedName name="___US1">#REF!</definedName>
    <definedName name="___VAR1">#REF!</definedName>
    <definedName name="___VEN425">#N/A</definedName>
    <definedName name="___yr1">#REF!</definedName>
    <definedName name="___yr2">#REF!</definedName>
    <definedName name="___YR94">#REF!</definedName>
    <definedName name="__?">#REF!</definedName>
    <definedName name="__?_컛?___i">#REF!</definedName>
    <definedName name="__?춑_TOTAL">[2]major!#REF!</definedName>
    <definedName name="__?춮t2">[3]현금경비중역!#REF!</definedName>
    <definedName name="__?춮ta">[3]현금경비중역!#REF!</definedName>
    <definedName name="__?춮tb">[3]현금경비중역!#REF!</definedName>
    <definedName name="__?­p_TOTAL">[1]major!#REF!</definedName>
    <definedName name="__0">'[5]#REF'!#REF!</definedName>
    <definedName name="__01">'[5]#REF'!#REF!</definedName>
    <definedName name="__02">'[5]#REF'!#REF!</definedName>
    <definedName name="__03">'[5]#REF'!#REF!</definedName>
    <definedName name="__04">'[5]#REF'!#REF!</definedName>
    <definedName name="__05">'[5]#REF'!#REF!</definedName>
    <definedName name="__06">'[5]#REF'!#REF!</definedName>
    <definedName name="__1抉" localSheetId="2">#REF!</definedName>
    <definedName name="__1抉">#REF!</definedName>
    <definedName name="__2S셌" localSheetId="2">#REF!</definedName>
    <definedName name="__2S셌">#REF!</definedName>
    <definedName name="__番">#N/A</definedName>
    <definedName name="__a1">#REF!</definedName>
    <definedName name="__a2">#REF!</definedName>
    <definedName name="__A20000">#REF!</definedName>
    <definedName name="__A25000">#REF!</definedName>
    <definedName name="__a3">#REF!</definedName>
    <definedName name="__Ａ４">[12]주행!#REF!</definedName>
    <definedName name="__age1" localSheetId="2">#REF!</definedName>
    <definedName name="__age1">#REF!</definedName>
    <definedName name="__att2">#REF!</definedName>
    <definedName name="__att3">#REF!</definedName>
    <definedName name="__att4">#REF!</definedName>
    <definedName name="__BOX1" localSheetId="2">'[11]2월'!#REF!</definedName>
    <definedName name="__BOX1">'[11]2월'!#REF!</definedName>
    <definedName name="__C1244ㅁ1430">#REF!</definedName>
    <definedName name="__CND1">#REF!</definedName>
    <definedName name="__DMK1">#REF!</definedName>
    <definedName name="__eop1">#REF!</definedName>
    <definedName name="__eop2">#REF!</definedName>
    <definedName name="__IntlFixup" hidden="1">TRUE</definedName>
    <definedName name="__job2">[9]major!#REF!</definedName>
    <definedName name="__KDX3" localSheetId="3">'[10]캐완일정표 '!_xlbgnm.KDX3</definedName>
    <definedName name="__KDX3" localSheetId="0">'[10]캐완일정표 '!_xlbgnm.KDX3</definedName>
    <definedName name="__KDX3" localSheetId="2">일정표!__KDX3</definedName>
    <definedName name="__KDX3">'[10]캐완일정표 '!_xlbgnm.KDX3</definedName>
    <definedName name="__LPS2" localSheetId="2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O2">#N/A</definedName>
    <definedName name="__NO3">[13]石油類!#REF!</definedName>
    <definedName name="__NO4">#N/A</definedName>
    <definedName name="__PF1">#REF!</definedName>
    <definedName name="__PF2">#REF!</definedName>
    <definedName name="__PF3">#REF!</definedName>
    <definedName name="__RM1">[14]Sheet1!$M$2</definedName>
    <definedName name="__RM2">[14]Sheet1!$M$2</definedName>
    <definedName name="__RM3">[14]Sheet1!$M$2</definedName>
    <definedName name="__SDW1" localSheetId="2" hidden="1">'[5]#REF'!#REF!</definedName>
    <definedName name="__SDW1" hidden="1">'[5]#REF'!#REF!</definedName>
    <definedName name="__SHR1" localSheetId="2">#REF!</definedName>
    <definedName name="__SHR1">#REF!</definedName>
    <definedName name="__SHR2" localSheetId="2">#REF!</definedName>
    <definedName name="__SHR2">#REF!</definedName>
    <definedName name="__SSH１２">[15]ＳＳ別!$BC$4:$BI$262</definedName>
    <definedName name="__tax1" localSheetId="2">#REF!</definedName>
    <definedName name="__tax1">#REF!</definedName>
    <definedName name="__tax2" localSheetId="2">#REF!</definedName>
    <definedName name="__tax2">#REF!</definedName>
    <definedName name="__tax3" localSheetId="2">#REF!</definedName>
    <definedName name="__tax3">#REF!</definedName>
    <definedName name="__tax4" localSheetId="2">#REF!</definedName>
    <definedName name="__tax4">#REF!</definedName>
    <definedName name="__US1">#REF!</definedName>
    <definedName name="__VAR1">#REF!</definedName>
    <definedName name="__VEN425">#N/A</definedName>
    <definedName name="__yr1">#REF!</definedName>
    <definedName name="__yr2">#REF!</definedName>
    <definedName name="__YR94">#REF!</definedName>
    <definedName name="_?">#N/A</definedName>
    <definedName name="_?____?">#N/A</definedName>
    <definedName name="_?_컛?___i">#REF!</definedName>
    <definedName name="_?춑_TOTAL">[2]major!#REF!</definedName>
    <definedName name="_?춮t2">[3]현금경비중역!#REF!</definedName>
    <definedName name="_?춮ta">[3]현금경비중역!#REF!</definedName>
    <definedName name="_?춮tb">[3]현금경비중역!#REF!</definedName>
    <definedName name="_?­p_TOTAL">[1]major!#REF!</definedName>
    <definedName name="_￡A￡´">'[16]p2-1'!#REF!</definedName>
    <definedName name="_￡A￡´1">#N/A</definedName>
    <definedName name="_0">'[5]#REF'!#REF!</definedName>
    <definedName name="_01">'[5]#REF'!#REF!</definedName>
    <definedName name="_01_10_93">#REF!</definedName>
    <definedName name="_02">'[5]#REF'!#REF!</definedName>
    <definedName name="_03">'[5]#REF'!#REF!</definedName>
    <definedName name="_04">'[5]#REF'!#REF!</definedName>
    <definedName name="_05">'[5]#REF'!#REF!</definedName>
    <definedName name="_06">'[5]#REF'!#REF!</definedName>
    <definedName name="_1">#REF!</definedName>
    <definedName name="_１__月">#REF!</definedName>
    <definedName name="_10_?_컛?___i">#REF!</definedName>
    <definedName name="_101">#REF!</definedName>
    <definedName name="_102">#REF!</definedName>
    <definedName name="_１０月">#REF!</definedName>
    <definedName name="_11">#REF!</definedName>
    <definedName name="_111">#REF!</definedName>
    <definedName name="_112">#REF!</definedName>
    <definedName name="_１１月">#REF!</definedName>
    <definedName name="_12">#REF!</definedName>
    <definedName name="_121">#REF!</definedName>
    <definedName name="_122">#REF!</definedName>
    <definedName name="_１２月">#REF!</definedName>
    <definedName name="_1抉" localSheetId="2">#REF!</definedName>
    <definedName name="_1抉">#REF!</definedName>
    <definedName name="_1PP">#N/A</definedName>
    <definedName name="_1S셌" localSheetId="2">#REF!</definedName>
    <definedName name="_1S셌">#REF!</definedName>
    <definedName name="_2">#REF!</definedName>
    <definedName name="_２__月">#REF!</definedName>
    <definedName name="_21">#REF!</definedName>
    <definedName name="_22">#REF!</definedName>
    <definedName name="_2抉" localSheetId="2">#REF!</definedName>
    <definedName name="_2抉">#REF!</definedName>
    <definedName name="_2PP">#N/A</definedName>
    <definedName name="_2S셌" localSheetId="2">#REF!</definedName>
    <definedName name="_2S셌">#REF!</definedName>
    <definedName name="_3">#REF!</definedName>
    <definedName name="_３__月">#REF!</definedName>
    <definedName name="_31">#REF!</definedName>
    <definedName name="_32">#REF!</definedName>
    <definedName name="_４__月">#REF!,#REF!,#REF!</definedName>
    <definedName name="_41">#REF!</definedName>
    <definedName name="_42">#REF!</definedName>
    <definedName name="_４月">#REF!,#REF!,#REF!</definedName>
    <definedName name="_５__月">#REF!</definedName>
    <definedName name="_51">#REF!</definedName>
    <definedName name="_51a1_">#REF!</definedName>
    <definedName name="_52">#REF!</definedName>
    <definedName name="_52a2_">#REF!</definedName>
    <definedName name="_53A20000_">#REF!</definedName>
    <definedName name="_54A25000_">#REF!</definedName>
    <definedName name="_55a3_">#REF!</definedName>
    <definedName name="_562">#REF!</definedName>
    <definedName name="_５月">#REF!,#REF!,#REF!</definedName>
    <definedName name="_６__月">#REF!</definedName>
    <definedName name="_61">#REF!</definedName>
    <definedName name="_62">#REF!</definedName>
    <definedName name="_７__月">#REF!</definedName>
    <definedName name="_71">#REF!</definedName>
    <definedName name="_72">#REF!</definedName>
    <definedName name="_８____９__________年">#REF!</definedName>
    <definedName name="_８__８____年">#REF!</definedName>
    <definedName name="_８_月">#REF!</definedName>
    <definedName name="_81">#REF!</definedName>
    <definedName name="_82">#REF!</definedName>
    <definedName name="_9_?">#REF!</definedName>
    <definedName name="_９_月">#REF!</definedName>
    <definedName name="_91">#REF!</definedName>
    <definedName name="_92">#REF!</definedName>
    <definedName name="_991">#REF!</definedName>
    <definedName name="_992">#REF!</definedName>
    <definedName name="_加__工">#N/A</definedName>
    <definedName name="_납입_">#N/A</definedName>
    <definedName name="_단계_">#N/A</definedName>
    <definedName name="_段階_">#N/A</definedName>
    <definedName name="_部">#N/A</definedName>
    <definedName name="_部________番__">#N/A</definedName>
    <definedName name="_선공젖_">#N/A</definedName>
    <definedName name="_熱_處_理">#N/A</definedName>
    <definedName name="_자_외_">#N/A</definedName>
    <definedName name="_自_外_">#N/A</definedName>
    <definedName name="_組__?">#N/A</definedName>
    <definedName name="_후공젖_">#N/A</definedName>
    <definedName name="_a1">#REF!</definedName>
    <definedName name="_a2">#REF!</definedName>
    <definedName name="_A20000">#REF!</definedName>
    <definedName name="_A25000">#REF!</definedName>
    <definedName name="_a3">#REF!</definedName>
    <definedName name="_Ａ４">'[8]p2-1'!#REF!</definedName>
    <definedName name="_Ａ４1">#N/A</definedName>
    <definedName name="_Ａ４2">#N/A</definedName>
    <definedName name="_age1" localSheetId="2">#REF!</definedName>
    <definedName name="_age1">#REF!</definedName>
    <definedName name="_att2">#REF!</definedName>
    <definedName name="_att3">#REF!</definedName>
    <definedName name="_att4">#REF!</definedName>
    <definedName name="_BOX1" localSheetId="2">'[11]2월'!#REF!</definedName>
    <definedName name="_BOX1">'[11]2월'!#REF!</definedName>
    <definedName name="_BQ4.1" hidden="1">#REF!</definedName>
    <definedName name="_C1244ㅁ1430">#REF!</definedName>
    <definedName name="_CND1">#REF!</definedName>
    <definedName name="_DMK1">#REF!</definedName>
    <definedName name="_eop1">#REF!</definedName>
    <definedName name="_eop2">#REF!</definedName>
    <definedName name="_Fill" localSheetId="2">[8]외주현황.wq1!$A$403:$A$435</definedName>
    <definedName name="_Fill" hidden="1">#REF!</definedName>
    <definedName name="_xlnm._FilterDatabase" localSheetId="2" hidden="1">#REF!</definedName>
    <definedName name="_xlnm._FilterDatabase" hidden="1">#REF!</definedName>
    <definedName name="_FRANCE">#REF!</definedName>
    <definedName name="_job2">[9]major!#REF!</definedName>
    <definedName name="_KDX3" localSheetId="2">일정표!_KDX3</definedName>
    <definedName name="_KDX3">[0]!_KDX3</definedName>
    <definedName name="_key">#REF!</definedName>
    <definedName name="_Key1" localSheetId="2">[8]외주현황.wq1!$E$403:$E$455</definedName>
    <definedName name="_Key1" hidden="1">[17]수리결과!#REF!</definedName>
    <definedName name="_KEY2" localSheetId="2" hidden="1">[9]수리결과!#REF!</definedName>
    <definedName name="_KEY2" hidden="1">[9]수리결과!#REF!</definedName>
    <definedName name="_LIN_">#N/A</definedName>
    <definedName name="_LINE_">#N/A</definedName>
    <definedName name="_LPS2" localSheetId="2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O2">#N/A</definedName>
    <definedName name="_NO3">[13]石油類!#REF!</definedName>
    <definedName name="_NO4">#N/A</definedName>
    <definedName name="_Order1" localSheetId="2">[8]외주현황.wq1!$A$31</definedName>
    <definedName name="_Order1" hidden="1">255</definedName>
    <definedName name="_Order2" localSheetId="2">255</definedName>
    <definedName name="_Order2" hidden="1">0</definedName>
    <definedName name="_PF1">#REF!</definedName>
    <definedName name="_PF2">#REF!</definedName>
    <definedName name="_PF3">#REF!</definedName>
    <definedName name="_Q__">'[18]95MAKER'!#REF!</definedName>
    <definedName name="_RM1">[14]Sheet1!$M$2</definedName>
    <definedName name="_RM2">[14]Sheet1!$M$2</definedName>
    <definedName name="_RM3">[14]Sheet1!$M$2</definedName>
    <definedName name="_SDW1" localSheetId="2" hidden="1">'[5]#REF'!#REF!</definedName>
    <definedName name="_SDW1" hidden="1">'[5]#REF'!#REF!</definedName>
    <definedName name="_SHR1" localSheetId="2">#REF!</definedName>
    <definedName name="_SHR1">#REF!</definedName>
    <definedName name="_SHR2" localSheetId="2">#REF!</definedName>
    <definedName name="_SHR2">#REF!</definedName>
    <definedName name="_Sort" localSheetId="2">[10]업무분장!$A$1:$IV$4072</definedName>
    <definedName name="_Sort" hidden="1">[19]수리결과!#REF!</definedName>
    <definedName name="_SSH１２">[15]ＳＳ別!$BC$4:$BI$262</definedName>
    <definedName name="_SUF">#N/A</definedName>
    <definedName name="_tax1" localSheetId="2">#REF!</definedName>
    <definedName name="_tax1">#REF!</definedName>
    <definedName name="_tax2" localSheetId="2">#REF!</definedName>
    <definedName name="_tax2">#REF!</definedName>
    <definedName name="_tax3" localSheetId="2">#REF!</definedName>
    <definedName name="_tax3">#REF!</definedName>
    <definedName name="_tax4" localSheetId="2">#REF!</definedName>
    <definedName name="_tax4">#REF!</definedName>
    <definedName name="_US1">#REF!</definedName>
    <definedName name="_VAR1">#REF!</definedName>
    <definedName name="_VEN425">#N/A</definedName>
    <definedName name="_yr1">#REF!</definedName>
    <definedName name="_yr2">#REF!</definedName>
    <definedName name="_YR94">#REF!</definedName>
    <definedName name="·">#REF!</definedName>
    <definedName name="【95年">#REF!</definedName>
    <definedName name="\a">#REF!</definedName>
    <definedName name="\b">#REF!</definedName>
    <definedName name="\c">#REF!</definedName>
    <definedName name="\e">#N/A</definedName>
    <definedName name="\g">#REF!</definedName>
    <definedName name="\m">#REF!</definedName>
    <definedName name="\q">#N/A</definedName>
    <definedName name="\QQ">#REF!</definedName>
    <definedName name="\t">#REF!</definedName>
    <definedName name="※_추후_NAVA__PROJECT는__부품_">[23]전산품의!$A$49</definedName>
    <definedName name="±a¾E°ⓒ">'[21]2.대외공문'!#REF!</definedName>
    <definedName name="±a¾EA≫">'[21]2.대외공문'!#REF!</definedName>
    <definedName name="○">#REF!</definedName>
    <definedName name="★_재료비_기준냉동기_미포함">[22]재료율!#REF!</definedName>
    <definedName name="☆ＳＦ１１フェア用データ03_1105のクロス集計">#REF!</definedName>
    <definedName name="￡A￡´">#REF!</definedName>
    <definedName name="￥">[20]작성양식!#REF!</definedName>
    <definedName name="ㄱ">#REF!</definedName>
    <definedName name="ㄱㄱ">[103]영업.일1!#REF!</definedName>
    <definedName name="ㄱ교" localSheetId="3">BlankMacro1</definedName>
    <definedName name="ㄱ교" localSheetId="0">BlankMacro1</definedName>
    <definedName name="ㄱ교" localSheetId="2">BlankMacro1</definedName>
    <definedName name="ㄱ교">BlankMacro1</definedName>
    <definedName name="ㄱ소ㅕㄷㄱ" localSheetId="3">BlankMacro1</definedName>
    <definedName name="ㄱ소ㅕㄷㄱ" localSheetId="0">BlankMacro1</definedName>
    <definedName name="ㄱ소ㅕㄷㄱ" localSheetId="2">BlankMacro1</definedName>
    <definedName name="ㄱ소ㅕㄷㄱ">BlankMacro1</definedName>
    <definedName name="ㄱㅇㅀㅇㅇㄹ" localSheetId="2">[55]INVOICE!#REF!</definedName>
    <definedName name="ㄱㅇㅀㅇㅇㄹ">[56]INVOICE!#REF!</definedName>
    <definedName name="가">#REF!</definedName>
    <definedName name="가1" localSheetId="2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가가" localSheetId="2" hidden="1">{#N/A,#N/A,FALSE,"단축1";#N/A,#N/A,FALSE,"단축2";#N/A,#N/A,FALSE,"단축3";#N/A,#N/A,FALSE,"장축";#N/A,#N/A,FALSE,"4WD"}</definedName>
    <definedName name="가가가" hidden="1">{#N/A,#N/A,FALSE,"단축1";#N/A,#N/A,FALSE,"단축2";#N/A,#N/A,FALSE,"단축3";#N/A,#N/A,FALSE,"장축";#N/A,#N/A,FALSE,"4WD"}</definedName>
    <definedName name="가나" localSheetId="3">[0]!BlankMacro1</definedName>
    <definedName name="가나" localSheetId="0">[0]!BlankMacro1</definedName>
    <definedName name="가나" localSheetId="2">[0]!BlankMacro1</definedName>
    <definedName name="가나">[0]!BlankMacro1</definedName>
    <definedName name="가나다">#REF!</definedName>
    <definedName name="가동" localSheetId="2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전">[104]영업.일1!#REF!</definedName>
    <definedName name="감가상각비">#REF!</definedName>
    <definedName name="감가상각충당금">#REF!</definedName>
    <definedName name="강" localSheetId="3">BlankMacro1</definedName>
    <definedName name="강" localSheetId="0">BlankMacro1</definedName>
    <definedName name="강" localSheetId="2">BlankMacro1</definedName>
    <definedName name="강">BlankMacro1</definedName>
    <definedName name="강남구_삼성동_14235_성담BD_6층_">#REF!</definedName>
    <definedName name="강사분석.xls">#REF!</definedName>
    <definedName name="강점" localSheetId="3">BlankMacro1</definedName>
    <definedName name="강점" localSheetId="0">BlankMacro1</definedName>
    <definedName name="강점" localSheetId="2">BlankMacro1</definedName>
    <definedName name="강점">BlankMacro1</definedName>
    <definedName name="강점관리" localSheetId="3">BlankMacro1</definedName>
    <definedName name="강점관리" localSheetId="0">BlankMacro1</definedName>
    <definedName name="강점관리" localSheetId="2">BlankMacro1</definedName>
    <definedName name="강점관리">BlankMacro1</definedName>
    <definedName name="개발시험종합" localSheetId="2" hidden="1">#REF!</definedName>
    <definedName name="개발시험종합" hidden="1">#REF!</definedName>
    <definedName name="개선과정" localSheetId="2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사례">'[99]CR CODE'!$B$3:$C$6</definedName>
    <definedName name="객실분석2" hidden="1">#REF!</definedName>
    <definedName name="거제" hidden="1">#REF!</definedName>
    <definedName name="건설조직">'[105]5.세운W-A'!#REF!</definedName>
    <definedName name="건의내용" localSheetId="3">BlankMacro1</definedName>
    <definedName name="건의내용" localSheetId="0">BlankMacro1</definedName>
    <definedName name="건의내용" localSheetId="2">BlankMacro1</definedName>
    <definedName name="건의내용">BlankMacro1</definedName>
    <definedName name="見積">#REF!</definedName>
    <definedName name="견적서">#REF!</definedName>
    <definedName name="견적안B" localSheetId="2" hidden="1">{#N/A,#N/A,FALSE,"단축1";#N/A,#N/A,FALSE,"단축2";#N/A,#N/A,FALSE,"단축3";#N/A,#N/A,FALSE,"장축";#N/A,#N/A,FALSE,"4WD"}</definedName>
    <definedName name="견적안B" hidden="1">{#N/A,#N/A,FALSE,"단축1";#N/A,#N/A,FALSE,"단축2";#N/A,#N/A,FALSE,"단축3";#N/A,#N/A,FALSE,"장축";#N/A,#N/A,FALSE,"4WD"}</definedName>
    <definedName name="견적특급호텔" localSheetId="2">{"'7'!$B$15:$D$32"}</definedName>
    <definedName name="견적특급호텔" hidden="1">{"'7'!$B$15:$D$32"}</definedName>
    <definedName name="경곤김" localSheetId="2">#REF!</definedName>
    <definedName name="경곤김">#REF!</definedName>
    <definedName name="경비.본">#REF!</definedName>
    <definedName name="경영계획">#REF!</definedName>
    <definedName name="경유1" localSheetId="2">#REF!</definedName>
    <definedName name="경유1">#REF!</definedName>
    <definedName name="경유12" localSheetId="2">#REF!</definedName>
    <definedName name="경유12">#REF!</definedName>
    <definedName name="경유주문1" localSheetId="2">#REF!</definedName>
    <definedName name="경유주문1">#REF!</definedName>
    <definedName name="경유주문2" localSheetId="2">#REF!</definedName>
    <definedName name="경유주문2">#REF!</definedName>
    <definedName name="경유총량" localSheetId="2">#REF!</definedName>
    <definedName name="경유총량">#REF!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동출발팀" localSheetId="2" hidden="1">{#N/A,#N/A,FALSE,"단축1";#N/A,#N/A,FALSE,"단축2";#N/A,#N/A,FALSE,"단축3";#N/A,#N/A,FALSE,"장축";#N/A,#N/A,FALSE,"4WD"}</definedName>
    <definedName name="계동출발팀" hidden="1">{#N/A,#N/A,FALSE,"단축1";#N/A,#N/A,FALSE,"단축2";#N/A,#N/A,FALSE,"단축3";#N/A,#N/A,FALSE,"장축";#N/A,#N/A,FALSE,"4WD"}</definedName>
    <definedName name="계정">[106]계정!$A$3:$C$119</definedName>
    <definedName name="계좌">#REF!</definedName>
    <definedName name="계획주">'[107]기종별 합계'!$F$3</definedName>
    <definedName name="고" localSheetId="3">[0]!BlankMacro1</definedName>
    <definedName name="고" localSheetId="0">[0]!BlankMacro1</definedName>
    <definedName name="고" localSheetId="2">[0]!BlankMacro1</definedName>
    <definedName name="고">[0]!BlankMacro1</definedName>
    <definedName name="고기종24" hidden="1">#REF!</definedName>
    <definedName name="고정부채항목">#REF!</definedName>
    <definedName name="고정자산항목">#REF!</definedName>
    <definedName name="공구">#REF!</definedName>
    <definedName name="공서">'[108]99제품운영(안) (2)'!$A$128</definedName>
    <definedName name="공식일정2">'[11]2월'!#REF!</definedName>
    <definedName name="공장2">#REF!</definedName>
    <definedName name="공장3">#REF!</definedName>
    <definedName name="공장예산평가_1분기" hidden="1">#REF!</definedName>
    <definedName name="공통경비">#REF!</definedName>
    <definedName name="과장">#REF!</definedName>
    <definedName name="과장충당금">[109]인건비기준!#REF!</definedName>
    <definedName name="과정명">[110]과정별!$D$8:$D$9</definedName>
    <definedName name="관광일정2">'[11]2월'!#REF!</definedName>
    <definedName name="관람루트" localSheetId="2" hidden="1">{#N/A,#N/A,FALSE,"단축1";#N/A,#N/A,FALSE,"단축2";#N/A,#N/A,FALSE,"단축3";#N/A,#N/A,FALSE,"장축";#N/A,#N/A,FALSE,"4WD"}</definedName>
    <definedName name="관람루트" hidden="1">{#N/A,#N/A,FALSE,"단축1";#N/A,#N/A,FALSE,"단축2";#N/A,#N/A,FALSE,"단축3";#N/A,#N/A,FALSE,"장축";#N/A,#N/A,FALSE,"4WD"}</definedName>
    <definedName name="管理">#N/A</definedName>
    <definedName name="관리지표2" localSheetId="2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壞쿞" localSheetId="2">#REF!</definedName>
    <definedName name="壞쿞">#REF!</definedName>
    <definedName name="교수기법" localSheetId="3">BlankMacro1</definedName>
    <definedName name="교수기법" localSheetId="0">BlankMacro1</definedName>
    <definedName name="교수기법" localSheetId="2">BlankMacro1</definedName>
    <definedName name="교수기법">BlankMacro1</definedName>
    <definedName name="교육">[111]신1!#REF!</definedName>
    <definedName name="교육계획">[112]협조전!#REF!</definedName>
    <definedName name="교ㅗㄱ" localSheetId="3">BlankMacro1</definedName>
    <definedName name="교ㅗㄱ" localSheetId="0">BlankMacro1</definedName>
    <definedName name="교ㅗㄱ" localSheetId="2">BlankMacro1</definedName>
    <definedName name="교ㅗㄱ">BlankMacro1</definedName>
    <definedName name="교ㅗㄱㅇ료ㅗㅎ" localSheetId="3">BlankMacro1</definedName>
    <definedName name="교ㅗㄱㅇ료ㅗㅎ" localSheetId="0">BlankMacro1</definedName>
    <definedName name="교ㅗㄱㅇ료ㅗㅎ" localSheetId="2">BlankMacro1</definedName>
    <definedName name="교ㅗㄱㅇ료ㅗㅎ">BlankMacro1</definedName>
    <definedName name="교ㅗㄱㄵ됴ㅗ" localSheetId="3">BlankMacro1</definedName>
    <definedName name="교ㅗㄱㄵ됴ㅗ" localSheetId="0">BlankMacro1</definedName>
    <definedName name="교ㅗㄱㄵ됴ㅗ" localSheetId="2">BlankMacro1</definedName>
    <definedName name="교ㅗㄱㄵ됴ㅗ">BlankMacro1</definedName>
    <definedName name="구동" localSheetId="3">[0]!BlankMacro1</definedName>
    <definedName name="구동" localSheetId="0">[0]!BlankMacro1</definedName>
    <definedName name="구동" localSheetId="2">[0]!BlankMacro1</definedName>
    <definedName name="구동">[0]!BlankMacro1</definedName>
    <definedName name="구칠건가">#REF!</definedName>
    <definedName name="구칠금형">#REF!</definedName>
    <definedName name="국내">'[113]2.대외공문'!#REF!</definedName>
    <definedName name="국내2">#REF!</definedName>
    <definedName name="국내abs">#REF!</definedName>
    <definedName name="그룹편성" localSheetId="2" hidden="1">{#N/A,#N/A,FALSE,"단축1";#N/A,#N/A,FALSE,"단축2";#N/A,#N/A,FALSE,"단축3";#N/A,#N/A,FALSE,"장축";#N/A,#N/A,FALSE,"4WD"}</definedName>
    <definedName name="그룹편성" hidden="1">{#N/A,#N/A,FALSE,"단축1";#N/A,#N/A,FALSE,"단축2";#N/A,#N/A,FALSE,"단축3";#N/A,#N/A,FALSE,"장축";#N/A,#N/A,FALSE,"4WD"}</definedName>
    <definedName name="금월" localSheetId="2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급료.본">#REF!</definedName>
    <definedName name="기">[41]테크론!#REF!</definedName>
    <definedName name="機_種">#N/A</definedName>
    <definedName name="기아">#REF!</definedName>
    <definedName name="기안">#REF!</definedName>
    <definedName name="기안1">[114]대외공문!#REF!</definedName>
    <definedName name="기안2">#REF!</definedName>
    <definedName name="기안3">#REF!</definedName>
    <definedName name="기안4">#REF!</definedName>
    <definedName name="기안갑" localSheetId="2">[90]대외공문!#REF!</definedName>
    <definedName name="기안갑">[90]대외공문!#REF!</definedName>
    <definedName name="기안병">#REF!</definedName>
    <definedName name="기안용지">#REF!</definedName>
    <definedName name="기안을" localSheetId="2">[90]대외공문!#REF!</definedName>
    <definedName name="기안을">[90]대외공문!#REF!</definedName>
    <definedName name="기안종">#REF!</definedName>
    <definedName name="기안지">#REF!</definedName>
    <definedName name="기안지3" localSheetId="3">BlankMacro1</definedName>
    <definedName name="기안지3" localSheetId="0">BlankMacro1</definedName>
    <definedName name="기안지3" localSheetId="2">BlankMacro1</definedName>
    <definedName name="기안지3">BlankMacro1</definedName>
    <definedName name="기안지4" localSheetId="3">BlankMacro1</definedName>
    <definedName name="기안지4" localSheetId="0">BlankMacro1</definedName>
    <definedName name="기안지4" localSheetId="2">BlankMacro1</definedName>
    <definedName name="기안지4">BlankMacro1</definedName>
    <definedName name="기안지5" localSheetId="3">BlankMacro1</definedName>
    <definedName name="기안지5" localSheetId="0">BlankMacro1</definedName>
    <definedName name="기안지5" localSheetId="2">BlankMacro1</definedName>
    <definedName name="기안지5">BlankMacro1</definedName>
    <definedName name="기준" localSheetId="2">[45]테크론!#REF!</definedName>
    <definedName name="기준">[45]테크론!#REF!</definedName>
    <definedName name="기준2월" localSheetId="2">[45]테크론!#REF!</definedName>
    <definedName name="기준2월">[45]테크론!#REF!</definedName>
    <definedName name="기타유동부채">#REF!</definedName>
    <definedName name="기타유동자산">#REF!</definedName>
    <definedName name="기타충당금">#REF!</definedName>
    <definedName name="金額">#REF!</definedName>
    <definedName name="김영준">#REF!</definedName>
    <definedName name="김형운">{"'7'!$B$15:$D$32"}</definedName>
    <definedName name="김혜진">'[108]99제품운영(안) (2)'!$A$58</definedName>
    <definedName name="김혜진1">'[108]99제품운영(안) (2)'!$A$6</definedName>
    <definedName name="김혜진2">'[108]99제품운영(안) (2)'!$A$128</definedName>
    <definedName name="꽁꽁" localSheetId="2">#REF!</definedName>
    <definedName name="꽁꽁">#REF!</definedName>
    <definedName name="꽁치" localSheetId="2">[45]테크론!#REF!</definedName>
    <definedName name="꽁치">[41]테크론!#REF!</definedName>
    <definedName name="ㄴ">'[11]2월'!#REF!</definedName>
    <definedName name="ㄴㄴ">[41]테크론!#REF!</definedName>
    <definedName name="ㄴㅇ" localSheetId="2">#REF!</definedName>
    <definedName name="ㄴㅇ">#REF!</definedName>
    <definedName name="ㄴㅇㄴㅇ" hidden="1">#REF!</definedName>
    <definedName name="ㄴㅇㅈㅇㄹㅈㄹㅈ" localSheetId="3">BlankMacro1</definedName>
    <definedName name="ㄴㅇㅈㅇㄹㅈㄹㅈ" localSheetId="0">BlankMacro1</definedName>
    <definedName name="ㄴㅇㅈㅇㄹㅈㄹㅈ" localSheetId="2">BlankMacro1</definedName>
    <definedName name="ㄴㅇㅈㅇㄹㅈㄹㅈ">BlankMacro1</definedName>
    <definedName name="나">#REF!</definedName>
    <definedName name="나나나" localSheetId="2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난12">{"'7'!$B$15:$D$32"}</definedName>
    <definedName name="난몰라" hidden="1">#REF!</definedName>
    <definedName name="난몰라정말몰라" hidden="1">#REF!</definedName>
    <definedName name="남규석">#REF!</definedName>
    <definedName name="납입">#N/A</definedName>
    <definedName name="납입자본금">#REF!</definedName>
    <definedName name="납입장소">#N/A</definedName>
    <definedName name="납품보고">#REF!</definedName>
    <definedName name="내수출2">#REF!</definedName>
    <definedName name="네넨">#REF!</definedName>
    <definedName name="네환율">#REF!</definedName>
    <definedName name="年度">[101]マスター!$A$3:$B$5</definedName>
    <definedName name="년도__실적추정은_건설이자_미포">'[115]R&amp;D'!#REF!</definedName>
    <definedName name="노" localSheetId="3">BlankMacro1</definedName>
    <definedName name="노" localSheetId="0">BlankMacro1</definedName>
    <definedName name="노" localSheetId="2">BlankMacro1</definedName>
    <definedName name="노">BlankMacro1</definedName>
    <definedName name="노사문화" localSheetId="3">BlankMacro1</definedName>
    <definedName name="노사문화" localSheetId="0">BlankMacro1</definedName>
    <definedName name="노사문화" localSheetId="2">BlankMacro1</definedName>
    <definedName name="노사문화">BlankMacro1</definedName>
    <definedName name="노조" localSheetId="2">일정표!노조</definedName>
    <definedName name="노조">[0]!노조</definedName>
    <definedName name="노조일정" localSheetId="2" hidden="1">{#N/A,#N/A,FALSE,"단축1";#N/A,#N/A,FALSE,"단축2";#N/A,#N/A,FALSE,"단축3";#N/A,#N/A,FALSE,"장축";#N/A,#N/A,FALSE,"4WD"}</definedName>
    <definedName name="노조일정" hidden="1">{#N/A,#N/A,FALSE,"단축1";#N/A,#N/A,FALSE,"단축2";#N/A,#N/A,FALSE,"단축3";#N/A,#N/A,FALSE,"장축";#N/A,#N/A,FALSE,"4WD"}</definedName>
    <definedName name="노환율">#REF!</definedName>
    <definedName name="뉴욕">'[4]2.대외공문'!#REF!</definedName>
    <definedName name="니" localSheetId="2" hidden="1">{"롵뱒뙒묉덇",#N/A,FALSE,"BY IS"}</definedName>
    <definedName name="니" hidden="1">{"롵뱒뙒묉덇",#N/A,FALSE,"BY IS"}</definedName>
    <definedName name="니기미">[116]문서처리전!#REF!</definedName>
    <definedName name="ㄷ">#REF!</definedName>
    <definedName name="ㄷㄱ숗ㄷㄱㄵ" localSheetId="3">BlankMacro1</definedName>
    <definedName name="ㄷㄱ숗ㄷㄱㄵ" localSheetId="0">BlankMacro1</definedName>
    <definedName name="ㄷㄱ숗ㄷㄱㄵ" localSheetId="2">BlankMacro1</definedName>
    <definedName name="ㄷㄱ숗ㄷㄱㄵ">BlankMacro1</definedName>
    <definedName name="ㄷㄹ" localSheetId="3">BlankMacro1</definedName>
    <definedName name="ㄷㄹ" localSheetId="0">BlankMacro1</definedName>
    <definedName name="ㄷㄹ" localSheetId="2">BlankMacro1</definedName>
    <definedName name="ㄷㄹ">BlankMacro1</definedName>
    <definedName name="ㄷㅌ">'[11]2월'!#REF!</definedName>
    <definedName name="다" localSheetId="2" hidden="1">{"롵뱒뙒묉덇",#N/A,FALSE,"BY IS"}</definedName>
    <definedName name="다" hidden="1">{"롵뱒뙒묉덇",#N/A,FALSE,"BY IS"}</definedName>
    <definedName name="다음레져">'[11]2월'!#REF!</definedName>
    <definedName name="段階">#N/A</definedName>
    <definedName name="단기차입금">#REF!</definedName>
    <definedName name="단위">1000</definedName>
    <definedName name="單位阡원_阡￥">#REF!</definedName>
    <definedName name="단체매출" localSheetId="2">{"'7'!$B$15:$D$32"}</definedName>
    <definedName name="단체매출" hidden="1">{"'7'!$B$15:$D$32"}</definedName>
    <definedName name="聃1" localSheetId="2">#REF!</definedName>
    <definedName name="聃1">#REF!</definedName>
    <definedName name="聃10" localSheetId="2">#REF!</definedName>
    <definedName name="聃10">#REF!</definedName>
    <definedName name="聃11" localSheetId="2">#REF!</definedName>
    <definedName name="聃11">#REF!</definedName>
    <definedName name="聃12" localSheetId="2">#REF!</definedName>
    <definedName name="聃12">#REF!</definedName>
    <definedName name="聃2" localSheetId="2">#REF!</definedName>
    <definedName name="聃2">#REF!</definedName>
    <definedName name="聃3" localSheetId="2">#REF!</definedName>
    <definedName name="聃3">#REF!</definedName>
    <definedName name="聃4" localSheetId="2">#REF!</definedName>
    <definedName name="聃4">#REF!</definedName>
    <definedName name="聃5" localSheetId="2">#REF!</definedName>
    <definedName name="聃5">#REF!</definedName>
    <definedName name="聃6" localSheetId="2">#REF!</definedName>
    <definedName name="聃6">#REF!</definedName>
    <definedName name="聃7" localSheetId="2">#REF!</definedName>
    <definedName name="聃7">#REF!</definedName>
    <definedName name="聃8" localSheetId="2">#REF!</definedName>
    <definedName name="聃8">#REF!</definedName>
    <definedName name="聃9" localSheetId="2">#REF!</definedName>
    <definedName name="聃9">#REF!</definedName>
    <definedName name="담당업무">#REF!</definedName>
    <definedName name="당해사업년도의_감사내부감사의_">#REF!</definedName>
    <definedName name="대로_인정해_주기로_약속된바_있">[117]DWPM!#REF!</definedName>
    <definedName name="대리점">'[118]1월~7월실적'!$E$23:$Q$140</definedName>
    <definedName name="대림PL">[119]ML!#REF!</definedName>
    <definedName name="대환율">#REF!</definedName>
    <definedName name="대회">#REF!</definedName>
    <definedName name="덕진원가" localSheetId="2">[42]INVOICE!#REF!</definedName>
    <definedName name="덕진원가">[120]INVOICE!#REF!</definedName>
    <definedName name="덕진이원가" localSheetId="2">#REF!</definedName>
    <definedName name="덕진이원가">#REF!</definedName>
    <definedName name="데이타" localSheetId="2">#REF!</definedName>
    <definedName name="데이타">#REF!</definedName>
    <definedName name="독일체코" localSheetId="2" hidden="1">{#N/A,#N/A,FALSE,"단축1";#N/A,#N/A,FALSE,"단축2";#N/A,#N/A,FALSE,"단축3";#N/A,#N/A,FALSE,"장축";#N/A,#N/A,FALSE,"4WD"}</definedName>
    <definedName name="독일체코" hidden="1">{#N/A,#N/A,FALSE,"단축1";#N/A,#N/A,FALSE,"단축2";#N/A,#N/A,FALSE,"단축3";#N/A,#N/A,FALSE,"장축";#N/A,#N/A,FALSE,"4WD"}</definedName>
    <definedName name="독일체코일정표">#REF!</definedName>
    <definedName name="독환율">#REF!</definedName>
    <definedName name="동경리스트0226_수속_List" localSheetId="2">#REF!</definedName>
    <definedName name="동경리스트0226_수속_List">#REF!</definedName>
    <definedName name="동반진출">#REF!</definedName>
    <definedName name="동현" localSheetId="2">#REF!</definedName>
    <definedName name="동현">#REF!</definedName>
    <definedName name="등유1" localSheetId="2">#REF!</definedName>
    <definedName name="등유1">#REF!</definedName>
    <definedName name="등유12" localSheetId="2">#REF!</definedName>
    <definedName name="등유12">#REF!</definedName>
    <definedName name="등유주문2" localSheetId="2">#REF!</definedName>
    <definedName name="등유주문2">#REF!</definedName>
    <definedName name="등유총량" localSheetId="2">#REF!</definedName>
    <definedName name="등유총량">#REF!</definedName>
    <definedName name="디" localSheetId="2" hidden="1">{"롵뱒뙒묉덇",#N/A,FALSE,"BY IS"}</definedName>
    <definedName name="디" hidden="1">{"롵뱒뙒묉덇",#N/A,FALSE,"BY IS"}</definedName>
    <definedName name="ㄹ" localSheetId="3">BlankMacro1</definedName>
    <definedName name="ㄹ" localSheetId="0">BlankMacro1</definedName>
    <definedName name="ㄹ" localSheetId="2">BlankMacro1</definedName>
    <definedName name="ㄹ">BlankMacro1</definedName>
    <definedName name="ㄹ1" localSheetId="2">#REF!</definedName>
    <definedName name="ㄹ1">#REF!</definedName>
    <definedName name="ㄹㄷㅇ">#REF!</definedName>
    <definedName name="ㄹㄹ">[1]major!#REF!</definedName>
    <definedName name="ㄹㄹㄹ" localSheetId="2">#REF!</definedName>
    <definedName name="ㄹㄹㄹ">#REF!</definedName>
    <definedName name="ㄹㅇ" localSheetId="2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ㄴㅇ">[79]HP1AMLIST!#REF!</definedName>
    <definedName name="ㄹㅇㄹㅇㄹ" localSheetId="2" hidden="1">{"롵뱒뙒묉덇",#N/A,FALSE,"BY IS"}</definedName>
    <definedName name="ㄹㅇㄹㅇㄹ" hidden="1">{"롵뱒뙒묉덇",#N/A,FALSE,"BY IS"}</definedName>
    <definedName name="ㄹㅇ호" localSheetId="3">BlankMacro1</definedName>
    <definedName name="ㄹㅇ호" localSheetId="0">BlankMacro1</definedName>
    <definedName name="ㄹㅇ호" localSheetId="2">BlankMacro1</definedName>
    <definedName name="ㄹㅇ호">BlankMacro1</definedName>
    <definedName name="ㄹ오ㅗ" localSheetId="3">BlankMacro1</definedName>
    <definedName name="ㄹ오ㅗ" localSheetId="0">BlankMacro1</definedName>
    <definedName name="ㄹ오ㅗ" localSheetId="2">BlankMacro1</definedName>
    <definedName name="ㄹ오ㅗ">BlankMacro1</definedName>
    <definedName name="ㄹ헗" localSheetId="3">BlankMacro1</definedName>
    <definedName name="ㄹ헗" localSheetId="0">BlankMacro1</definedName>
    <definedName name="ㄹ헗" localSheetId="2">BlankMacro1</definedName>
    <definedName name="ㄹ헗">BlankMacro1</definedName>
    <definedName name="ㄹ헣ㄹ" localSheetId="3">BlankMacro1</definedName>
    <definedName name="ㄹ헣ㄹ" localSheetId="0">BlankMacro1</definedName>
    <definedName name="ㄹ헣ㄹ" localSheetId="2">BlankMacro1</definedName>
    <definedName name="ㄹ헣ㄹ">BlankMacro1</definedName>
    <definedName name="ㄹ호" localSheetId="3">BlankMacro1</definedName>
    <definedName name="ㄹ호" localSheetId="0">BlankMacro1</definedName>
    <definedName name="ㄹ호" localSheetId="2">BlankMacro1</definedName>
    <definedName name="ㄹ호">BlankMacro1</definedName>
    <definedName name="ㄹ홀ㅇ" localSheetId="3">BlankMacro1</definedName>
    <definedName name="ㄹ홀ㅇ" localSheetId="0">BlankMacro1</definedName>
    <definedName name="ㄹ홀ㅇ" localSheetId="2">BlankMacro1</definedName>
    <definedName name="ㄹ홀ㅇ">BlankMacro1</definedName>
    <definedName name="ㄹ히" localSheetId="2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">#REF!</definedName>
    <definedName name="럷잏" localSheetId="2">#REF!</definedName>
    <definedName name="럷잏">#REF!</definedName>
    <definedName name="레이크루이스" localSheetId="2">#REF!</definedName>
    <definedName name="레이크루이스">#REF!</definedName>
    <definedName name="로스앤아원가" localSheetId="2">[35]INVOICE!#REF!</definedName>
    <definedName name="로스앤아원가">[43]INVOICE!#REF!</definedName>
    <definedName name="로스앤원가" localSheetId="2">'[11]2월'!#REF!</definedName>
    <definedName name="로스앤원가">'[11]2월'!#REF!</definedName>
    <definedName name="로스앤젤레스원가" localSheetId="2">#REF!</definedName>
    <definedName name="로스앤젤레스원가">#REF!</definedName>
    <definedName name="로스원가" localSheetId="2">[79]BCN!#REF!</definedName>
    <definedName name="로스원가">[121]BCN!#REF!</definedName>
    <definedName name="루" localSheetId="2" hidden="1">{#N/A,#N/A,FALSE,"단축1";#N/A,#N/A,FALSE,"단축2";#N/A,#N/A,FALSE,"단축3";#N/A,#N/A,FALSE,"장축";#N/A,#N/A,FALSE,"4WD"}</definedName>
    <definedName name="루" hidden="1">{#N/A,#N/A,FALSE,"단축1";#N/A,#N/A,FALSE,"단축2";#N/A,#N/A,FALSE,"단축3";#N/A,#N/A,FALSE,"장축";#N/A,#N/A,FALSE,"4WD"}</definedName>
    <definedName name="루밍">[55]INVOICE!#REF!</definedName>
    <definedName name="룸2" localSheetId="2" hidden="1">{#N/A,#N/A,FALSE,"단축1";#N/A,#N/A,FALSE,"단축2";#N/A,#N/A,FALSE,"단축3";#N/A,#N/A,FALSE,"장축";#N/A,#N/A,FALSE,"4WD"}</definedName>
    <definedName name="룸2" hidden="1">{#N/A,#N/A,FALSE,"단축1";#N/A,#N/A,FALSE,"단축2";#N/A,#N/A,FALSE,"단축3";#N/A,#N/A,FALSE,"장축";#N/A,#N/A,FALSE,"4WD"}</definedName>
    <definedName name="룸3" localSheetId="2" hidden="1">{#N/A,#N/A,FALSE,"단축1";#N/A,#N/A,FALSE,"단축2";#N/A,#N/A,FALSE,"단축3";#N/A,#N/A,FALSE,"장축";#N/A,#N/A,FALSE,"4WD"}</definedName>
    <definedName name="룸3" hidden="1">{#N/A,#N/A,FALSE,"단축1";#N/A,#N/A,FALSE,"단축2";#N/A,#N/A,FALSE,"단축3";#N/A,#N/A,FALSE,"장축";#N/A,#N/A,FALSE,"4WD"}</definedName>
    <definedName name="룸4" localSheetId="2" hidden="1">{#N/A,#N/A,FALSE,"단축1";#N/A,#N/A,FALSE,"단축2";#N/A,#N/A,FALSE,"단축3";#N/A,#N/A,FALSE,"장축";#N/A,#N/A,FALSE,"4WD"}</definedName>
    <definedName name="룸4" hidden="1">{#N/A,#N/A,FALSE,"단축1";#N/A,#N/A,FALSE,"단축2";#N/A,#N/A,FALSE,"단축3";#N/A,#N/A,FALSE,"장축";#N/A,#N/A,FALSE,"4WD"}</definedName>
    <definedName name="룸41" localSheetId="2" hidden="1">{#N/A,#N/A,FALSE,"단축1";#N/A,#N/A,FALSE,"단축2";#N/A,#N/A,FALSE,"단축3";#N/A,#N/A,FALSE,"장축";#N/A,#N/A,FALSE,"4WD"}</definedName>
    <definedName name="룸41" hidden="1">{#N/A,#N/A,FALSE,"단축1";#N/A,#N/A,FALSE,"단축2";#N/A,#N/A,FALSE,"단축3";#N/A,#N/A,FALSE,"장축";#N/A,#N/A,FALSE,"4WD"}</definedName>
    <definedName name="룸5" localSheetId="2" hidden="1">{#N/A,#N/A,FALSE,"단축1";#N/A,#N/A,FALSE,"단축2";#N/A,#N/A,FALSE,"단축3";#N/A,#N/A,FALSE,"장축";#N/A,#N/A,FALSE,"4WD"}</definedName>
    <definedName name="룸5" hidden="1">{#N/A,#N/A,FALSE,"단축1";#N/A,#N/A,FALSE,"단축2";#N/A,#N/A,FALSE,"단축3";#N/A,#N/A,FALSE,"장축";#N/A,#N/A,FALSE,"4WD"}</definedName>
    <definedName name="룸6" localSheetId="2" hidden="1">{#N/A,#N/A,FALSE,"단축1";#N/A,#N/A,FALSE,"단축2";#N/A,#N/A,FALSE,"단축3";#N/A,#N/A,FALSE,"장축";#N/A,#N/A,FALSE,"4WD"}</definedName>
    <definedName name="룸6" hidden="1">{#N/A,#N/A,FALSE,"단축1";#N/A,#N/A,FALSE,"단축2";#N/A,#N/A,FALSE,"단축3";#N/A,#N/A,FALSE,"장축";#N/A,#N/A,FALSE,"4WD"}</definedName>
    <definedName name="리더쉽" localSheetId="3">BlankMacro1</definedName>
    <definedName name="리더쉽" localSheetId="0">BlankMacro1</definedName>
    <definedName name="리더쉽" localSheetId="2">BlankMacro1</definedName>
    <definedName name="리더쉽">BlankMacro1</definedName>
    <definedName name="ㅁ" localSheetId="2" hidden="1">{"롵뱒뙒묉덇",#N/A,FALSE,"BY IS"}</definedName>
    <definedName name="ㅁ" hidden="1">{"롵뱒뙒묉덇",#N/A,FALSE,"BY IS"}</definedName>
    <definedName name="ㅁ01">#REF!</definedName>
    <definedName name="ㅁ1" localSheetId="2">[79]BCN!#REF!</definedName>
    <definedName name="ㅁ1">#REF!</definedName>
    <definedName name="ㅁ1430">#REF!</definedName>
    <definedName name="ㅁ169">#REF!</definedName>
    <definedName name="ㅁ49">[47]일정!#REF!</definedName>
    <definedName name="ㅁ65">'[122]2월'!$B$33</definedName>
    <definedName name="ㅁㄴ" localSheetId="3">BlankMacro1</definedName>
    <definedName name="ㅁㄴ" localSheetId="0">BlankMacro1</definedName>
    <definedName name="ㅁㄴ" localSheetId="2">BlankMacro1</definedName>
    <definedName name="ㅁㄴ">BlankMacro1</definedName>
    <definedName name="ㅁㄴㅇㄻㅇㄻ" hidden="1">[10]수리결과!#REF!</definedName>
    <definedName name="ㅁㅁ">#REF!</definedName>
    <definedName name="ㅁㅁㅁ">'[123]#REF'!#REF!</definedName>
    <definedName name="ㅁㅇ" localSheetId="2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ㄻㄶㅎㅁ" hidden="1">#REF!</definedName>
    <definedName name="ㅁㅊ">'[25]2.대외공문'!#REF!</definedName>
    <definedName name="마">#REF!</definedName>
    <definedName name="만" hidden="1">#REF!</definedName>
    <definedName name="만족도203">#REF!</definedName>
    <definedName name="말레이시아견적" localSheetId="3">[0]!BlankMacro1</definedName>
    <definedName name="말레이시아견적" localSheetId="0">[0]!BlankMacro1</definedName>
    <definedName name="말레이시아견적" localSheetId="2">[0]!BlankMacro1</definedName>
    <definedName name="말레이시아견적">[0]!BlankMacro1</definedName>
    <definedName name="매_출_액">#REF!</definedName>
    <definedName name="매입채무">#REF!</definedName>
    <definedName name="매출.본">#REF!</definedName>
    <definedName name="매출이익">#REF!</definedName>
    <definedName name="매출채권">#REF!</definedName>
    <definedName name="매크로4" localSheetId="3">[124]!매크로4</definedName>
    <definedName name="매크로4" localSheetId="0">[124]!매크로4</definedName>
    <definedName name="매크로4">[124]!매크로4</definedName>
    <definedName name="매크로5" localSheetId="3">[124]!매크로5</definedName>
    <definedName name="매크로5" localSheetId="0">[124]!매크로5</definedName>
    <definedName name="매크로5">[124]!매크로5</definedName>
    <definedName name="메뉴7" localSheetId="3">[125]!메뉴7</definedName>
    <definedName name="메뉴7" localSheetId="0">[125]!메뉴7</definedName>
    <definedName name="메뉴7">[125]!메뉴7</definedName>
    <definedName name="메이몽">'[126]99제품운영(안) (2)'!$A$58</definedName>
    <definedName name="멟됷랁룣" localSheetId="2">'[127]Activity Report'!$C$50:$C$53,'[127]Activity Report'!$E$50:$F$53,'[127]Activity Report'!$H$50:$H$53,'[127]Activity Report'!$J$49:$J$53,'[127]Activity Report'!$L$49:$L$53,'[127]Activity Report'!$C$71:$C$74,'[127]Activity Report'!$E$71:$E$74,'[127]Activity Report'!$G$71:$H$74,'[127]Activity Report'!$J$71:$K$74</definedName>
    <definedName name="멟됷랁룣">'[128]Activity Report'!$C$50:$C$53,'[128]Activity Report'!$E$50:$F$53,'[128]Activity Report'!$H$50:$H$53,'[128]Activity Report'!$J$49:$J$53,'[128]Activity Report'!$L$49:$L$53,'[128]Activity Report'!$C$71:$C$74,'[128]Activity Report'!$E$71:$E$74,'[128]Activity Report'!$G$71:$H$74,'[128]Activity Report'!$J$71:$K$74</definedName>
    <definedName name="멟뙉랁룣" localSheetId="2">[129]李룀메!$R$2:$R$1215,[129]李룀메!$W$2:$W$1215,[129]李룀메!$Z$2:$AA$1215</definedName>
    <definedName name="멟뙉랁룣">[130]李룀메!$R$2:$R$1215,[130]李룀메!$W$2:$W$1215,[130]李룀메!$Z$2:$AA$1215</definedName>
    <definedName name="멟뙉DATA" localSheetId="2">#REF!,#REF!,#REF!,#REF!,#REF!,#REF!,#REF!,#REF!,#REF!,#REF!,#REF!</definedName>
    <definedName name="멟뙉DATA">#REF!,#REF!,#REF!,#REF!,#REF!,#REF!,#REF!,#REF!,#REF!,#REF!,#REF!</definedName>
    <definedName name="명단" localSheetId="3">[131]!틀없애기</definedName>
    <definedName name="명단" localSheetId="0">[131]!틀없애기</definedName>
    <definedName name="명단">[131]!틀없애기</definedName>
    <definedName name="명단10">#REF!</definedName>
    <definedName name="몰라">#REF!</definedName>
    <definedName name="몵뢁뽞뷭" localSheetId="2">[129]李룀메!$R$2:$R$1215,[129]李룀메!$W$2:$W$1215,[129]李룀메!$Z$2:$AA$1215</definedName>
    <definedName name="몵뢁뽞뷭">[130]李룀메!$R$2:$R$1215,[130]李룀메!$W$2:$W$1215,[130]李룀메!$Z$2:$AA$1215</definedName>
    <definedName name="묈" localSheetId="2">#REF!</definedName>
    <definedName name="묈">#REF!</definedName>
    <definedName name="무형자산">#REF!</definedName>
    <definedName name="미" localSheetId="2">#REF!</definedName>
    <definedName name="미">#REF!</definedName>
    <definedName name="미경">#REF!</definedName>
    <definedName name="미서부8일" localSheetId="3">BlankMacro1</definedName>
    <definedName name="미서부8일" localSheetId="0">BlankMacro1</definedName>
    <definedName name="미서부8일">BlankMacro1</definedName>
    <definedName name="미코" localSheetId="2">#REF!</definedName>
    <definedName name="미코">#REF!</definedName>
    <definedName name="미환율">#REF!</definedName>
    <definedName name="민" hidden="1">#REF!</definedName>
    <definedName name="민윤기" hidden="1">#REF!</definedName>
    <definedName name="민창원님" localSheetId="2" hidden="1">{"롵뱒뙒묉덇",#N/A,FALSE,"BY IS"}</definedName>
    <definedName name="민창원님" hidden="1">{"롵뱒뙒묉덇",#N/A,FALSE,"BY IS"}</definedName>
    <definedName name="민창원지출" localSheetId="2" hidden="1">{"롵뱒뙒묉덇",#N/A,FALSE,"BY IS"}</definedName>
    <definedName name="민창원지출" hidden="1">{"롵뱒뙒묉덇",#N/A,FALSE,"BY IS"}</definedName>
    <definedName name="밋션별">#REF!</definedName>
    <definedName name="ㅁddd">#REF!</definedName>
    <definedName name="ㅂ" localSheetId="2" hidden="1">{"롵뱒뙒묉덇",#N/A,FALSE,"BY IS"}</definedName>
    <definedName name="ㅂ" hidden="1">{"롵뱒뙒묉덇",#N/A,FALSE,"BY IS"}</definedName>
    <definedName name="ㅂㄹㅇ날잉나ㅓ우미" localSheetId="2" hidden="1">{"롵뱒뙒묉덇",#N/A,FALSE,"BY IS"}</definedName>
    <definedName name="ㅂㄹㅇ날잉나ㅓ우미" hidden="1">{"롵뱒뙒묉덇",#N/A,FALSE,"BY IS"}</definedName>
    <definedName name="ㅂㅂ" localSheetId="2">{"'7'!$B$15:$D$32"}</definedName>
    <definedName name="ㅂㅂ">'[11]2월'!#REF!</definedName>
    <definedName name="ㅂㅈㄷㅂㄷㅈ" localSheetId="3">BlankMacro1</definedName>
    <definedName name="ㅂㅈㄷㅂㄷㅈ" localSheetId="0">BlankMacro1</definedName>
    <definedName name="ㅂㅈㄷㅂㄷㅈ" localSheetId="2">BlankMacro1</definedName>
    <definedName name="ㅂㅈㄷㅂㄷㅈ">BlankMacro1</definedName>
    <definedName name="바">#REF!</definedName>
    <definedName name="바보" localSheetId="2">[35]INVOICE!#REF!</definedName>
    <definedName name="바보">[35]INVOICE!#REF!</definedName>
    <definedName name="바안">'[132]2.대외공문'!#REF!</definedName>
    <definedName name="박">'[133]2.대외공문'!#REF!</definedName>
    <definedName name="박당요금2" localSheetId="2">#REF!</definedName>
    <definedName name="박당요금2">#REF!</definedName>
    <definedName name="박상">#REF!</definedName>
    <definedName name="박수" localSheetId="2">#REF!</definedName>
    <definedName name="박수">#REF!</definedName>
    <definedName name="반원포상추천인">#REF!</definedName>
    <definedName name="반원호현">[116]문서처리전!#REF!</definedName>
    <definedName name="반포현황">#REF!</definedName>
    <definedName name="발">#REF!</definedName>
    <definedName name="방수" localSheetId="2">#REF!</definedName>
    <definedName name="방수">#REF!</definedName>
    <definedName name="방안">[134]대외공문!$V$26:$AC$26</definedName>
    <definedName name="방청A">'[135]95하U$가격'!#REF!</definedName>
    <definedName name="방청B">'[135]95하U$가격'!#REF!</definedName>
    <definedName name="배부용">{"'7'!$B$15:$D$32"}</definedName>
    <definedName name="백만">1000000</definedName>
    <definedName name="버스" localSheetId="2">#REF!</definedName>
    <definedName name="버스">#REF!</definedName>
    <definedName name="버스팀">#REF!</definedName>
    <definedName name="법인세율">#REF!</definedName>
    <definedName name="벗">#REF!</definedName>
    <definedName name="베네">[136]베네!$B$10:$F$526</definedName>
    <definedName name="벨환율">#REF!</definedName>
    <definedName name="변경">[23]전산품의!#REF!</definedName>
    <definedName name="변경1안팀별인원">'[137]2.대외공문'!#REF!</definedName>
    <definedName name="별첨">[138]소개!#REF!</definedName>
    <definedName name="보고" localSheetId="2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이기" localSheetId="3">[139]!보이기</definedName>
    <definedName name="보이기" localSheetId="0">[139]!보이기</definedName>
    <definedName name="보이기" localSheetId="2">[137]!보이기</definedName>
    <definedName name="보이기">[139]!보이기</definedName>
    <definedName name="부___문">#REF!</definedName>
    <definedName name="부문">[99]부서CODE!$B$1:$D$161</definedName>
    <definedName name="부산" localSheetId="2">#REF!</definedName>
    <definedName name="부산">#REF!</definedName>
    <definedName name="부서" localSheetId="2">#REF!</definedName>
    <definedName name="부서">#REF!</definedName>
    <definedName name="부서별석차" localSheetId="2">#REF!</definedName>
    <definedName name="부서별석차">#REF!</definedName>
    <definedName name="부실채권2">'[140]0000'!#REF!</definedName>
    <definedName name="부장충당금">[109]인건비기준!#REF!</definedName>
    <definedName name="부채항목">#REF!</definedName>
    <definedName name="북장" hidden="1">{#N/A,#N/A,FALSE,"단축1";#N/A,#N/A,FALSE,"단축2";#N/A,#N/A,FALSE,"단축3";#N/A,#N/A,FALSE,"장축";#N/A,#N/A,FALSE,"4WD"}</definedName>
    <definedName name="분류">[110]항목등록!$D$6:$D$12</definedName>
    <definedName name="비고" localSheetId="2">#REF!</definedName>
    <definedName name="비고">#REF!</definedName>
    <definedName name="비교A">#REF!</definedName>
    <definedName name="비용2" localSheetId="3">BlankMacro1</definedName>
    <definedName name="비용2" localSheetId="0">BlankMacro1</definedName>
    <definedName name="비용2" localSheetId="2">BlankMacro1</definedName>
    <definedName name="비용2">BlankMacro1</definedName>
    <definedName name="뿡빵뿡뿡뿡">BlankMacro1</definedName>
    <definedName name="ㅅ" localSheetId="2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ㅅㅅ">#REF!</definedName>
    <definedName name="사">#REF!</definedName>
    <definedName name="사번" localSheetId="2">#REF!</definedName>
    <definedName name="사번">#REF!</definedName>
    <definedName name="사사충당금">[109]인건비기준!#REF!</definedName>
    <definedName name="사업별" localSheetId="3">[0]!BlankMacro1</definedName>
    <definedName name="사업별" localSheetId="0">[0]!BlankMacro1</definedName>
    <definedName name="사업별" localSheetId="2">[0]!BlankMacro1</definedName>
    <definedName name="사업별">[0]!BlankMacro1</definedName>
    <definedName name="사업부문">#REF!</definedName>
    <definedName name="사업투자">#REF!</definedName>
    <definedName name="사이즈">[141]목록!$A$4:$A$9</definedName>
    <definedName name="사진3" localSheetId="3">BlankMacro1</definedName>
    <definedName name="사진3" localSheetId="0">BlankMacro1</definedName>
    <definedName name="사진3" localSheetId="2">BlankMacro1</definedName>
    <definedName name="사진3">BlankMacro1</definedName>
    <definedName name="삼">#REF!</definedName>
    <definedName name="상34">{"'7'!$B$15:$D$32"}</definedName>
    <definedName name="상권" localSheetId="2">{"'7'!$B$15:$D$32"}</definedName>
    <definedName name="상권" hidden="1">{"'7'!$B$15:$D$32"}</definedName>
    <definedName name="상반기운영">#REF!</definedName>
    <definedName name="상품성보고" hidden="1">'[5]#REF'!#REF!</definedName>
    <definedName name="상품원가.본">#REF!</definedName>
    <definedName name="상해2" localSheetId="2">{"'7'!$B$15:$D$32"}</definedName>
    <definedName name="상해2" hidden="1">{"'7'!$B$15:$D$32"}</definedName>
    <definedName name="새환차">#REF!</definedName>
    <definedName name="샌디0731">[41]테크론!#REF!</definedName>
    <definedName name="샌디에고">#REF!</definedName>
    <definedName name="샌디에고1박추가">#REF!</definedName>
    <definedName name="샌프.요세2박3일">[41]테크론!#REF!</definedName>
    <definedName name="생산95">'[99]CR CODE'!$D$10:$E$21</definedName>
    <definedName name="생산96">'[99]CR CODE'!$D$22:$E$33</definedName>
    <definedName name="생산97">'[99]CR CODE'!$D$34:$E$47</definedName>
    <definedName name="생산98">'[99]CR CODE'!$D$48:$E$64</definedName>
    <definedName name="생산TON" localSheetId="2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새CAseII">#REF!</definedName>
    <definedName name="새CaseIII">#REF!</definedName>
    <definedName name="새Casel">#REF!</definedName>
    <definedName name="서">#REF!</definedName>
    <definedName name="선택교과" localSheetId="3">BlankMacro1</definedName>
    <definedName name="선택교과" localSheetId="0">BlankMacro1</definedName>
    <definedName name="선택교과" localSheetId="2">BlankMacro1</definedName>
    <definedName name="선택교과">BlankMacro1</definedName>
    <definedName name="설문4" localSheetId="3">BlankMacro1</definedName>
    <definedName name="설문4" localSheetId="0">BlankMacro1</definedName>
    <definedName name="설문4" localSheetId="2">BlankMacro1</definedName>
    <definedName name="설문4">BlankMacro1</definedName>
    <definedName name="성명" localSheetId="2">#REF!</definedName>
    <definedName name="성명">#REF!</definedName>
    <definedName name="성장" localSheetId="2">#REF!</definedName>
    <definedName name="성장">#REF!</definedName>
    <definedName name="성치환">#REF!</definedName>
    <definedName name="세금">#REF!</definedName>
    <definedName name="세금2">#REF!</definedName>
    <definedName name="세부견적" localSheetId="2">[90]대외공문!#REF!</definedName>
    <definedName name="세부견적">[90]대외공문!#REF!</definedName>
    <definedName name="세부경비" localSheetId="2">#REF!</definedName>
    <definedName name="세부경비">#REF!</definedName>
    <definedName name="세부내역서2">'[11]2월'!#REF!</definedName>
    <definedName name="세부생산계획" localSheetId="2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부일정">#REF!</definedName>
    <definedName name="洗精">#N/A</definedName>
    <definedName name="소">#REF!</definedName>
    <definedName name="小">#REF!</definedName>
    <definedName name="素__材">#N/A</definedName>
    <definedName name="소요비용">[142]출장거리!#REF!</definedName>
    <definedName name="손익2">#REF!</definedName>
    <definedName name="손익항목">#REF!</definedName>
    <definedName name="송" localSheetId="2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ㅗ" localSheetId="3">BlankMacro1</definedName>
    <definedName name="쇼ㅗ" localSheetId="0">BlankMacro1</definedName>
    <definedName name="쇼ㅗ" localSheetId="2">BlankMacro1</definedName>
    <definedName name="쇼ㅗ">BlankMacro1</definedName>
    <definedName name="수" hidden="1">#REF!</definedName>
    <definedName name="수배전문" localSheetId="2">[35]INVOICE!#REF!</definedName>
    <definedName name="수배전문">[35]INVOICE!#REF!</definedName>
    <definedName name="수정">#REF!</definedName>
    <definedName name="수정등급">'[143]6회차결과'!$AG$13:$AK$19</definedName>
    <definedName name="수정등급2">'[143]6회차결과'!$AG$21:$AK$27</definedName>
    <definedName name="수정일정0412">#REF!</definedName>
    <definedName name="수출">#REF!</definedName>
    <definedName name="수출2">#REF!</definedName>
    <definedName name="순서">#REF!</definedName>
    <definedName name="숨기기비고" localSheetId="3">[139]!숨기기비고</definedName>
    <definedName name="숨기기비고" localSheetId="0">[139]!숨기기비고</definedName>
    <definedName name="숨기기비고" localSheetId="2">[137]!숨기기비고</definedName>
    <definedName name="숨기기비고">[139]!숨기기비고</definedName>
    <definedName name="숨기기총괄" localSheetId="3">[139]!숨기기총괄</definedName>
    <definedName name="숨기기총괄" localSheetId="0">[139]!숨기기총괄</definedName>
    <definedName name="숨기기총괄" localSheetId="2">[137]!숨기기총괄</definedName>
    <definedName name="숨기기총괄">[139]!숨기기총괄</definedName>
    <definedName name="숨기기팀별" localSheetId="3">[139]!숨기기팀별</definedName>
    <definedName name="숨기기팀별" localSheetId="0">[139]!숨기기팀별</definedName>
    <definedName name="숨기기팀별" localSheetId="2">[137]!숨기기팀별</definedName>
    <definedName name="숨기기팀별">[139]!숨기기팀별</definedName>
    <definedName name="스환율">#REF!</definedName>
    <definedName name="스환율2">#REF!</definedName>
    <definedName name="시" hidden="1">#REF!</definedName>
    <definedName name="시간" localSheetId="2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나리오3">[144]대외공문!#REF!</definedName>
    <definedName name="시행">'[145]2.대외공문'!#REF!</definedName>
    <definedName name="식당정보1">{"'7'!$B$15:$D$32"}</definedName>
    <definedName name="식순">[146]대외공문!#REF!</definedName>
    <definedName name="식품">[104]영업.일1!#REF!</definedName>
    <definedName name="신규" localSheetId="2" hidden="1">{#N/A,#N/A,FALSE,"단축1";#N/A,#N/A,FALSE,"단축2";#N/A,#N/A,FALSE,"단축3";#N/A,#N/A,FALSE,"장축";#N/A,#N/A,FALSE,"4WD"}</definedName>
    <definedName name="신규" hidden="1">{#N/A,#N/A,FALSE,"단축1";#N/A,#N/A,FALSE,"단축2";#N/A,#N/A,FALSE,"단축3";#N/A,#N/A,FALSE,"장축";#N/A,#N/A,FALSE,"4WD"}</definedName>
    <definedName name="신규내용" localSheetId="2" hidden="1">{#N/A,#N/A,FALSE,"단축1";#N/A,#N/A,FALSE,"단축2";#N/A,#N/A,FALSE,"단축3";#N/A,#N/A,FALSE,"장축";#N/A,#N/A,FALSE,"4WD"}</definedName>
    <definedName name="신규내용" hidden="1">{#N/A,#N/A,FALSE,"단축1";#N/A,#N/A,FALSE,"단축2";#N/A,#N/A,FALSE,"단축3";#N/A,#N/A,FALSE,"장축";#N/A,#N/A,FALSE,"4WD"}</definedName>
    <definedName name="新規潜在見込客データ_拠点別データ別件数表">#REF!</definedName>
    <definedName name="신차">'[4]2.대외공문'!#REF!</definedName>
    <definedName name="신차2">'[4]2.대외공문'!#REF!</definedName>
    <definedName name="新NO">#N/A</definedName>
    <definedName name="실명제996">#REF!</definedName>
    <definedName name="실적">'[118]8월실적'!$E$5:$Q$139</definedName>
    <definedName name="실제원가" localSheetId="2">[45]테크론!#REF!</definedName>
    <definedName name="실제원가">[41]테크론!#REF!</definedName>
    <definedName name="십이월">#REF!</definedName>
    <definedName name="싱가폴예산내역2" localSheetId="2" hidden="1">{"롵뱒뙒묉덇",#N/A,FALSE,"BY IS"}</definedName>
    <definedName name="싱가폴예산내역2" hidden="1">{"롵뱒뙒묉덇",#N/A,FALSE,"BY IS"}</definedName>
    <definedName name="싱환율">#REF!</definedName>
    <definedName name="싱환율2">#REF!</definedName>
    <definedName name="ㅇ" localSheetId="2">[82]조선!#REF!</definedName>
    <definedName name="ㅇ">[82]조선!#REF!</definedName>
    <definedName name="ㅇ\" localSheetId="2">#REF!</definedName>
    <definedName name="ㅇ\">#REF!</definedName>
    <definedName name="ㅇㄴㄴㄴㄴㄴㄴㄴㄴㄴㄴ" hidden="1">{#N/A,#N/A,FALSE,"단축1";#N/A,#N/A,FALSE,"단축2";#N/A,#N/A,FALSE,"단축3";#N/A,#N/A,FALSE,"장축";#N/A,#N/A,FALSE,"4WD"}</definedName>
    <definedName name="ㅇㄴㅀ" localSheetId="3">BlankMacro1</definedName>
    <definedName name="ㅇㄴㅀ" localSheetId="0">BlankMacro1</definedName>
    <definedName name="ㅇㄴㅀ" localSheetId="2">BlankMacro1</definedName>
    <definedName name="ㅇㄴㅀ">BlankMacro1</definedName>
    <definedName name="ㅇㄹ" localSheetId="2" hidden="1">{"롵뱒뙒묉덇",#N/A,FALSE,"BY IS"}</definedName>
    <definedName name="ㅇㄹ" hidden="1">{"롵뱒뙒묉덇",#N/A,FALSE,"BY IS"}</definedName>
    <definedName name="ㅇㄹㄴㅇㄹㄴ">#REF!</definedName>
    <definedName name="ㅇㄹㄹㄴㅇㄹㄴㅇㄹ" hidden="1">#REF!</definedName>
    <definedName name="ㅇㄹㅇ">#REF!</definedName>
    <definedName name="ㅇㄹㅇㄹ">#REF!</definedName>
    <definedName name="ㅇ로ㅗㅇㄹ" localSheetId="3">BlankMacro1</definedName>
    <definedName name="ㅇ로ㅗㅇㄹ" localSheetId="0">BlankMacro1</definedName>
    <definedName name="ㅇ로ㅗㅇㄹ" localSheetId="2">BlankMacro1</definedName>
    <definedName name="ㅇ로ㅗㅇㄹ">BlankMacro1</definedName>
    <definedName name="ㅇㅁㄴㅇㅁㅇ" hidden="1">#REF!</definedName>
    <definedName name="ㅇㅇ" localSheetId="2">{"'7'!$B$15:$D$32"}</definedName>
    <definedName name="ㅇㅇ" hidden="1">{"'7'!$B$15:$D$32"}</definedName>
    <definedName name="ㅇㅇㅇ" localSheetId="2">#REF!</definedName>
    <definedName name="ㅇㅇㅇ">#REF!</definedName>
    <definedName name="ㅇㅇㅇ0" localSheetId="2">#REF!</definedName>
    <definedName name="ㅇㅇㅇ0">#REF!</definedName>
    <definedName name="ㅇㅇㅇㅇ" localSheetId="2">#REF!</definedName>
    <definedName name="ㅇㅇㅇㅇ">#REF!</definedName>
    <definedName name="ㅇㅇㅇㅇㅇ" localSheetId="2">[79]BCN!#REF!</definedName>
    <definedName name="ㅇㅇㅇㅇㅇ">[121]BCN!#REF!</definedName>
    <definedName name="ㅇㅇㅇㅇㅇㅇ" localSheetId="2">#REF!</definedName>
    <definedName name="ㅇㅇㅇㅇㅇㅇ">#REF!</definedName>
    <definedName name="ㅇㅇㅇㅇㅇㅇㅇ" localSheetId="2">#REF!</definedName>
    <definedName name="ㅇㅇㅇㅇㅇㅇㅇ">[56]INVOICE!#REF!</definedName>
    <definedName name="ㅇㅇㅇㅇㅇㅇㅇㅇㅇ">#REF!</definedName>
    <definedName name="ㅇㅇㅇㅇㅇㅇㅇㅇㅇㅇ">#REF!</definedName>
    <definedName name="ㅇㅇㅇㅇ원가" localSheetId="2">#REF!</definedName>
    <definedName name="ㅇㅇㅇㅇ원가">#REF!</definedName>
    <definedName name="ㅇㅎㅎㅎㅎ" localSheetId="2">[45]테크론!#REF!</definedName>
    <definedName name="ㅇㅎㅎㅎㅎ">[45]테크론!#REF!</definedName>
    <definedName name="ㅇ허">#REF!</definedName>
    <definedName name="ㅇ호" localSheetId="3">[0]!BlankMacro1</definedName>
    <definedName name="ㅇ호" localSheetId="0">[0]!BlankMacro1</definedName>
    <definedName name="ㅇ호" localSheetId="2">[0]!BlankMacro1</definedName>
    <definedName name="ㅇ호">[0]!BlankMacro1</definedName>
    <definedName name="아" localSheetId="2" hidden="1">{#N/A,#N/A,FALSE,"단축1";#N/A,#N/A,FALSE,"단축2";#N/A,#N/A,FALSE,"단축3";#N/A,#N/A,FALSE,"장축";#N/A,#N/A,FALSE,"4WD"}</definedName>
    <definedName name="아" hidden="1">{#N/A,#N/A,FALSE,"단축1";#N/A,#N/A,FALSE,"단축2";#N/A,#N/A,FALSE,"단축3";#N/A,#N/A,FALSE,"장축";#N/A,#N/A,FALSE,"4WD"}</definedName>
    <definedName name="아나">{"'7'!$B$15:$D$32"}</definedName>
    <definedName name="아랑">#REF!</definedName>
    <definedName name="아이나라">'[126]99제품운영(안) (2)'!$A$6</definedName>
    <definedName name="아홍" localSheetId="2">#REF!</definedName>
    <definedName name="아홍">#REF!</definedName>
    <definedName name="안숙진" localSheetId="2">#REF!</definedName>
    <definedName name="안숙진">#REF!</definedName>
    <definedName name="압구정동">#REF!</definedName>
    <definedName name="앞표지" localSheetId="2">{"'7'!$B$15:$D$32"}</definedName>
    <definedName name="앞표지" hidden="1">{"'7'!$B$15:$D$32"}</definedName>
    <definedName name="어" localSheetId="2" hidden="1">{"롵뱒뙒묉덇",#N/A,FALSE,"BY IS"}</definedName>
    <definedName name="어" hidden="1">{"롵뱒뙒묉덇",#N/A,FALSE,"BY IS"}</definedName>
    <definedName name="어랑민ㄹ">[45]테크론!#REF!</definedName>
    <definedName name="업무" localSheetId="3">[0]!BlankMacro1</definedName>
    <definedName name="업무" localSheetId="0">[0]!BlankMacro1</definedName>
    <definedName name="업무" localSheetId="2">[0]!BlankMacro1</definedName>
    <definedName name="업무">[0]!BlankMacro1</definedName>
    <definedName name="업무2" localSheetId="3">[0]!BlankMacro1</definedName>
    <definedName name="업무2" localSheetId="0">[0]!BlankMacro1</definedName>
    <definedName name="업무2" localSheetId="2">[0]!BlankMacro1</definedName>
    <definedName name="업무2">[0]!BlankMacro1</definedName>
    <definedName name="업체명">#REF!</definedName>
    <definedName name="업체방문" localSheetId="2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업체주소">#REF!</definedName>
    <definedName name="업체CODE">#N/A</definedName>
    <definedName name="에누리.본">#REF!</definedName>
    <definedName name="에이" localSheetId="2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엑셀" localSheetId="2">#REF!</definedName>
    <definedName name="엑셀">#REF!</definedName>
    <definedName name="엘리스">#REF!</definedName>
    <definedName name="여유분">'[147]DAT(목표)'!$Y$2</definedName>
    <definedName name="여행조견동경" localSheetId="2">{"'7'!$B$15:$D$32"}</definedName>
    <definedName name="여행조견동경" hidden="1">{"'7'!$B$15:$D$32"}</definedName>
    <definedName name="여행지">[148]Sheet1!$A$1:$A$2</definedName>
    <definedName name="여행참석">#REF!</definedName>
    <definedName name="영업통보">#REF!</definedName>
    <definedName name="영환율">#REF!</definedName>
    <definedName name="영환율2">#REF!</definedName>
    <definedName name="예산집행2">#REF!</definedName>
    <definedName name="예산총괄시트설ONLY">#REF!</definedName>
    <definedName name="예상비용">{"'7'!$B$15:$D$32"}</definedName>
    <definedName name="오">#REF!</definedName>
    <definedName name="오삼" localSheetId="2">#REF!</definedName>
    <definedName name="오삼">#REF!</definedName>
    <definedName name="오성협" localSheetId="2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션">'[126]99제품운영(안) (2)'!$A$128</definedName>
    <definedName name="오인원">#REF!</definedName>
    <definedName name="오지">#REF!</definedName>
    <definedName name="오퍼" localSheetId="2">#REF!</definedName>
    <definedName name="오퍼">#REF!</definedName>
    <definedName name="외">#REF!</definedName>
    <definedName name="외__감">#REF!</definedName>
    <definedName name="외주계획" localSheetId="2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금">[35]INVOICE!#REF!</definedName>
    <definedName name="요악12">{"'7'!$B$15:$D$32"}</definedName>
    <definedName name="요약">#REF!</definedName>
    <definedName name="요약1" localSheetId="2">{"'7'!$B$15:$D$32"}</definedName>
    <definedName name="요약1" hidden="1">{"'7'!$B$15:$D$32"}</definedName>
    <definedName name="욟좀">[45]테크론!#REF!</definedName>
    <definedName name="용역" hidden="1">#N/A</definedName>
    <definedName name="용호" localSheetId="2" hidden="1">{"롵뱒뙒묉덇",#N/A,FALSE,"BY IS"}</definedName>
    <definedName name="용호" hidden="1">{"롵뱒뙒묉덇",#N/A,FALSE,"BY IS"}</definedName>
    <definedName name="우반종합">#REF!</definedName>
    <definedName name="우수반원9906">#REF!</definedName>
    <definedName name="워드" localSheetId="2">#REF!</definedName>
    <definedName name="워드">#REF!</definedName>
    <definedName name="원">1</definedName>
    <definedName name="원가" localSheetId="2">#REF!</definedName>
    <definedName name="원가" hidden="1">{"롵뱒뙒묉덇",#N/A,FALSE,"BY IS"}</definedName>
    <definedName name="원가1">#REF!</definedName>
    <definedName name="원가2" localSheetId="2">#REF!</definedName>
    <definedName name="원가2">#REF!</definedName>
    <definedName name="원가개선" localSheetId="3">[0]!BlankMacro1</definedName>
    <definedName name="원가개선" localSheetId="0">[0]!BlankMacro1</definedName>
    <definedName name="원가개선" localSheetId="2">[0]!BlankMacro1</definedName>
    <definedName name="원가개선">[0]!BlankMacro1</definedName>
    <definedName name="원가표" localSheetId="2">#REF!</definedName>
    <definedName name="원가표">#REF!</definedName>
    <definedName name="월별영업">#REF!</definedName>
    <definedName name="유동부채항목">#REF!</definedName>
    <definedName name="유동자산항목">#REF!</definedName>
    <definedName name="유럽원가" localSheetId="2" hidden="1">{#N/A,#N/A,TRUE,"Y생산";#N/A,#N/A,TRUE,"Y판매";#N/A,#N/A,TRUE,"Y총물량";#N/A,#N/A,TRUE,"Y능력";#N/A,#N/A,TRUE,"YKD"}</definedName>
    <definedName name="유럽원가" hidden="1">{#N/A,#N/A,TRUE,"Y생산";#N/A,#N/A,TRUE,"Y판매";#N/A,#N/A,TRUE,"Y총물량";#N/A,#N/A,TRUE,"Y능력";#N/A,#N/A,TRUE,"YKD"}</definedName>
    <definedName name="유통">[104]영업.일1!#REF!</definedName>
    <definedName name="유형자산_감가충당금포함">#REF!</definedName>
    <definedName name="유형자산_투자금액">#REF!</definedName>
    <definedName name="유희경">'[149]99제품운영(안) (2)'!$A$128</definedName>
    <definedName name="육" localSheetId="2">#REF!</definedName>
    <definedName name="육">#REF!</definedName>
    <definedName name="육사충당금">[109]인건비기준!#REF!</definedName>
    <definedName name="윤경삼">#REF!</definedName>
    <definedName name="으악3">[150]전문품의!#REF!</definedName>
    <definedName name="을지">'[151]2.대외공문'!#REF!</definedName>
    <definedName name="의1">#REF!</definedName>
    <definedName name="의류">[104]영업.일1!#REF!</definedName>
    <definedName name="이란" localSheetId="2" hidden="1">{#N/A,#N/A,FALSE,"단축1";#N/A,#N/A,FALSE,"단축2";#N/A,#N/A,FALSE,"단축3";#N/A,#N/A,FALSE,"장축";#N/A,#N/A,FALSE,"4WD"}</definedName>
    <definedName name="이란" hidden="1">{#N/A,#N/A,FALSE,"단축1";#N/A,#N/A,FALSE,"단축2";#N/A,#N/A,FALSE,"단축3";#N/A,#N/A,FALSE,"장축";#N/A,#N/A,FALSE,"4WD"}</definedName>
    <definedName name="이름">'[152]#REF'!#REF!</definedName>
    <definedName name="이름원가" localSheetId="2">[45]테크론!#REF!</definedName>
    <definedName name="이름원가">[41]테크론!#REF!</definedName>
    <definedName name="이연자산">#REF!</definedName>
    <definedName name="이영호">#REF!</definedName>
    <definedName name="이용관" localSheetId="3">[0]!BlankMacro1</definedName>
    <definedName name="이용관" localSheetId="0">[0]!BlankMacro1</definedName>
    <definedName name="이용관" localSheetId="2">[0]!BlankMacro1</definedName>
    <definedName name="이용관">[0]!BlankMacro1</definedName>
    <definedName name="이창현">#REF!</definedName>
    <definedName name="이환율">#REF!</definedName>
    <definedName name="인간관계" localSheetId="3">BlankMacro1</definedName>
    <definedName name="인간관계" localSheetId="0">BlankMacro1</definedName>
    <definedName name="인간관계" localSheetId="2">BlankMacro1</definedName>
    <definedName name="인간관계">BlankMacro1</definedName>
    <definedName name="인보" localSheetId="2">[45]테크론!#REF!</definedName>
    <definedName name="인보">[41]테크론!#REF!</definedName>
    <definedName name="인보이스2" localSheetId="2">[55]INVOICE!#REF!</definedName>
    <definedName name="인보이스2">[55]INVOICE!#REF!</definedName>
    <definedName name="인솔자" localSheetId="2">[55]INVOICE!#REF!</definedName>
    <definedName name="인솔자">[55]INVOICE!#REF!</definedName>
    <definedName name="인쇄용" localSheetId="3">[139]!인쇄용</definedName>
    <definedName name="인쇄용" localSheetId="0">[139]!인쇄용</definedName>
    <definedName name="인쇄용" localSheetId="2">[137]!인쇄용</definedName>
    <definedName name="인쇄용">[139]!인쇄용</definedName>
    <definedName name="인원" localSheetId="2" hidden="1">{"롵뱒뙒묉덇",#N/A,FALSE,"BY IS"}</definedName>
    <definedName name="인원" hidden="1">{"롵뱒뙒묉덇",#N/A,FALSE,"BY IS"}</definedName>
    <definedName name="인원2" localSheetId="2" hidden="1">{"롵뱒뙒묉덇",#N/A,FALSE,"BY IS"}</definedName>
    <definedName name="인원2" hidden="1">{"롵뱒뙒묉덇",#N/A,FALSE,"BY IS"}</definedName>
    <definedName name="인원3">#REF!</definedName>
    <definedName name="인원5" localSheetId="2" hidden="1">{"롵뱒뙒묉덇",#N/A,FALSE,"BY IS"}</definedName>
    <definedName name="인원5" hidden="1">{"롵뱒뙒묉덇",#N/A,FALSE,"BY IS"}</definedName>
    <definedName name="인원배치">#REF!</definedName>
    <definedName name="인원변동">'[153]2.대외공문'!#REF!</definedName>
    <definedName name="인정비율">[143]조건!$D$2:$E$13</definedName>
    <definedName name="인정비율2">[143]조건!$D$16:$E$23</definedName>
    <definedName name="인터넷" localSheetId="2">#REF!</definedName>
    <definedName name="인터넷">#REF!</definedName>
    <definedName name="印稟範囲">#REF!</definedName>
    <definedName name="일괄인쇄">[31]일괄인쇄!$A$1</definedName>
    <definedName name="일급호텔" localSheetId="2" hidden="1">{#N/A,#N/A,FALSE,"단축1";#N/A,#N/A,FALSE,"단축2";#N/A,#N/A,FALSE,"단축3";#N/A,#N/A,FALSE,"장축";#N/A,#N/A,FALSE,"4WD"}</definedName>
    <definedName name="일급호텔" hidden="1">{#N/A,#N/A,FALSE,"단축1";#N/A,#N/A,FALSE,"단축2";#N/A,#N/A,FALSE,"단축3";#N/A,#N/A,FALSE,"장축";#N/A,#N/A,FALSE,"4WD"}</definedName>
    <definedName name="일본">{"'7'!$B$15:$D$32"}</definedName>
    <definedName name="일본일정표">{"'7'!$B$15:$D$32"}</definedName>
    <definedName name="일수" localSheetId="2">#REF!</definedName>
    <definedName name="일수">#REF!</definedName>
    <definedName name="일정" localSheetId="2" hidden="1">{#N/A,#N/A,FALSE,"단축1";#N/A,#N/A,FALSE,"단축2";#N/A,#N/A,FALSE,"단축3";#N/A,#N/A,FALSE,"장축";#N/A,#N/A,FALSE,"4WD"}</definedName>
    <definedName name="일정" hidden="1">{#N/A,#N/A,FALSE,"단축1";#N/A,#N/A,FALSE,"단축2";#N/A,#N/A,FALSE,"단축3";#N/A,#N/A,FALSE,"장축";#N/A,#N/A,FALSE,"4WD"}</definedName>
    <definedName name="일정123">[154]대외공문!$V$11:$AC$11</definedName>
    <definedName name="일정2" localSheetId="2" hidden="1">{"롵뱒뙒묉덇",#N/A,FALSE,"BY IS"}</definedName>
    <definedName name="일정2" hidden="1">{"롵뱒뙒묉덇",#N/A,FALSE,"BY IS"}</definedName>
    <definedName name="일정금액">[57]일정별금액!$A$1:$E$16</definedName>
    <definedName name="일정안" localSheetId="2" hidden="1">{#N/A,#N/A,FALSE,"단축1";#N/A,#N/A,FALSE,"단축2";#N/A,#N/A,FALSE,"단축3";#N/A,#N/A,FALSE,"장축";#N/A,#N/A,FALSE,"4WD"}</definedName>
    <definedName name="일정안" hidden="1">{#N/A,#N/A,FALSE,"단축1";#N/A,#N/A,FALSE,"단축2";#N/A,#N/A,FALSE,"단축3";#N/A,#N/A,FALSE,"장축";#N/A,#N/A,FALSE,"4WD"}</definedName>
    <definedName name="일정표" localSheetId="2">[55]INVOICE!#REF!</definedName>
    <definedName name="일정표">[65]ITINERARY!$F$62</definedName>
    <definedName name="일정표2">{"'7'!$B$15:$D$32"}</definedName>
    <definedName name="일정표4">'[4]2.대외공문'!#REF!</definedName>
    <definedName name="일환율">#REF!</definedName>
    <definedName name="ㅇㄻㄴㅇㄻㄴ">#REF!</definedName>
    <definedName name="ㅈ">'[11]2월'!#REF!</definedName>
    <definedName name="ㅈㅈㅈ" localSheetId="2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자">#REF!</definedName>
    <definedName name="自_外">#N/A</definedName>
    <definedName name="자금" localSheetId="2">[55]INVOICE!#REF!</definedName>
    <definedName name="자금">[55]INVOICE!#REF!</definedName>
    <definedName name="자금과부족">#REF!</definedName>
    <definedName name="자본" hidden="1">#REF!</definedName>
    <definedName name="자본항목">#REF!</definedName>
    <definedName name="자산항목">#REF!</definedName>
    <definedName name="자재기준" localSheetId="2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hidden="1">#REF!</definedName>
    <definedName name="장기">#REF!</definedName>
    <definedName name="장기차입금">#REF!</definedName>
    <definedName name="장기투자.94.BB">#REF!</definedName>
    <definedName name="장종찬">[68]구동!#REF!</definedName>
    <definedName name="재견적일정">#REF!</definedName>
    <definedName name="재고자산">#REF!</definedName>
    <definedName name="赤黒判定">[101]マスター!$A$12:$B$15</definedName>
    <definedName name="전략구매">[155]존4!#REF!</definedName>
    <definedName name="全範囲">#REF!</definedName>
    <definedName name="전사">#REF!</definedName>
    <definedName name="전시장" localSheetId="2">#REF!</definedName>
    <definedName name="전시장">#REF!</definedName>
    <definedName name="전시장전체컨셉카" localSheetId="2" hidden="1">{#N/A,#N/A,FALSE,"단축1";#N/A,#N/A,FALSE,"단축2";#N/A,#N/A,FALSE,"단축3";#N/A,#N/A,FALSE,"장축";#N/A,#N/A,FALSE,"4WD"}</definedName>
    <definedName name="전시장전체컨셉카" hidden="1">{#N/A,#N/A,FALSE,"단축1";#N/A,#N/A,FALSE,"단축2";#N/A,#N/A,FALSE,"단축3";#N/A,#N/A,FALSE,"장축";#N/A,#N/A,FALSE,"4WD"}</definedName>
    <definedName name="전장">#REF!</definedName>
    <definedName name="전장DOM" localSheetId="2">일정표!전장DOM</definedName>
    <definedName name="전장DOM">[0]!전장DOM</definedName>
    <definedName name="전차종우수">#REF!</definedName>
    <definedName name="전체석차" localSheetId="2">#REF!</definedName>
    <definedName name="전체석차">#REF!</definedName>
    <definedName name="절감" localSheetId="3">[0]!BlankMacro1</definedName>
    <definedName name="절감" localSheetId="0">[0]!BlankMacro1</definedName>
    <definedName name="절감" localSheetId="2">[0]!BlankMacro1</definedName>
    <definedName name="절감">[0]!BlankMacro1</definedName>
    <definedName name="정보">#REF!</definedName>
    <definedName name="정산서" localSheetId="2">[55]INVOICE!#REF!</definedName>
    <definedName name="정산서">[55]INVOICE!#REF!</definedName>
    <definedName name="정산서1" localSheetId="2">[35]INVOICE!#REF!</definedName>
    <definedName name="정산서1">[35]INVOICE!#REF!</definedName>
    <definedName name="정신환" localSheetId="2" hidden="1">{#N/A,#N/A,FALSE,"단축1";#N/A,#N/A,FALSE,"단축2";#N/A,#N/A,FALSE,"단축3";#N/A,#N/A,FALSE,"장축";#N/A,#N/A,FALSE,"4WD"}</definedName>
    <definedName name="정신환" hidden="1">{#N/A,#N/A,FALSE,"단축1";#N/A,#N/A,FALSE,"단축2";#N/A,#N/A,FALSE,"단축3";#N/A,#N/A,FALSE,"장축";#N/A,#N/A,FALSE,"4WD"}</definedName>
    <definedName name="정치.AA">#REF!</definedName>
    <definedName name="정치문제">#REF!</definedName>
    <definedName name="정치설명">#REF!</definedName>
    <definedName name="제목">#REF!</definedName>
    <definedName name="제안A">[156]제안서!$A$1:$W$47</definedName>
    <definedName name="제안B">[156]제안서!$X$1:$AP$41</definedName>
    <definedName name="제출2차">'[157]2.대외공문'!#REF!</definedName>
    <definedName name="제품원가.본">#REF!</definedName>
    <definedName name="조제">[158]유형표_비용!$A$2:$G$38</definedName>
    <definedName name="조직1">#REF!</definedName>
    <definedName name="조직도">'[87]#REF'!#REF!</definedName>
    <definedName name="組合せ">#REF!</definedName>
    <definedName name="종합" localSheetId="2" hidden="1">{#N/A,#N/A,TRUE,"Y생산";#N/A,#N/A,TRUE,"Y판매";#N/A,#N/A,TRUE,"Y총물량";#N/A,#N/A,TRUE,"Y능력";#N/A,#N/A,TRUE,"YKD"}</definedName>
    <definedName name="종합" hidden="1">{#N/A,#N/A,TRUE,"Y생산";#N/A,#N/A,TRUE,"Y판매";#N/A,#N/A,TRUE,"Y총물량";#N/A,#N/A,TRUE,"Y능력";#N/A,#N/A,TRUE,"YKD"}</definedName>
    <definedName name="종합2" localSheetId="3">[0]!BlankMacro1</definedName>
    <definedName name="종합2" localSheetId="0">[0]!BlankMacro1</definedName>
    <definedName name="종합2" localSheetId="2">[0]!BlankMacro1</definedName>
    <definedName name="종합2">[0]!BlankMacro1</definedName>
    <definedName name="종합추이" localSheetId="3">[0]!BlankMacro1</definedName>
    <definedName name="종합추이" localSheetId="0">[0]!BlankMacro1</definedName>
    <definedName name="종합추이" localSheetId="2">[0]!BlankMacro1</definedName>
    <definedName name="종합추이">[0]!BlankMacro1</definedName>
    <definedName name="종합표">[159]engline!#REF!</definedName>
    <definedName name="좆까" localSheetId="3">BlankMacro1</definedName>
    <definedName name="좆까" localSheetId="0">BlankMacro1</definedName>
    <definedName name="좆까" localSheetId="2">BlankMacro1</definedName>
    <definedName name="좆까">BlankMacro1</definedName>
    <definedName name="주소">#REF!</definedName>
    <definedName name="주요" localSheetId="2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1" localSheetId="3">[0]!BlankMacro1</definedName>
    <definedName name="주요업무1" localSheetId="0">[0]!BlankMacro1</definedName>
    <definedName name="주요업무1" localSheetId="2">[0]!BlankMacro1</definedName>
    <definedName name="주요업무1">[0]!BlankMacro1</definedName>
    <definedName name="주요업무2" localSheetId="2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실적">#REF!</definedName>
    <definedName name="주재원">'[87]#REF'!#REF!</definedName>
    <definedName name="준">[41]테크론!#REF!</definedName>
    <definedName name="준특급원가">'[11]2월'!#REF!</definedName>
    <definedName name="중기">[155]존4!#REF!</definedName>
    <definedName name="증자">#REF!</definedName>
    <definedName name="지급율">[160]지급율!$A$1:$B$8</definedName>
    <definedName name="支所">[101]マスター!$D$3:$E$8</definedName>
    <definedName name="지역보부별순위">#REF!</definedName>
    <definedName name="지적건수">#REF!</definedName>
    <definedName name="지점그룹별">[161]JUM!$A$1:$BK$340</definedName>
    <definedName name="지태면" localSheetId="2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직급자">'[162]99제품운영(안) (2)'!$A$6</definedName>
    <definedName name="직책">[110]항목등록!$C$6:$C$9</definedName>
    <definedName name="진급">[163]진급관련DATA!$F$4:$N$559</definedName>
    <definedName name="진출업체1">#REF!</definedName>
    <definedName name="진출의사보유" localSheetId="2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진행시나리오">{"'7'!$B$15:$D$32"}</definedName>
    <definedName name="진행일정표">{"'7'!$B$15:$D$32"}</definedName>
    <definedName name="ㅉ" localSheetId="2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ㄹㅊ">[0]!BlankMacro1</definedName>
    <definedName name="ㅊㅊ" localSheetId="2" hidden="1">{"롵뱒뙒묉덇",#N/A,FALSE,"BY IS"}</definedName>
    <definedName name="ㅊㅊ" hidden="1">{"롵뱒뙒묉덇",#N/A,FALSE,"BY IS"}</definedName>
    <definedName name="차">#REF!</definedName>
    <definedName name="차종">#REF!</definedName>
    <definedName name="차체">#REF!</definedName>
    <definedName name="참석">[164]Sheet1!$G$1:$G$2</definedName>
    <definedName name="참석가능여부">[165]Sheet1!$A$5:$A$6</definedName>
    <definedName name="참석업체">{"'7'!$B$15:$D$32"}</definedName>
    <definedName name="참석여부">[141]목록!$A$1:$A$2</definedName>
    <definedName name="첨" localSheetId="2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첨부">#REF!</definedName>
    <definedName name="첨부1">'[166]96'!#REF!</definedName>
    <definedName name="첨부신상">#REF!</definedName>
    <definedName name="초특" localSheetId="2">#REF!</definedName>
    <definedName name="초특">#REF!</definedName>
    <definedName name="촉" localSheetId="2">#REF!</definedName>
    <definedName name="촉">#REF!</definedName>
    <definedName name="총" localSheetId="2">#REF!</definedName>
    <definedName name="총">#REF!</definedName>
    <definedName name="총손1">'[167]二.POSITION.XLS'!#REF!</definedName>
    <definedName name="총손2">'[167]二.POSITION.XLS'!#REF!</definedName>
    <definedName name="총손익">'[167]二.POSITION.XLS'!#REF!</definedName>
    <definedName name="총인원" localSheetId="2">#REF!</definedName>
    <definedName name="총인원">#REF!</definedName>
    <definedName name="최민원">'[149]99제품운영(안) (2)'!$A$6</definedName>
    <definedName name="최상미" localSheetId="3">BlankMacro1</definedName>
    <definedName name="최상미" localSheetId="0">BlankMacro1</definedName>
    <definedName name="최상미" localSheetId="2">BlankMacro1</definedName>
    <definedName name="최상미">BlankMacro1</definedName>
    <definedName name="최종명단" localSheetId="2" hidden="1">{#N/A,#N/A,FALSE,"단축1";#N/A,#N/A,FALSE,"단축2";#N/A,#N/A,FALSE,"단축3";#N/A,#N/A,FALSE,"장축";#N/A,#N/A,FALSE,"4WD"}</definedName>
    <definedName name="최종명단" hidden="1">{#N/A,#N/A,FALSE,"단축1";#N/A,#N/A,FALSE,"단축2";#N/A,#N/A,FALSE,"단축3";#N/A,#N/A,FALSE,"장축";#N/A,#N/A,FALSE,"4WD"}</definedName>
    <definedName name="최종명단10월18일" localSheetId="2" hidden="1">{#N/A,#N/A,FALSE,"단축1";#N/A,#N/A,FALSE,"단축2";#N/A,#N/A,FALSE,"단축3";#N/A,#N/A,FALSE,"장축";#N/A,#N/A,FALSE,"4WD"}</definedName>
    <definedName name="최종명단10월18일" hidden="1">{#N/A,#N/A,FALSE,"단축1";#N/A,#N/A,FALSE,"단축2";#N/A,#N/A,FALSE,"단축3";#N/A,#N/A,FALSE,"장축";#N/A,#N/A,FALSE,"4WD"}</definedName>
    <definedName name="최종합격인원">#REF!</definedName>
    <definedName name="최창호">'[168]2.대외공문'!#REF!</definedName>
    <definedName name="추가">[169]목록!$A$12</definedName>
    <definedName name="출석부" localSheetId="3">BlankMacro1</definedName>
    <definedName name="출석부" localSheetId="0">BlankMacro1</definedName>
    <definedName name="출석부" localSheetId="2">BlankMacro1</definedName>
    <definedName name="출석부">BlankMacro1</definedName>
    <definedName name="충동">'[18]95MAKER'!#REF!</definedName>
    <definedName name="ㅋ" localSheetId="2">#REF!</definedName>
    <definedName name="ㅋ">#REF!</definedName>
    <definedName name="ㅋㅋ">#REF!</definedName>
    <definedName name="ㅋ후ㅊ">#REF!</definedName>
    <definedName name="카환율">#REF!</definedName>
    <definedName name="캠페인2">'[126]99제품운영(안) (2)'!$A$6</definedName>
    <definedName name="퀛Y">[170]경비공통!#REF!</definedName>
    <definedName name="크기">[171]Sheet1!$B$1:$B$5</definedName>
    <definedName name="크로싱" localSheetId="2">#REF!</definedName>
    <definedName name="크로싱">#REF!</definedName>
    <definedName name="클럽월드원가" localSheetId="2">#REF!</definedName>
    <definedName name="클럽월드원가">#REF!</definedName>
    <definedName name="ㅌ">#REF!</definedName>
    <definedName name="테크론주문2" localSheetId="2">[45]테크론!#REF!</definedName>
    <definedName name="테크론주문2">[45]테크론!#REF!</definedName>
    <definedName name="템플리트모듈1" localSheetId="3">BlankMacro1</definedName>
    <definedName name="템플리트모듈1" localSheetId="0">BlankMacro1</definedName>
    <definedName name="템플리트모듈1" localSheetId="2">BlankMacro1</definedName>
    <definedName name="템플리트모듈1">BlankMacro1</definedName>
    <definedName name="템플리트모듈2" localSheetId="3">BlankMacro1</definedName>
    <definedName name="템플리트모듈2" localSheetId="0">BlankMacro1</definedName>
    <definedName name="템플리트모듈2" localSheetId="2">BlankMacro1</definedName>
    <definedName name="템플리트모듈2">BlankMacro1</definedName>
    <definedName name="템플리트모듈3" localSheetId="3">BlankMacro1</definedName>
    <definedName name="템플리트모듈3" localSheetId="0">BlankMacro1</definedName>
    <definedName name="템플리트모듈3" localSheetId="2">BlankMacro1</definedName>
    <definedName name="템플리트모듈3">BlankMacro1</definedName>
    <definedName name="템플리트모듈4" localSheetId="3">BlankMacro1</definedName>
    <definedName name="템플리트모듈4" localSheetId="0">BlankMacro1</definedName>
    <definedName name="템플리트모듈4" localSheetId="2">BlankMacro1</definedName>
    <definedName name="템플리트모듈4">BlankMacro1</definedName>
    <definedName name="템플리트모듈5" localSheetId="3">BlankMacro1</definedName>
    <definedName name="템플리트모듈5" localSheetId="0">BlankMacro1</definedName>
    <definedName name="템플리트모듈5" localSheetId="2">BlankMacro1</definedName>
    <definedName name="템플리트모듈5">BlankMacro1</definedName>
    <definedName name="템플리트모듈6" localSheetId="3">BlankMacro1</definedName>
    <definedName name="템플리트모듈6" localSheetId="0">BlankMacro1</definedName>
    <definedName name="템플리트모듈6" localSheetId="2">BlankMacro1</definedName>
    <definedName name="템플리트모듈6">BlankMacro1</definedName>
    <definedName name="퇴직급여충당금">#REF!</definedName>
    <definedName name="투자자산">#REF!</definedName>
    <definedName name="트럭1트">#REF!</definedName>
    <definedName name="트럭실행">#REF!</definedName>
    <definedName name="트럭팀">#REF!</definedName>
    <definedName name="특급_" hidden="1">'[5]#REF'!#REF!</definedName>
    <definedName name="특용" localSheetId="2">#REF!</definedName>
    <definedName name="특용">#REF!</definedName>
    <definedName name="특장">#REF!</definedName>
    <definedName name="틀없애기" localSheetId="3">[172]!틀없애기</definedName>
    <definedName name="틀없애기" localSheetId="0">[172]!틀없애기</definedName>
    <definedName name="틀없애기">[172]!틀없애기</definedName>
    <definedName name="팀장명단">#REF!</definedName>
    <definedName name="ㅍ" hidden="1">{#N/A,#N/A,FALSE,"단축1";#N/A,#N/A,FALSE,"단축2";#N/A,#N/A,FALSE,"단축3";#N/A,#N/A,FALSE,"장축";#N/A,#N/A,FALSE,"4WD"}</definedName>
    <definedName name="파리" localSheetId="2" hidden="1">{#N/A,#N/A,FALSE,"단축1";#N/A,#N/A,FALSE,"단축2";#N/A,#N/A,FALSE,"단축3";#N/A,#N/A,FALSE,"장축";#N/A,#N/A,FALSE,"4WD"}</definedName>
    <definedName name="파리" hidden="1">{#N/A,#N/A,FALSE,"단축1";#N/A,#N/A,FALSE,"단축2";#N/A,#N/A,FALSE,"단축3";#N/A,#N/A,FALSE,"장축";#N/A,#N/A,FALSE,"4WD"}</definedName>
    <definedName name="파리2" localSheetId="2" hidden="1">{#N/A,#N/A,FALSE,"단축1";#N/A,#N/A,FALSE,"단축2";#N/A,#N/A,FALSE,"단축3";#N/A,#N/A,FALSE,"장축";#N/A,#N/A,FALSE,"4WD"}</definedName>
    <definedName name="파리2" hidden="1">{#N/A,#N/A,FALSE,"단축1";#N/A,#N/A,FALSE,"단축2";#N/A,#N/A,FALSE,"단축3";#N/A,#N/A,FALSE,"장축";#N/A,#N/A,FALSE,"4WD"}</definedName>
    <definedName name="파리5일일정2" localSheetId="2" hidden="1">{#N/A,#N/A,FALSE,"단축1";#N/A,#N/A,FALSE,"단축2";#N/A,#N/A,FALSE,"단축3";#N/A,#N/A,FALSE,"장축";#N/A,#N/A,FALSE,"4WD"}</definedName>
    <definedName name="파리5일일정2" hidden="1">{#N/A,#N/A,FALSE,"단축1";#N/A,#N/A,FALSE,"단축2";#N/A,#N/A,FALSE,"단축3";#N/A,#N/A,FALSE,"장축";#N/A,#N/A,FALSE,"4WD"}</definedName>
    <definedName name="파키스탄">#REF!</definedName>
    <definedName name="페이지1">'[156]행정표준(1)'!$A$1:$J$53</definedName>
    <definedName name="페이지2">'[156]행정표준(2)'!$A$1:$Z$62</definedName>
    <definedName name="페케지">'[11]2월'!#REF!</definedName>
    <definedName name="便">#REF!</definedName>
    <definedName name="평가" localSheetId="2">#REF!</definedName>
    <definedName name="평가">#REF!</definedName>
    <definedName name="평균" localSheetId="2">#REF!</definedName>
    <definedName name="평균">#REF!</definedName>
    <definedName name="폐각" localSheetId="3">[0]!BlankMacro1</definedName>
    <definedName name="폐각" localSheetId="0">[0]!BlankMacro1</definedName>
    <definedName name="폐각" localSheetId="2">[0]!BlankMacro1</definedName>
    <definedName name="폐각">[0]!BlankMacro1</definedName>
    <definedName name="포장">[158]유형표_비용!$H$2:$J$40</definedName>
    <definedName name="표지" localSheetId="2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1">[173]구동!#REF!</definedName>
    <definedName name="품">[154]대외공문!$V$27:$AC$27</definedName>
    <definedName name="품목첨부">'[174]2.대외공문'!#REF!</definedName>
    <definedName name="품의2">#REF!</definedName>
    <definedName name="품의22">#REF!</definedName>
    <definedName name="稟議範囲">#REF!</definedName>
    <definedName name="품질">[104]영업.일1!#REF!</definedName>
    <definedName name="프환율">#REF!</definedName>
    <definedName name="ㅎ" localSheetId="2">#REF!</definedName>
    <definedName name="ㅎ">#REF!</definedName>
    <definedName name="ㅎㄹ" localSheetId="3">[0]!BlankMacro1</definedName>
    <definedName name="ㅎㄹ" localSheetId="0">[0]!BlankMacro1</definedName>
    <definedName name="ㅎㄹ" localSheetId="2">[0]!BlankMacro1</definedName>
    <definedName name="ㅎㄹ">[0]!BlankMacro1</definedName>
    <definedName name="ㅎㄹㅇ" localSheetId="3">[0]!BlankMacro1</definedName>
    <definedName name="ㅎㄹㅇ" localSheetId="0">[0]!BlankMacro1</definedName>
    <definedName name="ㅎㄹㅇ" localSheetId="2">[0]!BlankMacro1</definedName>
    <definedName name="ㅎㄹㅇ">[0]!BlankMacro1</definedName>
    <definedName name="ㅎ라" localSheetId="2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라이" localSheetId="3">[0]!BlankMacro1</definedName>
    <definedName name="ㅎ라이" localSheetId="0">[0]!BlankMacro1</definedName>
    <definedName name="ㅎ라이" localSheetId="2">[0]!BlankMacro1</definedName>
    <definedName name="ㅎ라이">[0]!BlankMacro1</definedName>
    <definedName name="ㅎ러ㅗ" localSheetId="3">BlankMacro1</definedName>
    <definedName name="ㅎ러ㅗ" localSheetId="0">BlankMacro1</definedName>
    <definedName name="ㅎ러ㅗ" localSheetId="2">BlankMacro1</definedName>
    <definedName name="ㅎ러ㅗ">BlankMacro1</definedName>
    <definedName name="ㅎ럴허" localSheetId="3">BlankMacro1</definedName>
    <definedName name="ㅎ럴허" localSheetId="0">BlankMacro1</definedName>
    <definedName name="ㅎ럴허" localSheetId="2">BlankMacro1</definedName>
    <definedName name="ㅎ럴허">BlankMacro1</definedName>
    <definedName name="ㅎㅎ" localSheetId="2">#REF!</definedName>
    <definedName name="ㅎㅎ">#REF!</definedName>
    <definedName name="ㅎㅎㅎ" localSheetId="2">#REF!</definedName>
    <definedName name="ㅎㅎㅎ">#REF!</definedName>
    <definedName name="ㅎㅎㅎㅎ" localSheetId="2">#REF!</definedName>
    <definedName name="ㅎㅎㅎㅎ">#REF!</definedName>
    <definedName name="ㅎㅎㅎㅎㅎ" localSheetId="2">#REF!</definedName>
    <definedName name="ㅎㅎㅎㅎㅎ">#REF!</definedName>
    <definedName name="ㅎㅎㅎㅎㅎㅎㅎ" hidden="1">{"롵뱒뙒묉덇",#N/A,FALSE,"BY IS"}</definedName>
    <definedName name="하">#REF!</definedName>
    <definedName name="하광고운영">#REF!</definedName>
    <definedName name="하반기운영">[175]대외공문!#REF!</definedName>
    <definedName name="학교" localSheetId="3">BlankMacro1</definedName>
    <definedName name="학교" localSheetId="0">BlankMacro1</definedName>
    <definedName name="학교" localSheetId="2">BlankMacro1</definedName>
    <definedName name="학교">BlankMacro1</definedName>
    <definedName name="학급2" localSheetId="3">BlankMacro1</definedName>
    <definedName name="학급2" localSheetId="0">BlankMacro1</definedName>
    <definedName name="학급2" localSheetId="2">BlankMacro1</definedName>
    <definedName name="학급2">BlankMacro1</definedName>
    <definedName name="한국" localSheetId="2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할것을_제시하오니_선처__바랍니">[117]DWPM!#REF!</definedName>
    <definedName name="합">#REF!</definedName>
    <definedName name="항공">[29]data!$F$20:$F$29</definedName>
    <definedName name="항목">[110]항목등록!$F$5:$IV$5</definedName>
    <definedName name="항목0">[110]항목등록!$B$5:$D$5</definedName>
    <definedName name="항목1">[110]항목등록!$F$6:$F$7</definedName>
    <definedName name="항목10">#REF!</definedName>
    <definedName name="항목11">#REF!</definedName>
    <definedName name="항목12">[110]항목등록!$Q$6:$Q$7</definedName>
    <definedName name="항목13">[110]항목등록!$R$6:$R$7</definedName>
    <definedName name="항목14">[110]항목등록!$S$6:$S$7</definedName>
    <definedName name="항목15">[110]항목등록!$T$6:$T$7</definedName>
    <definedName name="항목16">[110]항목등록!$U$6:$U$7</definedName>
    <definedName name="항목17">[110]항목등록!$V$6:$V$7</definedName>
    <definedName name="항목18">[110]항목등록!$W$6:$W$7</definedName>
    <definedName name="항목19">[110]항목등록!$X$6:$X$7</definedName>
    <definedName name="항목2">#REF!</definedName>
    <definedName name="항목20">[110]항목등록!$Y$6:$Y$7</definedName>
    <definedName name="항목3">#REF!</definedName>
    <definedName name="항목4">#REF!</definedName>
    <definedName name="항목5">#REF!</definedName>
    <definedName name="항목6">#REF!</definedName>
    <definedName name="항목7">#REF!</definedName>
    <definedName name="항목8">#REF!</definedName>
    <definedName name="항목9">#REF!</definedName>
    <definedName name="항목분류">[110]항목등록!$A$6:$A$10</definedName>
    <definedName name="解_任_">[23]전산품의!$A$40</definedName>
    <definedName name="해외">[176]계정!$E$3:$F$102</definedName>
    <definedName name="허" localSheetId="3">BlankMacro1</definedName>
    <definedName name="허" localSheetId="0">BlankMacro1</definedName>
    <definedName name="허" localSheetId="2">BlankMacro1</definedName>
    <definedName name="허">BlankMacro1</definedName>
    <definedName name="헗ㄹ" localSheetId="3">BlankMacro1</definedName>
    <definedName name="헗ㄹ" localSheetId="0">BlankMacro1</definedName>
    <definedName name="헗ㄹ" localSheetId="2">BlankMacro1</definedName>
    <definedName name="헗ㄹ">BlankMacro1</definedName>
    <definedName name="県">[101]マスター!$G$3:$I$50</definedName>
    <definedName name="현금_예금">#REF!</definedName>
    <definedName name="現代綜合商事經由分">[177]수입!#REF!</definedName>
    <definedName name="현지인">'[87]2.대외공문'!#REF!</definedName>
    <definedName name="현황">[178]전산품의!$A$49</definedName>
    <definedName name="협동회가입">#REF!</definedName>
    <definedName name="호" localSheetId="3">BlankMacro1</definedName>
    <definedName name="호" localSheetId="0">BlankMacro1</definedName>
    <definedName name="호" localSheetId="2">BlankMacro1</definedName>
    <definedName name="호">BlankMacro1</definedName>
    <definedName name="호텔정보">#REF!</definedName>
    <definedName name="호텔컨펌" localSheetId="2">[79]BCN!#REF!</definedName>
    <definedName name="호텔컨펌">[79]BCN!#REF!</definedName>
    <definedName name="호환율">#REF!</definedName>
    <definedName name="호ㅓㅏ" localSheetId="2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홍마2" localSheetId="2" hidden="1">{"롵뱒뙒묉덇",#N/A,FALSE,"BY IS"}</definedName>
    <definedName name="홍마2" hidden="1">{"롵뱒뙒묉덇",#N/A,FALSE,"BY IS"}</definedName>
    <definedName name="홍수민" localSheetId="2">#REF!</definedName>
    <definedName name="홍수민">#REF!</definedName>
    <definedName name="홍콩일정" localSheetId="2" hidden="1">{"롵뱒뙒묉덇",#N/A,FALSE,"BY IS"}</definedName>
    <definedName name="홍콩일정" hidden="1">{"롵뱒뙒묉덇",#N/A,FALSE,"BY IS"}</definedName>
    <definedName name="확정하여_보고할것.">#REF!</definedName>
    <definedName name="환급여부">[110]항목등록!$B$6:$B$7</definedName>
    <definedName name="환차">#REF!</definedName>
    <definedName name="활동이력">#REF!</definedName>
    <definedName name="황">#REF!</definedName>
    <definedName name="회사채">#REF!</definedName>
    <definedName name="회의록">[179]ML!#REF!</definedName>
    <definedName name="회의자료">#REF!</definedName>
    <definedName name="회장사전보고" localSheetId="2" hidden="1">{#N/A,#N/A,FALSE,"단축1";#N/A,#N/A,FALSE,"단축2";#N/A,#N/A,FALSE,"단축3";#N/A,#N/A,FALSE,"장축";#N/A,#N/A,FALSE,"4WD"}</definedName>
    <definedName name="회장사전보고" hidden="1">{#N/A,#N/A,FALSE,"단축1";#N/A,#N/A,FALSE,"단축2";#N/A,#N/A,FALSE,"단축3";#N/A,#N/A,FALSE,"장축";#N/A,#N/A,FALSE,"4WD"}</definedName>
    <definedName name="흐호히" hidden="1">{#N/A,#N/A,FALSE,"단축1";#N/A,#N/A,FALSE,"단축2";#N/A,#N/A,FALSE,"단축3";#N/A,#N/A,FALSE,"장축";#N/A,#N/A,FALSE,"4WD"}</definedName>
    <definedName name="흵____R3_t">#REF!</definedName>
    <definedName name="ㅎㄺㅁㄴㅇ데허" localSheetId="3">[0]!BlankMacro1</definedName>
    <definedName name="ㅎㄺㅁㄴㅇ데허" localSheetId="0">[0]!BlankMacro1</definedName>
    <definedName name="ㅎㄺㅁㄴㅇ데허" localSheetId="2">[0]!BlankMacro1</definedName>
    <definedName name="ㅎㄺㅁㄴㅇ데허">[0]!BlankMacro1</definedName>
    <definedName name="ㅀ" localSheetId="3">[0]!BlankMacro1</definedName>
    <definedName name="ㅀ" localSheetId="0">[0]!BlankMacro1</definedName>
    <definedName name="ㅀ" localSheetId="2">[0]!BlankMacro1</definedName>
    <definedName name="ㅀ">[0]!BlankMacro1</definedName>
    <definedName name="ㅀㄴㅇㅀㅁㄷㅇㄱㅎ">[0]!BlankMacro1</definedName>
    <definedName name="ㅀㅇ" localSheetId="2" hidden="1">#REF!</definedName>
    <definedName name="ㅀㅇ" hidden="1">#REF!</definedName>
    <definedName name="ㅏ">#REF!</definedName>
    <definedName name="ㅏㅏㅏ">'[168]2.대외공문'!#REF!</definedName>
    <definedName name="ㅏㅓ" localSheetId="2" hidden="1">{"롵뱒뙒묉덇",#N/A,FALSE,"BY IS"}</definedName>
    <definedName name="ㅏㅓ" hidden="1">{"롵뱒뙒묉덇",#N/A,FALSE,"BY IS"}</definedName>
    <definedName name="ㅐㄱ" localSheetId="2" hidden="1">{"롵뱒뙒묉덇",#N/A,FALSE,"BY IS"}</definedName>
    <definedName name="ㅐㄱ" hidden="1">{"롵뱒뙒묉덇",#N/A,FALSE,"BY IS"}</definedName>
    <definedName name="ㅐ롷">[57]일정별금액!$A$1:$E$16</definedName>
    <definedName name="ㅐㅐㅐㅐ111">#REF!</definedName>
    <definedName name="ㅑㄹ" localSheetId="2" hidden="1">{"롵뱒뙒묉덇",#N/A,FALSE,"BY IS"}</definedName>
    <definedName name="ㅑㄹ" hidden="1">{"롵뱒뙒묉덇",#N/A,FALSE,"BY IS"}</definedName>
    <definedName name="ㅑㅐㅑ" localSheetId="2" hidden="1">{"롵뱒뙒묉덇",#N/A,FALSE,"BY IS"}</definedName>
    <definedName name="ㅑㅐㅑ" hidden="1">{"롵뱒뙒묉덇",#N/A,FALSE,"BY IS"}</definedName>
    <definedName name="ㅓ">[90]대외공문!#REF!</definedName>
    <definedName name="ㅓ허" localSheetId="3">BlankMacro1</definedName>
    <definedName name="ㅓ허" localSheetId="0">BlankMacro1</definedName>
    <definedName name="ㅓ허" localSheetId="2">BlankMacro1</definedName>
    <definedName name="ㅓ허">BlankMacro1</definedName>
    <definedName name="ㅓㅏㅀ" localSheetId="3">[0]!BlankMacro1</definedName>
    <definedName name="ㅓㅏㅀ" localSheetId="0">[0]!BlankMacro1</definedName>
    <definedName name="ㅓㅏㅀ" localSheetId="2">[0]!BlankMacro1</definedName>
    <definedName name="ㅓㅏㅀ">[0]!BlankMacro1</definedName>
    <definedName name="ㅔ로일요" hidden="1">{#N/A,#N/A,FALSE,"단축1";#N/A,#N/A,FALSE,"단축2";#N/A,#N/A,FALSE,"단축3";#N/A,#N/A,FALSE,"장축";#N/A,#N/A,FALSE,"4WD"}</definedName>
    <definedName name="ㅕ" localSheetId="3">[0]!BlankMacro1</definedName>
    <definedName name="ㅕ" localSheetId="0">[0]!BlankMacro1</definedName>
    <definedName name="ㅕ" localSheetId="2">[0]!BlankMacro1</definedName>
    <definedName name="ㅕ">[0]!BlankMacro1</definedName>
    <definedName name="ㅗ">#REF!</definedName>
    <definedName name="ㅗㅎ" localSheetId="2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ㅓ">#REF!</definedName>
    <definedName name="ㅗㅗㅗㅗ" localSheetId="3">[0]!BlankMacro1</definedName>
    <definedName name="ㅗㅗㅗㅗ" localSheetId="0">[0]!BlankMacro1</definedName>
    <definedName name="ㅗㅗㅗㅗ" localSheetId="2">[0]!BlankMacro1</definedName>
    <definedName name="ㅗㅗㅗㅗ">[0]!BlankMacro1</definedName>
    <definedName name="ㅛㅅ" localSheetId="3">BlankMacro1</definedName>
    <definedName name="ㅛㅅ" localSheetId="0">BlankMacro1</definedName>
    <definedName name="ㅛㅅ" localSheetId="2">BlankMacro1</definedName>
    <definedName name="ㅛㅅ">BlankMacro1</definedName>
    <definedName name="ㅛㅓㅎ" localSheetId="3">BlankMacro1</definedName>
    <definedName name="ㅛㅓㅎ" localSheetId="0">BlankMacro1</definedName>
    <definedName name="ㅛㅓㅎ" localSheetId="2">BlankMacro1</definedName>
    <definedName name="ㅛㅓㅎ">BlankMacro1</definedName>
    <definedName name="ㅛㅗㄱㄷ요" localSheetId="3">BlankMacro1</definedName>
    <definedName name="ㅛㅗㄱㄷ요" localSheetId="0">BlankMacro1</definedName>
    <definedName name="ㅛㅗㄱㄷ요" localSheetId="2">BlankMacro1</definedName>
    <definedName name="ㅛㅗㄱㄷ요">BlankMacro1</definedName>
    <definedName name="ㅠ">#REF!</definedName>
    <definedName name="ㅡ" localSheetId="3">[0]!BlankMacro1</definedName>
    <definedName name="ㅡ" localSheetId="0">[0]!BlankMacro1</definedName>
    <definedName name="ㅡ" localSheetId="2">[0]!BlankMacro1</definedName>
    <definedName name="ㅡ">[0]!BlankMacro1</definedName>
    <definedName name="ㅣ">#REF!</definedName>
    <definedName name="ㅣㅀ">[179]차수!#REF!</definedName>
    <definedName name="拠点別データ区分別件数">#REF!</definedName>
    <definedName name="a" localSheetId="2">'[11]2월'!#REF!</definedName>
    <definedName name="a">'[11]2월'!#REF!</definedName>
    <definedName name="a0">'[24]3.3검토국'!#REF!</definedName>
    <definedName name="aa" localSheetId="2">'[11]2월'!#REF!</definedName>
    <definedName name="aa">'[11]2월'!#REF!</definedName>
    <definedName name="AAA">#REF!</definedName>
    <definedName name="aaaa">#REF!</definedName>
    <definedName name="AAAA.XLS">#REF!</definedName>
    <definedName name="AAAAA">#REF!</definedName>
    <definedName name="Aaaaaa">#REF!</definedName>
    <definedName name="AAAAAAAA" localSheetId="3">[0]!BlankMacro1</definedName>
    <definedName name="AAAAAAAA" localSheetId="0">[0]!BlankMacro1</definedName>
    <definedName name="AAAAAAAA" localSheetId="2">[0]!BlankMacro1</definedName>
    <definedName name="AAAAAAAA">[0]!BlankMacro1</definedName>
    <definedName name="AAAAAAAAAA" localSheetId="2" hidden="1">{"롵뱒뙒묉덇",#N/A,FALSE,"BY IS"}</definedName>
    <definedName name="AAAAAAAAAA" hidden="1">{"롵뱒뙒묉덇",#N/A,FALSE,"BY IS"}</definedName>
    <definedName name="AAP">#REF!</definedName>
    <definedName name="AAQ">#REF!</definedName>
    <definedName name="AAZ">#REF!</definedName>
    <definedName name="ab">#REF!</definedName>
    <definedName name="ABC">#REF!</definedName>
    <definedName name="abcd">#REF!</definedName>
    <definedName name="ac">'[25]2.대외공문'!#REF!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"C:\수출관리\하자관리.xls"</definedName>
    <definedName name="AD">[26]본부별팀별9911!#REF!</definedName>
    <definedName name="ADFADF">#REF!</definedName>
    <definedName name="ADM">#REF!</definedName>
    <definedName name="AE">[26]본부별팀별9911!#REF!</definedName>
    <definedName name="AEK">#REF!</definedName>
    <definedName name="AESS" localSheetId="2">#REF!</definedName>
    <definedName name="AESS">#REF!</definedName>
    <definedName name="age" localSheetId="2">#REF!</definedName>
    <definedName name="age">#REF!</definedName>
    <definedName name="AI¿ø3">#REF!</definedName>
    <definedName name="AIK">#REF!</definedName>
    <definedName name="AJS">#REF!</definedName>
    <definedName name="aks">'[27]9710'!#REF!,'[27]9710'!#REF!,'[27]9710'!#REF!,'[27]9710'!#REF!,'[27]9710'!#REF!,'[27]9710'!#REF!,'[27]9710'!#REF!,'[27]9710'!#REF!,'[27]9710'!#REF!,'[27]9710'!#REF!,'[27]9710'!#REF!,'[27]9710'!#REF!,'[27]9710'!#REF!,'[27]9710'!$J$89,'[27]9710'!$K$89,'[27]9710'!$J$92:$J$93,'[27]9710'!$M$89,'[27]9710'!$N$89</definedName>
    <definedName name="alks">#REF!,#REF!,#REF!,#REF!,#REF!,#REF!,#REF!,#REF!,#REF!,#REF!,#REF!</definedName>
    <definedName name="all">#REF!</definedName>
    <definedName name="ALTSS">#REF!</definedName>
    <definedName name="area" localSheetId="2">#REF!</definedName>
    <definedName name="area">#REF!</definedName>
    <definedName name="AS">#REF!</definedName>
    <definedName name="AS.BB">#REF!</definedName>
    <definedName name="ASD">[28]HP1AMLIST!#REF!</definedName>
    <definedName name="ASM">#REF!</definedName>
    <definedName name="att4a">#REF!</definedName>
    <definedName name="Attraction">[29]data!$A$46:$B$56</definedName>
    <definedName name="AUE">#REF!</definedName>
    <definedName name="Austria">#REF!</definedName>
    <definedName name="aut">#REF!</definedName>
    <definedName name="AUTOEXEC">#REF!</definedName>
    <definedName name="Average" localSheetId="2">#REF!</definedName>
    <definedName name="Average">#REF!</definedName>
    <definedName name="awc">#REF!</definedName>
    <definedName name="AZ">#REF!</definedName>
    <definedName name="B">[30]TOT!$H$55</definedName>
    <definedName name="b_?P">[31]DATE!#REF!</definedName>
    <definedName name="b_t2">[3]현금경비중역!#REF!</definedName>
    <definedName name="b23RTDKDK">#REF!</definedName>
    <definedName name="BB">#REF!</definedName>
    <definedName name="bbb">'[32]2.대외공문'!#REF!</definedName>
    <definedName name="bc">#REF!</definedName>
    <definedName name="BCH" hidden="1">{"롵뱒뙒묉덇",#N/A,FALSE,"BY IS"}</definedName>
    <definedName name="BCPI_">#REF!</definedName>
    <definedName name="Belgium">#REF!</definedName>
    <definedName name="bizforms">"bizforms.co.kr"</definedName>
    <definedName name="BLANKGB">#N/A</definedName>
    <definedName name="BLP" localSheetId="3">BlankMacro1</definedName>
    <definedName name="BLP" localSheetId="0">BlankMacro1</definedName>
    <definedName name="BLP" localSheetId="2">BlankMacro1</definedName>
    <definedName name="BLP">BlankMacro1</definedName>
    <definedName name="book1" localSheetId="2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ox">'[11]2월'!#REF!</definedName>
    <definedName name="boxes" localSheetId="2">#REF!</definedName>
    <definedName name="boxes">#REF!</definedName>
    <definedName name="BRACT2001" localSheetId="2">#REF!</definedName>
    <definedName name="BRACT2001">#REF!</definedName>
    <definedName name="britain_">#REF!</definedName>
    <definedName name="Britain__ECU">#REF!</definedName>
    <definedName name="BRPRV2000" localSheetId="2">#REF!</definedName>
    <definedName name="BRPRV2000">#REF!</definedName>
    <definedName name="bRTDKDK">#REF!</definedName>
    <definedName name="button_area_1" localSheetId="2">#REF!</definedName>
    <definedName name="button_area_1">#REF!</definedName>
    <definedName name="bvc" hidden="1">{"롵뱒뙒묉덇",#N/A,FALSE,"BY IS"}</definedName>
    <definedName name="BYDNO">#N/A</definedName>
    <definedName name="CaseI">#REF!</definedName>
    <definedName name="CaseII">#REF!</definedName>
    <definedName name="CaseIII">#REF!</definedName>
    <definedName name="CC" localSheetId="2">#REF!</definedName>
    <definedName name="CC">#REF!</definedName>
    <definedName name="ccc">'[32]2.대외공문'!#REF!</definedName>
    <definedName name="CCT" localSheetId="2">#REF!</definedName>
    <definedName name="CCT">#REF!</definedName>
    <definedName name="CD123_">#N/A</definedName>
    <definedName name="CD130_">#N/A</definedName>
    <definedName name="CD620_">#N/A</definedName>
    <definedName name="CD830_">#N/A</definedName>
    <definedName name="CDB" localSheetId="2">#REF!</definedName>
    <definedName name="CDB">#REF!</definedName>
    <definedName name="cds" hidden="1">{"롵뱒뙒묉덇",#N/A,FALSE,"BY IS"}</definedName>
    <definedName name="celltips_area" localSheetId="2">#REF!</definedName>
    <definedName name="celltips_area">#REF!</definedName>
    <definedName name="cen" localSheetId="2">#REF!</definedName>
    <definedName name="cen">#REF!</definedName>
    <definedName name="CFprprprrkrkrkrkpdpddkdkdkdkdkd">[33]분석mast!#REF!</definedName>
    <definedName name="Channel">#REF!</definedName>
    <definedName name="CHK">[34]본부별팀별9911!#REF!</definedName>
    <definedName name="CHULDO">#N/A</definedName>
    <definedName name="CHULDOIL">#N/A</definedName>
    <definedName name="ckc">#REF!</definedName>
    <definedName name="CLA">[34]봹뭫딈?!$B$4</definedName>
    <definedName name="CLB">[34]봹뭫딈?!$D$4</definedName>
    <definedName name="CNCNCNCNCNC" localSheetId="2" hidden="1">{"롵뱒뙒묉덇",#N/A,FALSE,"BY IS"}</definedName>
    <definedName name="CNCNCNCNCNC" hidden="1">{"롵뱒뙒묉덇",#N/A,FALSE,"BY IS"}</definedName>
    <definedName name="CNFM">[35]INVOICE!#REF!</definedName>
    <definedName name="co">[36]종목코드!$A$2:$A$845</definedName>
    <definedName name="CODE">#REF!</definedName>
    <definedName name="COM" localSheetId="2">#REF!</definedName>
    <definedName name="COM">#REF!</definedName>
    <definedName name="COMP_CATEGORY">[37]Reference!$M$2:$M$40</definedName>
    <definedName name="COMP_FUNCTION">[37]Reference!$L$2:$L$43</definedName>
    <definedName name="con">#REF!</definedName>
    <definedName name="COST615">#N/A</definedName>
    <definedName name="Costcentres">#REF!</definedName>
    <definedName name="Costtypes">#REF!</definedName>
    <definedName name="COUNTRIES">[37]Reference!$F$2:$F$266</definedName>
    <definedName name="COVER" localSheetId="2">[35]INVOICE!#REF!</definedName>
    <definedName name="COVER">[35]INVOICE!#REF!</definedName>
    <definedName name="CPI">#REF!</definedName>
    <definedName name="_xlnm.Criteria">[2]major!#REF!</definedName>
    <definedName name="Criteria_MI">#REF!</definedName>
    <definedName name="CS" localSheetId="2">#REF!</definedName>
    <definedName name="CS">#REF!</definedName>
    <definedName name="ctl" localSheetId="2">'[11]2월'!#REF!</definedName>
    <definedName name="ctl">'[11]2월'!#REF!</definedName>
    <definedName name="Currency">#REF!</definedName>
    <definedName name="CURT">#REF!</definedName>
    <definedName name="CV">[38]지사!#REF!</definedName>
    <definedName name="D" localSheetId="2">[38]INVOICE!#REF!</definedName>
    <definedName name="D">[38]INVOICE!#REF!</definedName>
    <definedName name="DA" localSheetId="2">#REF!</definedName>
    <definedName name="DA">#REF!</definedName>
    <definedName name="DABB">'[39]OPT손익 내수'!$G$15</definedName>
    <definedName name="DABP">'[39]OPT손익 내수'!$G$17</definedName>
    <definedName name="DABSB">'[39]OPT손익 내수'!$F$15</definedName>
    <definedName name="DABSP">'[39]OPT손익 내수'!$F$17</definedName>
    <definedName name="DACB">'[39]OPT손익 내수'!$D$15</definedName>
    <definedName name="DACP">'[39]OPT손익 내수'!$D$17</definedName>
    <definedName name="DATA" localSheetId="2">#REF!</definedName>
    <definedName name="DATA">#REF!</definedName>
    <definedName name="data1" localSheetId="2">#REF!</definedName>
    <definedName name="data1">#REF!</definedName>
    <definedName name="data10" localSheetId="2">#REF!</definedName>
    <definedName name="data10">#REF!</definedName>
    <definedName name="data11" localSheetId="2">#REF!</definedName>
    <definedName name="data11">#REF!</definedName>
    <definedName name="data12" localSheetId="2">#REF!</definedName>
    <definedName name="data12">#REF!</definedName>
    <definedName name="data13" localSheetId="2">#REF!</definedName>
    <definedName name="data13">#REF!</definedName>
    <definedName name="data14" localSheetId="2">#REF!</definedName>
    <definedName name="data14">#REF!</definedName>
    <definedName name="data15" localSheetId="2">#REF!</definedName>
    <definedName name="data15">#REF!</definedName>
    <definedName name="data16" localSheetId="2">#REF!</definedName>
    <definedName name="data16">#REF!</definedName>
    <definedName name="data17" localSheetId="2">#REF!</definedName>
    <definedName name="data17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localSheetId="2">#REF!</definedName>
    <definedName name="data2">#REF!</definedName>
    <definedName name="data20" localSheetId="2">#REF!</definedName>
    <definedName name="data20">#REF!</definedName>
    <definedName name="data21" localSheetId="2">#REF!</definedName>
    <definedName name="data21">#REF!</definedName>
    <definedName name="data22" localSheetId="2">#REF!</definedName>
    <definedName name="data22">#REF!</definedName>
    <definedName name="data23" localSheetId="2">#REF!</definedName>
    <definedName name="data23">#REF!</definedName>
    <definedName name="data24" localSheetId="2">#REF!</definedName>
    <definedName name="data24">#REF!</definedName>
    <definedName name="data25" localSheetId="2">#REF!</definedName>
    <definedName name="data25">#REF!</definedName>
    <definedName name="data26" localSheetId="2">#REF!</definedName>
    <definedName name="data26">#REF!</definedName>
    <definedName name="data27" localSheetId="2">#REF!</definedName>
    <definedName name="data27">#REF!</definedName>
    <definedName name="data28" localSheetId="2">#REF!</definedName>
    <definedName name="data28">#REF!</definedName>
    <definedName name="data29" localSheetId="2">#REF!</definedName>
    <definedName name="data29">#REF!</definedName>
    <definedName name="data3" localSheetId="2">#REF!</definedName>
    <definedName name="data3">#REF!</definedName>
    <definedName name="data30" localSheetId="2">#REF!</definedName>
    <definedName name="data30">#REF!</definedName>
    <definedName name="data31" localSheetId="2">#REF!</definedName>
    <definedName name="data31">#REF!</definedName>
    <definedName name="data32" localSheetId="2">#REF!</definedName>
    <definedName name="data32">#REF!</definedName>
    <definedName name="data33" localSheetId="2">#REF!</definedName>
    <definedName name="data33">#REF!</definedName>
    <definedName name="data34" localSheetId="2">#REF!</definedName>
    <definedName name="data34">#REF!</definedName>
    <definedName name="data35" localSheetId="2">#REF!</definedName>
    <definedName name="data35">#REF!</definedName>
    <definedName name="data36" localSheetId="2">#REF!</definedName>
    <definedName name="data36">#REF!</definedName>
    <definedName name="data37" localSheetId="2">#REF!</definedName>
    <definedName name="data37">#REF!</definedName>
    <definedName name="data38" localSheetId="2">#REF!</definedName>
    <definedName name="data38">#REF!</definedName>
    <definedName name="data39" localSheetId="2">#REF!</definedName>
    <definedName name="data39">#REF!</definedName>
    <definedName name="data4" localSheetId="2">#REF!</definedName>
    <definedName name="data4">#REF!</definedName>
    <definedName name="data40" localSheetId="2">#REF!</definedName>
    <definedName name="data40">#REF!</definedName>
    <definedName name="data41" localSheetId="2">#REF!</definedName>
    <definedName name="data41">#REF!</definedName>
    <definedName name="data42" localSheetId="2">#REF!</definedName>
    <definedName name="data42">#REF!</definedName>
    <definedName name="data43" localSheetId="2">#REF!</definedName>
    <definedName name="data43">#REF!</definedName>
    <definedName name="data44" localSheetId="2">#REF!</definedName>
    <definedName name="data44">#REF!</definedName>
    <definedName name="data45" localSheetId="2">#REF!</definedName>
    <definedName name="data45">#REF!</definedName>
    <definedName name="data46" localSheetId="2">#REF!</definedName>
    <definedName name="data46">#REF!</definedName>
    <definedName name="data47" localSheetId="2">#REF!</definedName>
    <definedName name="data47">#REF!</definedName>
    <definedName name="data48" localSheetId="2">#REF!</definedName>
    <definedName name="data48">#REF!</definedName>
    <definedName name="data49" localSheetId="2">#REF!</definedName>
    <definedName name="data49">#REF!</definedName>
    <definedName name="data5" localSheetId="2">#REF!</definedName>
    <definedName name="data5">#REF!</definedName>
    <definedName name="data50" localSheetId="2">#REF!</definedName>
    <definedName name="data50">#REF!</definedName>
    <definedName name="data51" localSheetId="2">#REF!</definedName>
    <definedName name="data51">#REF!</definedName>
    <definedName name="data52" localSheetId="2">#REF!</definedName>
    <definedName name="data52">#REF!</definedName>
    <definedName name="data53" localSheetId="2">#REF!</definedName>
    <definedName name="data53">#REF!</definedName>
    <definedName name="data54" localSheetId="2">#REF!</definedName>
    <definedName name="data54">#REF!</definedName>
    <definedName name="data55" localSheetId="2">#REF!</definedName>
    <definedName name="data55">#REF!</definedName>
    <definedName name="data56" localSheetId="2">#REF!</definedName>
    <definedName name="data56">#REF!</definedName>
    <definedName name="data57" localSheetId="2">#REF!</definedName>
    <definedName name="data57">#REF!</definedName>
    <definedName name="data58" localSheetId="2">#REF!</definedName>
    <definedName name="data58">#REF!</definedName>
    <definedName name="data59" localSheetId="2">#REF!</definedName>
    <definedName name="data59">#REF!</definedName>
    <definedName name="data6" localSheetId="2">#REF!</definedName>
    <definedName name="data6">#REF!</definedName>
    <definedName name="data60" localSheetId="2">#REF!</definedName>
    <definedName name="data60">#REF!</definedName>
    <definedName name="data61" localSheetId="2">#REF!</definedName>
    <definedName name="data61">#REF!</definedName>
    <definedName name="data62" localSheetId="2">#REF!</definedName>
    <definedName name="data62">#REF!</definedName>
    <definedName name="data63" localSheetId="2">#REF!</definedName>
    <definedName name="data63">#REF!</definedName>
    <definedName name="data64" localSheetId="2">#REF!</definedName>
    <definedName name="data64">#REF!</definedName>
    <definedName name="data65" localSheetId="2">#REF!</definedName>
    <definedName name="data65">#REF!</definedName>
    <definedName name="data66" localSheetId="2">#REF!</definedName>
    <definedName name="data66">#REF!</definedName>
    <definedName name="data67" localSheetId="2">#REF!</definedName>
    <definedName name="data67">#REF!</definedName>
    <definedName name="data68" localSheetId="2">#REF!</definedName>
    <definedName name="data68">#REF!</definedName>
    <definedName name="data69" localSheetId="2">#REF!</definedName>
    <definedName name="data69">#REF!</definedName>
    <definedName name="data7" localSheetId="2">#REF!</definedName>
    <definedName name="data7">#REF!</definedName>
    <definedName name="data70" localSheetId="2">#REF!</definedName>
    <definedName name="data70">#REF!</definedName>
    <definedName name="data8" localSheetId="2">#REF!</definedName>
    <definedName name="data8">#REF!</definedName>
    <definedName name="data9" localSheetId="2">#REF!</definedName>
    <definedName name="data9">#REF!</definedName>
    <definedName name="DATAA" localSheetId="2">#REF!</definedName>
    <definedName name="DATAA">#REF!</definedName>
    <definedName name="_xlnm.Database">#REF!</definedName>
    <definedName name="Database_MI">#REF!</definedName>
    <definedName name="database1">#REF!</definedName>
    <definedName name="database3">#REF!</definedName>
    <definedName name="database4">#REF!</definedName>
    <definedName name="DATAO" localSheetId="2">#REF!</definedName>
    <definedName name="DATAO">#REF!</definedName>
    <definedName name="DATB">'[39]OPT손익 내수'!$E$15</definedName>
    <definedName name="DATP">'[39]OPT손익 내수'!$E$17</definedName>
    <definedName name="DAWB">'[39]OPT손익 내수'!$I$15</definedName>
    <definedName name="DAWP">'[39]OPT손익 내수'!$I$17</definedName>
    <definedName name="DAYS">[37]Reference!$B$2:$B$33</definedName>
    <definedName name="DB" localSheetId="2">#REF!</definedName>
    <definedName name="DB">#REF!</definedName>
    <definedName name="DBM" localSheetId="2">#REF!</definedName>
    <definedName name="DBM">#REF!</definedName>
    <definedName name="DC">#N/A</definedName>
    <definedName name="DD" localSheetId="2" hidden="1">{"롵뱒뙒묉덇",#N/A,FALSE,"BY IS"}</definedName>
    <definedName name="DD" hidden="1">{"롵뱒뙒묉덇",#N/A,FALSE,"BY IS"}</definedName>
    <definedName name="DDD">#REF!</definedName>
    <definedName name="DDDD" localSheetId="3">[0]!BlankMacro1</definedName>
    <definedName name="DDDD" localSheetId="0">[0]!BlankMacro1</definedName>
    <definedName name="DDDD" localSheetId="2">[0]!BlankMacro1</definedName>
    <definedName name="DDDD">[0]!BlankMacro1</definedName>
    <definedName name="DDDDDD">'[11]2월'!#REF!</definedName>
    <definedName name="DEC.GH">#REF!</definedName>
    <definedName name="dek">#REF!</definedName>
    <definedName name="DEL" localSheetId="2">'[27]9710'!#REF!,'[27]9710'!#REF!,'[27]9710'!#REF!,'[27]9710'!#REF!,'[27]9710'!#REF!,'[27]9710'!#REF!,'[27]9710'!#REF!,'[27]9710'!#REF!,'[27]9710'!#REF!,'[27]9710'!#REF!,'[27]9710'!#REF!,'[27]9710'!#REF!,'[27]9710'!#REF!,'[27]9710'!$J$89,'[27]9710'!$K$89,'[27]9710'!$J$92:$J$93,'[27]9710'!$M$89,'[27]9710'!$N$89</definedName>
    <definedName name="DEL">'[40]9710'!#REF!,'[40]9710'!#REF!,'[40]9710'!#REF!,'[40]9710'!#REF!,'[40]9710'!#REF!,'[40]9710'!#REF!,'[40]9710'!#REF!,'[40]9710'!#REF!,'[40]9710'!#REF!,'[40]9710'!#REF!,'[40]9710'!#REF!,'[40]9710'!#REF!,'[40]9710'!#REF!,'[40]9710'!$J$89,'[40]9710'!$K$89,'[40]9710'!$J$92:$J$93,'[40]9710'!$M$89,'[40]9710'!$N$89</definedName>
    <definedName name="DELETE" localSheetId="2">'[27]9705'!#REF!,'[27]9705'!#REF!</definedName>
    <definedName name="DELETE">'[40]9705'!#REF!,'[40]9705'!#REF!</definedName>
    <definedName name="Denmark">#REF!</definedName>
    <definedName name="depend" localSheetId="2">#REF!</definedName>
    <definedName name="depend">#REF!</definedName>
    <definedName name="df">#REF!</definedName>
    <definedName name="DFD">BlankMacro1</definedName>
    <definedName name="dfdfdsf">[41]테크론!#REF!</definedName>
    <definedName name="DFGHGD">'[42]5.세운W-A'!#REF!</definedName>
    <definedName name="dflt1" localSheetId="2">#REF!</definedName>
    <definedName name="dflt1">#REF!</definedName>
    <definedName name="dflt2" localSheetId="2">#REF!</definedName>
    <definedName name="dflt2">#REF!</definedName>
    <definedName name="dflt3" localSheetId="2">#REF!</definedName>
    <definedName name="dflt3">#REF!</definedName>
    <definedName name="dflt4" localSheetId="2">#REF!</definedName>
    <definedName name="dflt4">#REF!</definedName>
    <definedName name="dflt5" localSheetId="2">#REF!</definedName>
    <definedName name="dflt5">#REF!</definedName>
    <definedName name="dflt6" localSheetId="2">#REF!</definedName>
    <definedName name="dflt6">#REF!</definedName>
    <definedName name="dflt7" localSheetId="2">#REF!</definedName>
    <definedName name="dflt7">#REF!</definedName>
    <definedName name="dfsdfasdgasdg">#REF!</definedName>
    <definedName name="dfsfd">#REF!</definedName>
    <definedName name="DGDGS" localSheetId="2">[35]INVOICE!#REF!</definedName>
    <definedName name="DGDGS">[43]INVOICE!#REF!</definedName>
    <definedName name="DH">#REF!</definedName>
    <definedName name="display_area_1" localSheetId="2">#REF!</definedName>
    <definedName name="display_area_1">#REF!</definedName>
    <definedName name="display_area_2" localSheetId="2">#REF!</definedName>
    <definedName name="display_area_2">#REF!</definedName>
    <definedName name="dkd">#REF!</definedName>
    <definedName name="DKDKFG8TBTB2RT">#REF!</definedName>
    <definedName name="DLFTN" localSheetId="2">#REF!</definedName>
    <definedName name="DLFTN">#REF!</definedName>
    <definedName name="DLS" localSheetId="2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LSLSLDL" localSheetId="2" hidden="1">{"롵뱒뙒묉덇",#N/A,FALSE,"BY IS"}</definedName>
    <definedName name="DLSLSLDL" hidden="1">{"롵뱒뙒묉덇",#N/A,FALSE,"BY IS"}</definedName>
    <definedName name="DM">#REF!</definedName>
    <definedName name="dol">#REF!</definedName>
    <definedName name="DOM" localSheetId="2">일정표!DOM</definedName>
    <definedName name="DOM">[0]!DOM</definedName>
    <definedName name="DOM전장" localSheetId="2">일정표!DOM전장</definedName>
    <definedName name="DOM전장">[0]!DOM전장</definedName>
    <definedName name="DOMUSA저장" localSheetId="2">일정표!DOMUSA저장</definedName>
    <definedName name="DOMUSA저장">[0]!DOMUSA저장</definedName>
    <definedName name="DOMUSAGER" localSheetId="2">일정표!DOMUSAGER</definedName>
    <definedName name="DOMUSAGER">[0]!DOMUSAGER</definedName>
    <definedName name="DPSB">'[39]OPT손익 내수'!$H$15</definedName>
    <definedName name="DPSP">'[39]OPT손익 내수'!$H$17</definedName>
    <definedName name="dssdsd">#REF!</definedName>
    <definedName name="e" localSheetId="2">[42]INVOICE!#REF!</definedName>
    <definedName name="e">[42]INVOICE!#REF!</definedName>
    <definedName name="E?A÷">#REF!</definedName>
    <definedName name="EC">#REF!</definedName>
    <definedName name="ED3__회훈_71.4_신창_4.9">#REF!</definedName>
    <definedName name="EDABB">'[39]OPT손익 수출'!$N$15</definedName>
    <definedName name="EDABP">'[39]OPT손익 수출'!$N$17</definedName>
    <definedName name="EDABSB">'[39]OPT손익 수출'!$M$15</definedName>
    <definedName name="EDABSP">'[39]OPT손익 수출'!$M$17</definedName>
    <definedName name="EDACB">'[39]OPT손익 수출'!$K$15</definedName>
    <definedName name="EDACP">'[39]OPT손익 수출'!$K$17</definedName>
    <definedName name="EDATB">'[39]OPT손익 수출'!$L$15</definedName>
    <definedName name="EDATP">'[39]OPT손익 수출'!$L$17</definedName>
    <definedName name="EDAWB">'[39]OPT손익 수출'!$P$15</definedName>
    <definedName name="EDAWP">'[39]OPT손익 수출'!$P$17</definedName>
    <definedName name="edc" hidden="1">{"롵뱒뙒묉덇",#N/A,FALSE,"BY IS"}</definedName>
    <definedName name="EDPSB">'[39]OPT손익 수출'!$O$15</definedName>
    <definedName name="EDPSP">'[39]OPT손익 수출'!$O$17</definedName>
    <definedName name="EE">#REF!</definedName>
    <definedName name="EEEEEE" localSheetId="3">[0]!BlankMacro1</definedName>
    <definedName name="EEEEEE" localSheetId="0">[0]!BlankMacro1</definedName>
    <definedName name="EEEEEE" localSheetId="2">[0]!BlankMacro1</definedName>
    <definedName name="EEEEEE">[0]!BlankMacro1</definedName>
    <definedName name="EFDFD" localSheetId="2" hidden="1">{"롵뱒뙒묉덇",#N/A,FALSE,"BY IS"}</definedName>
    <definedName name="EFDFD" hidden="1">{"롵뱒뙒묉덇",#N/A,FALSE,"BY IS"}</definedName>
    <definedName name="EGABB">'[39]OPT손익 수출'!$U$15</definedName>
    <definedName name="EGABP">'[39]OPT손익 수출'!$U$17</definedName>
    <definedName name="EGABSB">'[39]OPT손익 수출'!$T$15</definedName>
    <definedName name="EGABSP">'[39]OPT손익 수출'!$T$17</definedName>
    <definedName name="EGACB">'[39]OPT손익 수출'!$R$15</definedName>
    <definedName name="EGACP">'[39]OPT손익 수출'!$R$17</definedName>
    <definedName name="EGATB">'[39]OPT손익 수출'!$S$15</definedName>
    <definedName name="EGATP">'[39]OPT손익 수출'!$S$17</definedName>
    <definedName name="EGAWP">'[39]OPT손익 수출'!$W$17</definedName>
    <definedName name="EGO_C">[44]RDLEVLST!#REF!</definedName>
    <definedName name="EGPSB">'[39]OPT손익 수출'!$V$15</definedName>
    <definedName name="EGPSP">'[39]OPT손익 수출'!$V$17</definedName>
    <definedName name="EO관리신">#REF!</definedName>
    <definedName name="EOGKSALSRNR" localSheetId="2" hidden="1">{"롵뱒뙒묉덇",#N/A,FALSE,"BY IS"}</definedName>
    <definedName name="EOGKSALSRNR" hidden="1">{"롵뱒뙒묉덇",#N/A,FALSE,"BY IS"}</definedName>
    <definedName name="eop0">#REF!</definedName>
    <definedName name="epepe" localSheetId="2" hidden="1">{"롵뱒뙒묉덇",#N/A,FALSE,"BY IS"}</definedName>
    <definedName name="epepe" hidden="1">{"롵뱒뙒묉덇",#N/A,FALSE,"BY IS"}</definedName>
    <definedName name="EUABSB">'[39]OPT손익 수출'!$F$15</definedName>
    <definedName name="EUABSP">'[39]OPT손익 수출'!$F$17</definedName>
    <definedName name="EUACB">'[39]OPT손익 수출'!$D$15</definedName>
    <definedName name="EUACP">'[39]OPT손익 수출'!$D$17</definedName>
    <definedName name="EUATB">'[39]OPT손익 수출'!$E$15</definedName>
    <definedName name="EUATP">'[39]OPT손익 수출'!$E$17</definedName>
    <definedName name="EUAWB">'[39]OPT손익 수출'!$I$15</definedName>
    <definedName name="EUAWP">'[39]OPT손익 수출'!$I$17</definedName>
    <definedName name="eud">[45]테크론!#REF!</definedName>
    <definedName name="eun">#REF!</definedName>
    <definedName name="EUPSB">'[39]OPT손익 수출'!$H$15</definedName>
    <definedName name="EUPSP">'[39]OPT손익 수출'!$H$17</definedName>
    <definedName name="excel2" localSheetId="3">BlankMacro1</definedName>
    <definedName name="excel2" localSheetId="0">BlankMacro1</definedName>
    <definedName name="excel2" localSheetId="2">BlankMacro1</definedName>
    <definedName name="excel2">BlankMacro1</definedName>
    <definedName name="_xlnm.Extract">#REF!</definedName>
    <definedName name="Extract_MI">#REF!</definedName>
    <definedName name="F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DD">[45]테크론!#REF!</definedName>
    <definedName name="FDFS">#REF!</definedName>
    <definedName name="FF">#REF!</definedName>
    <definedName name="fg">#REF!</definedName>
    <definedName name="FG10TBTB2RT">#REF!</definedName>
    <definedName name="FG12TBTB2RTDKDKGMLRT">[46]협조전!#REF!</definedName>
    <definedName name="FG22TBTB3RTDKDKDK">[47]차수!#REF!</definedName>
    <definedName name="FG24RTDKDK">#REF!</definedName>
    <definedName name="FG46TBTB4RTDKDK">#REF!</definedName>
    <definedName name="FGG" localSheetId="2">[47]일정!#REF!</definedName>
    <definedName name="FGG">[48]일정!#REF!</definedName>
    <definedName name="fgPRPRRKRKRKRKRKTBTB2RT">'[49]11'!#REF!</definedName>
    <definedName name="fgPRRKRKRKTBTB1RT">[50]문서처리전!#REF!</definedName>
    <definedName name="FGPRRKRKTBTB1RT">[51]냉각실용添1!#REF!</definedName>
    <definedName name="FGR12C15TBTB1RTDKDK">#REF!</definedName>
    <definedName name="FGRKBS11TBTB3RTDKDK">[52]협조전!#REF!</definedName>
    <definedName name="FGrkbs7tbtbsprt">[53]전체현황!#REF!</definedName>
    <definedName name="fgRKBS8TBTB3RT">[52]협조전!#REF!</definedName>
    <definedName name="fgTBTB3RTDKDK">#REF!</definedName>
    <definedName name="fgTBTB4RTDKDK">#REF!</definedName>
    <definedName name="Finland">#REF!</definedName>
    <definedName name="fkla" localSheetId="2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C" localSheetId="2">#REF!</definedName>
    <definedName name="FOC">#REF!</definedName>
    <definedName name="FORMAT">[54]CVT산정!#REF!</definedName>
    <definedName name="France">#REF!</definedName>
    <definedName name="G" localSheetId="2" hidden="1">{#N/A,#N/A,FALSE,"96 3월물량표";#N/A,#N/A,FALSE,"96 4월물량표";#N/A,#N/A,FALSE,"96 5월물량표"}</definedName>
    <definedName name="G" hidden="1">{#N/A,#N/A,FALSE,"96 3월물량표";#N/A,#N/A,FALSE,"96 4월물량표";#N/A,#N/A,FALSE,"96 5월물량표"}</definedName>
    <definedName name="g_탩Y">'[55]주소(한문)'!#REF!</definedName>
    <definedName name="GAGONG">#N/A</definedName>
    <definedName name="gap">#REF!,#REF!,#REF!,#REF!,#REF!,#REF!,#REF!,#REF!,#REF!,#REF!,#REF!,#REF!,#REF!,#REF!,#REF!,#REF!,#REF!,#REF!,#REF!,#REF!,#REF!,#REF!,#REF!,#REF!,#REF!,#REF!,#REF!</definedName>
    <definedName name="GAR">#N/A</definedName>
    <definedName name="GBCSNAME">#N/A</definedName>
    <definedName name="gbd">'[11]2월'!#REF!</definedName>
    <definedName name="GDP">#REF!</definedName>
    <definedName name="gds">#REF!</definedName>
    <definedName name="GDSFHHSSRY" localSheetId="2">#REF!</definedName>
    <definedName name="GDSFHHSSRY">#REF!</definedName>
    <definedName name="GELALL" localSheetId="2">일정표!GELALL</definedName>
    <definedName name="GELALL">[0]!GELALL</definedName>
    <definedName name="GELALL전장2" localSheetId="2">일정표!GELALL전장2</definedName>
    <definedName name="GELALL전장2">[0]!GELALL전장2</definedName>
    <definedName name="GEOMSA">#N/A</definedName>
    <definedName name="GEOMTOIL">#N/A</definedName>
    <definedName name="GEOMTS">#N/A</definedName>
    <definedName name="GER" localSheetId="2">일정표!GER</definedName>
    <definedName name="GER">[0]!GER</definedName>
    <definedName name="GER전장" localSheetId="2">일정표!GER전장</definedName>
    <definedName name="GER전장">[0]!GER전장</definedName>
    <definedName name="Germany">#REF!</definedName>
    <definedName name="germany_">#REF!</definedName>
    <definedName name="GEUMHU">#N/A</definedName>
    <definedName name="gfld" localSheetId="2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G">#REF!</definedName>
    <definedName name="GH">#REF!</definedName>
    <definedName name="GHFHRFYHT" localSheetId="2">[55]INVOICE!#REF!</definedName>
    <definedName name="GHFHRFYHT">[56]INVOICE!#REF!</definedName>
    <definedName name="GHJGH">'[57]소유주(원)'!#REF!</definedName>
    <definedName name="GHLF" localSheetId="2">[57]일정별금액!$A$1:$E$16</definedName>
    <definedName name="GHLF">[58]일정별금액!$A$1:$E$16</definedName>
    <definedName name="GHUTGHF" localSheetId="2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ISURO">#N/A</definedName>
    <definedName name="GR">#N/A</definedName>
    <definedName name="GRACE">[59]PTR台손익!#REF!</definedName>
    <definedName name="GRADETG" localSheetId="2">'[60]Performance Rate'!$D$4:$E$8</definedName>
    <definedName name="GRADETG">'[61]Performance Rate'!$D$4:$E$8</definedName>
    <definedName name="GSEOLB">#N/A</definedName>
    <definedName name="GYUNJ1">#N/A</definedName>
    <definedName name="GYUNJ2">#N/A</definedName>
    <definedName name="H">'[62]#REF'!#REF!</definedName>
    <definedName name="H11A01K">#REF!</definedName>
    <definedName name="HABEI109">#N/A</definedName>
    <definedName name="HC" localSheetId="2" hidden="1">{"롵뱒뙒묉덇",#N/A,FALSE,"BY IS"}</definedName>
    <definedName name="HC" hidden="1">{"롵뱒뙒묉덇",#N/A,FALSE,"BY IS"}</definedName>
    <definedName name="HDFJFJJFUTRYRYSHSJ" localSheetId="2">[35]INVOICE!#REF!</definedName>
    <definedName name="HDFJFJJFUTRYRYSHSJ">[43]INVOICE!#REF!</definedName>
    <definedName name="HFG" localSheetId="2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GHGHG">'[63]#REF'!$A$1</definedName>
    <definedName name="HH">#REF!</definedName>
    <definedName name="HHH">'[64]96수출'!#REF!</definedName>
    <definedName name="hom" localSheetId="3">BlankMacro1</definedName>
    <definedName name="hom" localSheetId="0">BlankMacro1</definedName>
    <definedName name="hom" localSheetId="2">BlankMacro1</definedName>
    <definedName name="hom">BlankMacro1</definedName>
    <definedName name="HP1원단위">[65]시설업체주소록!#REF!</definedName>
    <definedName name="HTE산출" localSheetId="2">#REF!</definedName>
    <definedName name="HTE산출">#REF!</definedName>
    <definedName name="HTML_CodePage" hidden="1">949</definedName>
    <definedName name="HTML_Control" localSheetId="2">{"'7'!$B$15:$D$32"}</definedName>
    <definedName name="HTML_Control" hidden="1">{"'7'!$B$15:$D$32"}</definedName>
    <definedName name="HTML_Description" hidden="1">""</definedName>
    <definedName name="HTML_Email" hidden="1">""</definedName>
    <definedName name="HTML_Header" hidden="1">"7"</definedName>
    <definedName name="HTML_LastUpdate" hidden="1">"99-02-01"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Documents\외식사업\신규사업검토\MyHTML.htm"</definedName>
    <definedName name="HTML_Title" hidden="1">"천호입점검토－섬마을"</definedName>
    <definedName name="I">'[62]#REF'!#REF!</definedName>
    <definedName name="I바탕" localSheetId="2">[55]INVOICE!#REF!</definedName>
    <definedName name="I바탕">[55]INVOICE!#REF!</definedName>
    <definedName name="ien">#REF!</definedName>
    <definedName name="II">#REF!</definedName>
    <definedName name="ⅡⅢⅣⅤⅥ_">#REF!</definedName>
    <definedName name="ij" localSheetId="2" hidden="1">{"롵뱒뙒묉덇",#N/A,FALSE,"BY IS"}</definedName>
    <definedName name="ij" hidden="1">{"롵뱒뙒묉덇",#N/A,FALSE,"BY IS"}</definedName>
    <definedName name="imc">#REF!</definedName>
    <definedName name="INDEX">#REF!</definedName>
    <definedName name="Infpol_Last_Y">#REF!</definedName>
    <definedName name="INS" localSheetId="2" hidden="1">{"롵뱒뙒묉덇",#N/A,FALSE,"BY IS"}</definedName>
    <definedName name="INS" hidden="1">{"롵뱒뙒묉덇",#N/A,FALSE,"BY IS"}</definedName>
    <definedName name="INV">#REF!</definedName>
    <definedName name="ioc">#REF!</definedName>
    <definedName name="IRELAND">#REF!</definedName>
    <definedName name="Ireland__ECU">#REF!</definedName>
    <definedName name="is" localSheetId="2">#REF!</definedName>
    <definedName name="is">#REF!</definedName>
    <definedName name="Italy">#REF!</definedName>
    <definedName name="ITALY_">#REF!</definedName>
    <definedName name="itc">#REF!</definedName>
    <definedName name="ITINERARY">[65]ITINERARY!$F$62</definedName>
    <definedName name="iue">#REF!,#REF!,#REF!,#REF!,#REF!,#REF!,#REF!,#REF!,#REF!,#REF!,#REF!</definedName>
    <definedName name="iuf" hidden="1">{"롵뱒뙒묉덇",#N/A,FALSE,"BY IS"}</definedName>
    <definedName name="iuy" hidden="1">{"롵뱒뙒묉덇",#N/A,FALSE,"BY IS"}</definedName>
    <definedName name="izh">#REF!</definedName>
    <definedName name="J" localSheetId="2">[55]INVOICE!#REF!</definedName>
    <definedName name="J">[56]INVOICE!#REF!</definedName>
    <definedName name="Japan">#REF!</definedName>
    <definedName name="JIFFIX">#N/A</definedName>
    <definedName name="JJ">#REF!</definedName>
    <definedName name="JK" localSheetId="2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OBTITLE">[37]Reference!$K$2:$K$43</definedName>
    <definedName name="JORIB">#N/A</definedName>
    <definedName name="K">'[62]#REF'!#REF!</definedName>
    <definedName name="KCM" hidden="1">{"롵뱒뙒묉덇",#N/A,FALSE,"BY IS"}</definedName>
    <definedName name="kim" localSheetId="2">'[66]VIP 골드 최종 리스트(0304)'!$A:$IV</definedName>
    <definedName name="kim">'[66]VIP 골드 최종 리스트(0304)'!$A$1:$IV$65536</definedName>
    <definedName name="KJS" hidden="1">{"롵뱒뙒묉덇",#N/A,FALSE,"BY IS"}</definedName>
    <definedName name="KK">#REF!</definedName>
    <definedName name="km">#REF!</definedName>
    <definedName name="KU" localSheetId="2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kx" hidden="1">'[5]#REF'!#REF!</definedName>
    <definedName name="KY">[67]계열사현황종합!$D$18</definedName>
    <definedName name="L">[46]협조전!#REF!</definedName>
    <definedName name="LA원가" localSheetId="2">[45]테크론!#REF!</definedName>
    <definedName name="LA원가">[41]테크론!#REF!</definedName>
    <definedName name="LABEL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3차서" localSheetId="2">일정표!LC3차서</definedName>
    <definedName name="LC3차서">[0]!LC3차서</definedName>
    <definedName name="ldc" localSheetId="2">[55]INVOICE!#REF!</definedName>
    <definedName name="ldc">[55]INVOICE!#REF!</definedName>
    <definedName name="lee">#REF!</definedName>
    <definedName name="LEVEL">#N/A</definedName>
    <definedName name="LIFO" localSheetId="3">BlankMacro1</definedName>
    <definedName name="LIFO" localSheetId="0">BlankMacro1</definedName>
    <definedName name="LIFO" localSheetId="2">BlankMacro1</definedName>
    <definedName name="LIFO">BlankMacro1</definedName>
    <definedName name="LINE검토2" localSheetId="2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EWAS">#N/A</definedName>
    <definedName name="LIST">#REF!</definedName>
    <definedName name="LLLLLLL">#REF!</definedName>
    <definedName name="LOC" localSheetId="2">#REF!</definedName>
    <definedName name="LOC">#REF!</definedName>
    <definedName name="LPBA109">#N/A</definedName>
    <definedName name="LPDK109">#N/A</definedName>
    <definedName name="lps" localSheetId="2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PS가동계획" localSheetId="3">[0]!BlankMacro1</definedName>
    <definedName name="LPS가동계획" localSheetId="0">[0]!BlankMacro1</definedName>
    <definedName name="LPS가동계획" localSheetId="2">[0]!BlankMacro1</definedName>
    <definedName name="LPS가동계획">[0]!BlankMacro1</definedName>
    <definedName name="LPVEN">#N/A</definedName>
    <definedName name="LPVEN1">#N/A</definedName>
    <definedName name="LPVEN2">#N/A</definedName>
    <definedName name="lrcp522">#REF!</definedName>
    <definedName name="LTR" localSheetId="2">#REF!</definedName>
    <definedName name="LTR">#REF!</definedName>
    <definedName name="LVL">#N/A</definedName>
    <definedName name="LWSUPPL">#N/A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행">#REF!</definedName>
    <definedName name="MA">[68]구동!#REF!</definedName>
    <definedName name="MAC">[69]신1!#REF!</definedName>
    <definedName name="Macro11">[70]Macro1!$I$1:$I$11</definedName>
    <definedName name="Macro3">[71]Macro2!$A$1</definedName>
    <definedName name="Macro6">#REF!</definedName>
    <definedName name="Managers">#REF!</definedName>
    <definedName name="MASC">[72]구동!#REF!</definedName>
    <definedName name="Masschedule">[73]major!#REF!</definedName>
    <definedName name="MATERIAL">#N/A</definedName>
    <definedName name="MB">[74]인원01!#REF!</definedName>
    <definedName name="mc">[75]구동!#REF!</definedName>
    <definedName name="MCVENDOR">#N/A</definedName>
    <definedName name="MCVENGB">#N/A</definedName>
    <definedName name="menu" localSheetId="2">#REF!</definedName>
    <definedName name="menu">#REF!</definedName>
    <definedName name="MH3_A">#REF!</definedName>
    <definedName name="mha">[55]INVOICE!#REF!</definedName>
    <definedName name="mhd">#REF!</definedName>
    <definedName name="MICRO">[76]명단!#REF!</definedName>
    <definedName name="MIPX3" localSheetId="2">일정표!MIPX3</definedName>
    <definedName name="MIPX3">[0]!MIPX3</definedName>
    <definedName name="mitsumori">#REF!</definedName>
    <definedName name="mkc">'[11]2월'!#REF!</definedName>
    <definedName name="mnc">#REF!</definedName>
    <definedName name="MODEL">#N/A</definedName>
    <definedName name="MONTHS">[37]Reference!$C$2:$C$14</definedName>
    <definedName name="Mq">'[77]소상 "1"'!#REF!</definedName>
    <definedName name="MS">#REF!</definedName>
    <definedName name="MSFSFF">#REF!</definedName>
    <definedName name="mtc">[35]INVOICE!#REF!</definedName>
    <definedName name="mud">#REF!</definedName>
    <definedName name="mus">#REF!</definedName>
    <definedName name="mws">#REF!</definedName>
    <definedName name="mxd">'[11]2월'!#REF!</definedName>
    <definedName name="mxnc">#REF!</definedName>
    <definedName name="myx">#REF!</definedName>
    <definedName name="MZ">[68]구동!#REF!</definedName>
    <definedName name="n" localSheetId="2">#REF!</definedName>
    <definedName name="n">#REF!</definedName>
    <definedName name="N행">#REF!</definedName>
    <definedName name="ncg">#REF!</definedName>
    <definedName name="NET" localSheetId="2">#REF!</definedName>
    <definedName name="NET">#REF!</definedName>
    <definedName name="Netherlands">#REF!</definedName>
    <definedName name="NETHERLDS">#REF!</definedName>
    <definedName name="NETWORK" localSheetId="2">[35]INVOICE!#REF!</definedName>
    <definedName name="NETWORK">[35]INVOICE!#REF!</definedName>
    <definedName name="NEWNO">#N/A</definedName>
    <definedName name="NEXT">#REF!</definedName>
    <definedName name="NEXTAVYR">#REF!</definedName>
    <definedName name="NO" localSheetId="2">#REF!</definedName>
    <definedName name="NO">#REF!</definedName>
    <definedName name="NOP">#N/A</definedName>
    <definedName name="Norway">#REF!</definedName>
    <definedName name="NOV" localSheetId="2">#REF!</definedName>
    <definedName name="NOV">#REF!</definedName>
    <definedName name="NS" localSheetId="2">#REF!</definedName>
    <definedName name="NS">#REF!</definedName>
    <definedName name="NUM">'[78]A-A'!$AH$2:$AO$250</definedName>
    <definedName name="NYC관광" localSheetId="2" hidden="1">{"롵뱒뙒묉덇",#N/A,FALSE,"BY IS"}</definedName>
    <definedName name="NYC관광" hidden="1">{"롵뱒뙒묉덇",#N/A,FALSE,"BY IS"}</definedName>
    <definedName name="O" localSheetId="2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O행">#REF!</definedName>
    <definedName name="ocn">[79]BCN!#REF!</definedName>
    <definedName name="OCT" localSheetId="2">#REF!</definedName>
    <definedName name="OCT">#REF!</definedName>
    <definedName name="odk">'[27]9710'!#REF!,'[27]9710'!#REF!,'[27]9710'!#REF!,'[27]9710'!#REF!,'[27]9710'!#REF!,'[27]9710'!#REF!,'[27]9710'!#REF!,'[27]9710'!#REF!,'[27]9710'!#REF!,'[27]9710'!#REF!,'[27]9710'!#REF!,'[27]9710'!#REF!,'[27]9710'!#REF!,'[27]9710'!$J$89,'[27]9710'!$K$89,'[27]9710'!$J$92:$J$93,'[27]9710'!$M$89,'[27]9710'!$N$89</definedName>
    <definedName name="OFFER" localSheetId="2">#REF!</definedName>
    <definedName name="OFFER">#REF!</definedName>
    <definedName name="ogm">[55]INVOICE!#REF!</definedName>
    <definedName name="ok" localSheetId="2" hidden="1">{"롵뱒뙒묉덇",#N/A,FALSE,"BY IS"}</definedName>
    <definedName name="ok" hidden="1">{"롵뱒뙒묉덇",#N/A,FALSE,"BY IS"}</definedName>
    <definedName name="okm">#REF!</definedName>
    <definedName name="OKW" hidden="1">{"롵뱒뙒묉덇",#N/A,FALSE,"BY IS"}</definedName>
    <definedName name="oooo112">#REF!</definedName>
    <definedName name="OS회의">#REF!</definedName>
    <definedName name="oud">#REF!</definedName>
    <definedName name="ous">#REF!</definedName>
    <definedName name="own">#REF!</definedName>
    <definedName name="p">[80]Ⅲ!#REF!</definedName>
    <definedName name="P3가공향상" localSheetId="2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행">#REF!</definedName>
    <definedName name="PACKAGE3" localSheetId="2" hidden="1">{#N/A,#N/A,FALSE,"단축1";#N/A,#N/A,FALSE,"단축2";#N/A,#N/A,FALSE,"단축3";#N/A,#N/A,FALSE,"장축";#N/A,#N/A,FALSE,"4WD"}</definedName>
    <definedName name="PACKAGE3" hidden="1">{#N/A,#N/A,FALSE,"단축1";#N/A,#N/A,FALSE,"단축2";#N/A,#N/A,FALSE,"단축3";#N/A,#N/A,FALSE,"장축";#N/A,#N/A,FALSE,"4WD"}</definedName>
    <definedName name="PAGE12">[81]세부추진!#REF!</definedName>
    <definedName name="PAGE13">[81]세부추진!#REF!</definedName>
    <definedName name="PAGE14">[81]세부추진!#REF!</definedName>
    <definedName name="PAGE15">[81]세부추진!#REF!</definedName>
    <definedName name="PAGE16">[81]세부추진!#REF!</definedName>
    <definedName name="PAGE17">[81]세부추진!#REF!</definedName>
    <definedName name="PANAL">#REF!</definedName>
    <definedName name="PAR" localSheetId="2">#REF!</definedName>
    <definedName name="PAR">#REF!</definedName>
    <definedName name="PARTNAME">#N/A</definedName>
    <definedName name="PARTNO">#N/A</definedName>
    <definedName name="pax" localSheetId="2">#REF!</definedName>
    <definedName name="pax">#REF!</definedName>
    <definedName name="PCM">#REF!</definedName>
    <definedName name="pdk">#REF!</definedName>
    <definedName name="PEICE">#N/A</definedName>
    <definedName name="PI" localSheetId="2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IK">#REF!</definedName>
    <definedName name="pitch" localSheetId="2">#REF!</definedName>
    <definedName name="pitch">#REF!</definedName>
    <definedName name="PJD">#REF!</definedName>
    <definedName name="PJM">'[27]9710'!#REF!,'[27]9710'!#REF!,'[27]9710'!#REF!,'[27]9710'!#REF!,'[27]9710'!#REF!,'[27]9710'!#REF!,'[27]9710'!#REF!,'[27]9710'!#REF!,'[27]9710'!#REF!,'[27]9710'!#REF!,'[27]9710'!#REF!,'[27]9710'!#REF!,'[27]9710'!#REF!,'[27]9710'!$J$89,'[27]9710'!$K$89,'[27]9710'!$J$92:$J$93,'[27]9710'!$M$89,'[27]9710'!$N$89</definedName>
    <definedName name="PKC">#REF!</definedName>
    <definedName name="PKM">'[11]2월'!#REF!</definedName>
    <definedName name="PLB" hidden="1">{"롵뱒뙒묉덇",#N/A,FALSE,"BY IS"}</definedName>
    <definedName name="PLD">#REF!</definedName>
    <definedName name="plmnv" hidden="1">{"롵뱒뙒묉덇",#N/A,FALSE,"BY IS"}</definedName>
    <definedName name="PM0tb0tb198tb32tb34rtOR132C13rt">[82]HCCE01!#REF!</definedName>
    <definedName name="PM0tb0tb198tb36tb37rtOR136C13rt">[82]HCCE01!#REF!</definedName>
    <definedName name="PM0tb0tb198tb36tb37rtOR136C14rt">[82]HCCE01!#REF!</definedName>
    <definedName name="PM0tb0tb198tb36tb38rtOR136C13rt">[82]HCCE01!#REF!</definedName>
    <definedName name="PMA">#N/A</definedName>
    <definedName name="PMCHURI">#N/A</definedName>
    <definedName name="po" localSheetId="3">BlankMacro1</definedName>
    <definedName name="po" localSheetId="0">BlankMacro1</definedName>
    <definedName name="po" localSheetId="2">BlankMacro1</definedName>
    <definedName name="po">BlankMacro1</definedName>
    <definedName name="POC">'[11]2월'!#REF!</definedName>
    <definedName name="poi" hidden="1">{"롵뱒뙒묉덇",#N/A,FALSE,"BY IS"}</definedName>
    <definedName name="POK">'[27]9705'!#REF!,'[27]9705'!#REF!</definedName>
    <definedName name="POL">#REF!</definedName>
    <definedName name="POlkpdpdukukprprrkrkrtMtbtbtb39">#REF!</definedName>
    <definedName name="POlkprprrkrkrkpdpdukukukukrtMtb">#REF!</definedName>
    <definedName name="POM">#REF!</definedName>
    <definedName name="POR1015C413rtPPOR1631C1520rtP">#REF!</definedName>
    <definedName name="POR137C13RTSC60L40RTM0TB0TB0TB0">[82]HCCE01!#REF!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ortugal">#REF!</definedName>
    <definedName name="Position">[83]Master!$D$13:$D$34</definedName>
    <definedName name="Post_Register">#REF!</definedName>
    <definedName name="Post_Regular">#REF!</definedName>
    <definedName name="pow" localSheetId="3">BlankMacro1</definedName>
    <definedName name="pow" localSheetId="0">BlankMacro1</definedName>
    <definedName name="pow" localSheetId="2">BlankMacro1</definedName>
    <definedName name="pow">BlankMacro1</definedName>
    <definedName name="powerpoint" localSheetId="3">BlankMacro1</definedName>
    <definedName name="powerpoint" localSheetId="0">BlankMacro1</definedName>
    <definedName name="powerpoint" localSheetId="2">BlankMacro1</definedName>
    <definedName name="powerpoint">BlankMacro1</definedName>
    <definedName name="PP" localSheetId="2">#REF!</definedName>
    <definedName name="PP">#REF!</definedName>
    <definedName name="PPK" localSheetId="2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l" hidden="1">{"롵뱒뙒묉덇",#N/A,FALSE,"BY IS"}</definedName>
    <definedName name="PPM">'[11]2월'!#REF!</definedName>
    <definedName name="ppp">#REF!</definedName>
    <definedName name="PPPPPPPP">#REF!</definedName>
    <definedName name="PQM">#REF!</definedName>
    <definedName name="PRC">#REF!</definedName>
    <definedName name="PRCA">#REF!</definedName>
    <definedName name="PREFIX">[37]Reference!$A$2:$A$9</definedName>
    <definedName name="PRICE">#N/A</definedName>
    <definedName name="Print" localSheetId="2">[82]조선!#REF!</definedName>
    <definedName name="Print">[82]조선!#REF!</definedName>
    <definedName name="_xlnm.Print_Area" localSheetId="2">#REF!</definedName>
    <definedName name="_xlnm.Print_Area">#REF!</definedName>
    <definedName name="Print_Area_MI">[84]CJ出欠リスト!#REF!</definedName>
    <definedName name="PRINT_AREA_MI1">'[85]계실5-1'!#REF!</definedName>
    <definedName name="Print_T" localSheetId="2">[82]조선!#REF!</definedName>
    <definedName name="Print_T">[82]조선!#REF!</definedName>
    <definedName name="_xlnm.Print_Titles">#N/A</definedName>
    <definedName name="PRINT_TITLES_MI">#REF!</definedName>
    <definedName name="Printcont" localSheetId="2">#REF!</definedName>
    <definedName name="Printcont">#REF!</definedName>
    <definedName name="Printinput" localSheetId="2">#REF!</definedName>
    <definedName name="Printinput">#REF!</definedName>
    <definedName name="PSAYAN">#N/A</definedName>
    <definedName name="PSMPLQ12C4LRTOR339C224RTMTBTBTB">#REF!</definedName>
    <definedName name="PUM">#REF!</definedName>
    <definedName name="Q">'[86]내수1.8GL'!#REF!</definedName>
    <definedName name="Q_MrOogane030120_2" localSheetId="2">#REF!</definedName>
    <definedName name="Q_MrOogane030120_2">#REF!</definedName>
    <definedName name="Q행">#REF!</definedName>
    <definedName name="qaz" hidden="1">{"롵뱒뙒묉덇",#N/A,FALSE,"BY IS"}</definedName>
    <definedName name="qid">'[11]2월'!#REF!</definedName>
    <definedName name="QIE" hidden="1">{"롵뱒뙒묉덇",#N/A,FALSE,"BY IS"}</definedName>
    <definedName name="QIW" hidden="1">{"롵뱒뙒묉덇",#N/A,FALSE,"BY IS"}</definedName>
    <definedName name="qjd">'[27]9705'!#REF!,'[27]9705'!#REF!</definedName>
    <definedName name="QKEK" localSheetId="2">#REF!</definedName>
    <definedName name="QKEK">#REF!</definedName>
    <definedName name="QKQH">'[87]2.대외공문'!#REF!</definedName>
    <definedName name="qlcm">#REF!</definedName>
    <definedName name="qod">[35]INVOICE!#REF!</definedName>
    <definedName name="qpd">#REF!</definedName>
    <definedName name="qpqpqpqpqpq" localSheetId="2" hidden="1">{"롵뱒뙒묉덇",#N/A,FALSE,"BY IS"}</definedName>
    <definedName name="qpqpqpqpqpq" hidden="1">{"롵뱒뙒묉덇",#N/A,FALSE,"BY IS"}</definedName>
    <definedName name="QQ">#REF!</definedName>
    <definedName name="QQQ">[88]전문품의!#REF!</definedName>
    <definedName name="qsheet">[89]대외공문!#REF!</definedName>
    <definedName name="QTY">#N/A</definedName>
    <definedName name="qud">#REF!</definedName>
    <definedName name="qudn">[90]대외공문!#REF!</definedName>
    <definedName name="qzqzqz10" localSheetId="2">#REF!</definedName>
    <definedName name="qzqzqz10">#REF!</definedName>
    <definedName name="qzqzqz11" localSheetId="2">#REF!</definedName>
    <definedName name="qzqzqz11">#REF!</definedName>
    <definedName name="qzqzqz12" localSheetId="2">#REF!</definedName>
    <definedName name="qzqzqz12">#REF!</definedName>
    <definedName name="qzqzqz13" localSheetId="2">#REF!</definedName>
    <definedName name="qzqzqz13">#REF!</definedName>
    <definedName name="qzqzqz14" localSheetId="2">#REF!</definedName>
    <definedName name="qzqzqz14">#REF!</definedName>
    <definedName name="qzqzqz15" localSheetId="2">#REF!</definedName>
    <definedName name="qzqzqz15">#REF!</definedName>
    <definedName name="qzqzqz16" localSheetId="2">#REF!</definedName>
    <definedName name="qzqzqz16">#REF!</definedName>
    <definedName name="qzqzqz17" localSheetId="2">#REF!</definedName>
    <definedName name="qzqzqz17">#REF!</definedName>
    <definedName name="qzqzqz18" localSheetId="2">#REF!</definedName>
    <definedName name="qzqzqz18">#REF!</definedName>
    <definedName name="qzqzqz19" localSheetId="2">#REF!</definedName>
    <definedName name="qzqzqz19">#REF!</definedName>
    <definedName name="qzqzqz20" localSheetId="2">#REF!</definedName>
    <definedName name="qzqzqz20">#REF!</definedName>
    <definedName name="qzqzqz21" localSheetId="2">#REF!</definedName>
    <definedName name="qzqzqz21">#REF!</definedName>
    <definedName name="qzqzqz22" localSheetId="2">#REF!</definedName>
    <definedName name="qzqzqz22">#REF!</definedName>
    <definedName name="qzqzqz23" localSheetId="2">#REF!</definedName>
    <definedName name="qzqzqz23">#REF!</definedName>
    <definedName name="qzqzqz24" localSheetId="2">#REF!</definedName>
    <definedName name="qzqzqz24">#REF!</definedName>
    <definedName name="qzqzqz25" localSheetId="2">#REF!</definedName>
    <definedName name="qzqzqz25">#REF!</definedName>
    <definedName name="qzqzqz26" localSheetId="2">#REF!</definedName>
    <definedName name="qzqzqz26">#REF!</definedName>
    <definedName name="qzqzqz27" localSheetId="2">#REF!</definedName>
    <definedName name="qzqzqz27">#REF!</definedName>
    <definedName name="qzqzqz28" localSheetId="2">#REF!</definedName>
    <definedName name="qzqzqz28">#REF!</definedName>
    <definedName name="qzqzqz29" localSheetId="2">#REF!</definedName>
    <definedName name="qzqzqz29">#REF!</definedName>
    <definedName name="qzqzqz30" localSheetId="2">#REF!</definedName>
    <definedName name="qzqzqz30">#REF!</definedName>
    <definedName name="qzqzqz31" localSheetId="2">#REF!</definedName>
    <definedName name="qzqzqz31">#REF!</definedName>
    <definedName name="qzqzqz32" localSheetId="2">#REF!</definedName>
    <definedName name="qzqzqz32">#REF!</definedName>
    <definedName name="qzqzqz6" localSheetId="2">#REF!</definedName>
    <definedName name="qzqzqz6">#REF!</definedName>
    <definedName name="qzqzqz7" localSheetId="2">#REF!</definedName>
    <definedName name="qzqzqz7">#REF!</definedName>
    <definedName name="qzqzqz8" localSheetId="2">#REF!</definedName>
    <definedName name="qzqzqz8">#REF!</definedName>
    <definedName name="qzqzqz9" localSheetId="2">#REF!</definedName>
    <definedName name="qzqzqz9">#REF!</definedName>
    <definedName name="R행">#REF!</definedName>
    <definedName name="RA">[91]구동!#REF!</definedName>
    <definedName name="range">[36]종목코드!$A$2:$B$845</definedName>
    <definedName name="RANK">#N/A</definedName>
    <definedName name="rate" localSheetId="2">#REF!</definedName>
    <definedName name="rate">#REF!</definedName>
    <definedName name="RATIO">#N/A</definedName>
    <definedName name="RATIO1">#N/A</definedName>
    <definedName name="record">[92]직원신상!#REF!</definedName>
    <definedName name="_xlnm.Recorder">#REF!</definedName>
    <definedName name="REMARK">#N/A</definedName>
    <definedName name="REST" localSheetId="2">[35]INVOICE!#REF!</definedName>
    <definedName name="REST">[35]INVOICE!#REF!</definedName>
    <definedName name="Restaurant">[29]data!$A$57:$B$77</definedName>
    <definedName name="rfv" hidden="1">{"롵뱒뙒묉덇",#N/A,FALSE,"BY IS"}</definedName>
    <definedName name="RH">#REF!</definedName>
    <definedName name="RKSK">'[93]2.대외공문'!#REF!</definedName>
    <definedName name="RNRDJ">[94]자체실적1Q!#REF!</definedName>
    <definedName name="ROUTING">'[11]2월'!#REF!</definedName>
    <definedName name="ROYALT">#N/A</definedName>
    <definedName name="RR">#REF!</definedName>
    <definedName name="rrr" hidden="1">{"롵뱒뙒묉덇",#N/A,FALSE,"BY IS"}</definedName>
    <definedName name="RRRRRRR" localSheetId="3">[0]!BlankMacro1</definedName>
    <definedName name="RRRRRRR" localSheetId="0">[0]!BlankMacro1</definedName>
    <definedName name="RRRRRRR" localSheetId="2">[0]!BlankMacro1</definedName>
    <definedName name="RRRRRRR">[0]!BlankMacro1</definedName>
    <definedName name="RT¿i≫e½ARTDKDK">#REF!</definedName>
    <definedName name="RT.RTDK">#REF!</definedName>
    <definedName name="RT울산시RTDKDK">#REF!</definedName>
    <definedName name="RTCL울산시RTDK">#REF!</definedName>
    <definedName name="RTCLCRCRCRCRCRCRDLRTDKDK">[92]직원신상!#REF!</definedName>
    <definedName name="RTCLDLRTDK">[92]직원신상!#REF!</definedName>
    <definedName name="RTCLSPRT">'[49]11'!#REF!</definedName>
    <definedName name="rtclsprtdk">#REF!</definedName>
    <definedName name="rtclsprtdkGMrtrt">#REF!</definedName>
    <definedName name="rtclsprtdkrtGMrtrt">#REF!</definedName>
    <definedName name="rtype">[29]data!$F$15:$F$18</definedName>
    <definedName name="RULE" localSheetId="2">[45]테크론!#REF!</definedName>
    <definedName name="RULE">[45]테크론!#REF!</definedName>
    <definedName name="ruswjr" localSheetId="2" hidden="1">{"롵뱒뙒묉덇",#N/A,FALSE,"BY IS"}</definedName>
    <definedName name="ruswjr" hidden="1">{"롵뱒뙒묉덇",#N/A,FALSE,"BY IS"}</definedName>
    <definedName name="S" localSheetId="2">[0]!BlankMacro1</definedName>
    <definedName name="s">'[11]2월'!#REF!</definedName>
    <definedName name="S행">#REF!</definedName>
    <definedName name="SAMPIL">#N/A</definedName>
    <definedName name="SAMPLE">#N/A</definedName>
    <definedName name="SCA">[34]봹뭫딈?!$B$1</definedName>
    <definedName name="SCB">[34]봹뭫딈?!$B$2</definedName>
    <definedName name="sdddd">#REF!</definedName>
    <definedName name="sde" hidden="1">{"롵뱒뙒묉덇",#N/A,FALSE,"BY IS"}</definedName>
    <definedName name="SE.NO">#N/A</definedName>
    <definedName name="SEIBIMAE">#REF!</definedName>
    <definedName name="SENG0">[95]engline!#REF!</definedName>
    <definedName name="SER">#N/A</definedName>
    <definedName name="SERINO">#N/A</definedName>
    <definedName name="set" hidden="1">{"롵뱒뙒묉덇",#N/A,FALSE,"BY IS"}</definedName>
    <definedName name="shd">[45]테크론!#REF!</definedName>
    <definedName name="Sheet1">#REF!</definedName>
    <definedName name="SIZE">[96]Sheet1!$H$1:$H$6</definedName>
    <definedName name="SK" localSheetId="2" hidden="1">{"롵뱒뙒묉덇",#N/A,FALSE,"BY IS"}</definedName>
    <definedName name="SK" hidden="1">{"롵뱒뙒묉덇",#N/A,FALSE,"BY IS"}</definedName>
    <definedName name="skk" hidden="1">{"롵뱒뙒묉덇",#N/A,FALSE,"BY IS"}</definedName>
    <definedName name="SLA">[34]봹뭫딈?!$B$3</definedName>
    <definedName name="SLB">[34]봹뭫딈?!$D$3</definedName>
    <definedName name="sld">'[27]9710'!#REF!,'[27]9710'!#REF!,'[27]9710'!#REF!,'[27]9710'!#REF!,'[27]9710'!#REF!,'[27]9710'!#REF!,'[27]9710'!#REF!,'[27]9710'!#REF!,'[27]9710'!#REF!,'[27]9710'!#REF!,'[27]9710'!#REF!,'[27]9710'!#REF!,'[27]9710'!#REF!,'[27]9710'!$J$89,'[27]9710'!$K$89,'[27]9710'!$J$92:$J$93,'[27]9710'!$M$89,'[27]9710'!$N$89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od">#REF!</definedName>
    <definedName name="SOJAE">#N/A</definedName>
    <definedName name="Spain">#REF!</definedName>
    <definedName name="SPEC_ASST_YN">[37]Reference!$J$2:$J$4</definedName>
    <definedName name="Specialty">[83]Master!$A$13:$A$88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RC">#REF!</definedName>
    <definedName name="SS" localSheetId="2">#REF!</definedName>
    <definedName name="SS">#REF!</definedName>
    <definedName name="SSEOLB">#N/A</definedName>
    <definedName name="sss">#REF!</definedName>
    <definedName name="starlist" localSheetId="2">#REF!</definedName>
    <definedName name="starlist">#REF!</definedName>
    <definedName name="STATEPROV">[37]Reference!$E$2:$E$66</definedName>
    <definedName name="SUF">#N/A</definedName>
    <definedName name="SUNAPS">#N/A</definedName>
    <definedName name="SUNNY" localSheetId="2">'[27]9710'!#REF!,'[27]9710'!#REF!,'[27]9710'!#REF!,'[27]9710'!#REF!,'[27]9710'!#REF!,'[27]9710'!#REF!,'[27]9710'!#REF!,'[27]9710'!#REF!,'[27]9710'!#REF!,'[27]9710'!#REF!,'[27]9710'!#REF!,'[27]9710'!#REF!,'[27]9710'!#REF!,'[27]9710'!$J$89,'[27]9710'!$K$89,'[27]9710'!$J$92:$J$93,'[27]9710'!$M$89,'[27]9710'!$N$89</definedName>
    <definedName name="SUNNY">'[97]9710'!#REF!,'[97]9710'!#REF!,'[97]9710'!#REF!,'[97]9710'!#REF!,'[97]9710'!#REF!,'[97]9710'!#REF!,'[97]9710'!#REF!,'[97]9710'!#REF!,'[97]9710'!#REF!,'[97]9710'!#REF!,'[97]9710'!#REF!,'[97]9710'!#REF!,'[97]9710'!#REF!,'[97]9710'!$J$89,'[97]9710'!$K$89,'[97]9710'!$J$92:$J$93,'[97]9710'!$M$89,'[97]9710'!$N$89</definedName>
    <definedName name="Sweden">#REF!</definedName>
    <definedName name="SWITZ">#REF!</definedName>
    <definedName name="Switzerland">#REF!</definedName>
    <definedName name="T" localSheetId="3">[0]!BlankMacro1</definedName>
    <definedName name="T" localSheetId="0">[0]!BlankMacro1</definedName>
    <definedName name="T" localSheetId="2">[0]!BlankMacro1</definedName>
    <definedName name="T">[0]!BlankMacro1</definedName>
    <definedName name="T행">#REF!</definedName>
    <definedName name="TA" localSheetId="3">BlankMacro1</definedName>
    <definedName name="TA" localSheetId="0">BlankMacro1</definedName>
    <definedName name="TA" localSheetId="2">BlankMacro1</definedName>
    <definedName name="TA">BlankMacro1</definedName>
    <definedName name="tableD" localSheetId="2">#REF!</definedName>
    <definedName name="tableD">#REF!</definedName>
    <definedName name="tableE">#N/A</definedName>
    <definedName name="tableF" localSheetId="2">#REF!</definedName>
    <definedName name="tableF">#REF!</definedName>
    <definedName name="TEAM">[98]계정!$E$3:$F$102</definedName>
    <definedName name="temp">#REF!</definedName>
    <definedName name="test1">#REF!</definedName>
    <definedName name="tgb" hidden="1">{"롵뱒뙒묉덇",#N/A,FALSE,"BY IS"}</definedName>
    <definedName name="THEME_CODE">'[99]THEME CODE'!$B$1:$F$1000</definedName>
    <definedName name="THEME2" localSheetId="2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d">#REF!</definedName>
    <definedName name="Title">#REF!</definedName>
    <definedName name="tlfwjr3">#REF!</definedName>
    <definedName name="TM" localSheetId="2">일정표!TM</definedName>
    <definedName name="TM">[0]!TM</definedName>
    <definedName name="TOT" localSheetId="2">#REF!</definedName>
    <definedName name="TOT">#REF!</definedName>
    <definedName name="tpdk" hidden="1">{"롵뱒뙒묉덇",#N/A,FALSE,"BY IS"}</definedName>
    <definedName name="train" localSheetId="2">#REF!</definedName>
    <definedName name="train">#REF!</definedName>
    <definedName name="tre" hidden="1">{"롵뱒뙒묉덇",#N/A,FALSE,"BY IS"}</definedName>
    <definedName name="TREND">#REF!</definedName>
    <definedName name="Trend_Rates">#REF!</definedName>
    <definedName name="TT" localSheetId="3">[0]!BlankMacro1</definedName>
    <definedName name="TT" localSheetId="0">[0]!BlankMacro1</definedName>
    <definedName name="TT" localSheetId="2">[0]!BlankMacro1</definedName>
    <definedName name="TT">[0]!BlankMacro1</definedName>
    <definedName name="TTLWEI">#N/A</definedName>
    <definedName name="ttt" hidden="1">{"롵뱒뙒묉덇",#N/A,FALSE,"BY IS"}</definedName>
    <definedName name="TTTTTTT" localSheetId="3">[0]!BlankMacro1</definedName>
    <definedName name="TTTTTTT" localSheetId="0">[0]!BlankMacro1</definedName>
    <definedName name="TTTTTTT" localSheetId="2">[0]!BlankMacro1</definedName>
    <definedName name="TTTTTTT">[0]!BlankMacro1</definedName>
    <definedName name="TY">#REF!</definedName>
    <definedName name="U" localSheetId="3">[0]!BlankMacro1</definedName>
    <definedName name="U" localSheetId="0">[0]!BlankMacro1</definedName>
    <definedName name="U" localSheetId="2">[0]!BlankMacro1</definedName>
    <definedName name="U">[0]!BlankMacro1</definedName>
    <definedName name="U행">#REF!</definedName>
    <definedName name="uc샌디에고">#REF!</definedName>
    <definedName name="ucc">#REF!</definedName>
    <definedName name="uic">[47]일정!#REF!</definedName>
    <definedName name="UJE" hidden="1">{"롵뱒뙒묉덇",#N/A,FALSE,"BY IS"}</definedName>
    <definedName name="ukd">#REF!</definedName>
    <definedName name="UKKIT수출" localSheetId="2">'[100]uk kit 해외매출'!$A$6:$F$11</definedName>
    <definedName name="UKKIT수출">'[90]uk kit 해외매출'!$A$6:$F$11</definedName>
    <definedName name="us">#REF!</definedName>
    <definedName name="UTILITY_SPECIFICATION">#REF!</definedName>
    <definedName name="uu">#REF!</definedName>
    <definedName name="uuu" hidden="1">{"롵뱒뙒묉덇",#N/A,FALSE,"BY IS"}</definedName>
    <definedName name="V" localSheetId="2">#REF!</definedName>
    <definedName name="V">#REF!</definedName>
    <definedName name="V행">#REF!</definedName>
    <definedName name="vbf">#REF!</definedName>
    <definedName name="VENHUBO">#N/A</definedName>
    <definedName name="VGENDER">[37]Reference!$H$2:$H$4</definedName>
    <definedName name="VISA">[37]Reference!$G$2:$G$4</definedName>
    <definedName name="vital1" localSheetId="2">#REF!</definedName>
    <definedName name="vital1">#REF!</definedName>
    <definedName name="vital2" localSheetId="2">#REF!</definedName>
    <definedName name="vital2">#REF!</definedName>
    <definedName name="vital4" localSheetId="2">#REF!</definedName>
    <definedName name="vital4">#REF!</definedName>
    <definedName name="vital5" localSheetId="2">#REF!</definedName>
    <definedName name="vital5">#REF!</definedName>
    <definedName name="vital6" localSheetId="2">#REF!</definedName>
    <definedName name="vital6">#REF!</definedName>
    <definedName name="vital8" localSheetId="2">#REF!</definedName>
    <definedName name="vital8">#REF!</definedName>
    <definedName name="vital9" localSheetId="2">#REF!</definedName>
    <definedName name="vital9">#REF!</definedName>
    <definedName name="VOPTIONS">[37]Reference!$I$2:$I$5</definedName>
    <definedName name="vsdm">#REF!</definedName>
    <definedName name="VSUMCL">[3]현금경비중역!#REF!</definedName>
    <definedName name="VUKUK1DKDK">#REF!</definedName>
    <definedName name="VUKUK1RTDKDK">#REF!</definedName>
    <definedName name="VV">#REF!</definedName>
    <definedName name="VVV">#REF!</definedName>
    <definedName name="W">#REF!</definedName>
    <definedName name="W행" localSheetId="2">[90]대외공문!#REF!</definedName>
    <definedName name="W행">[90]대외공문!#REF!</definedName>
    <definedName name="WCa">'[21]2.대외공문'!#REF!</definedName>
    <definedName name="WEIGHT">#N/A</definedName>
    <definedName name="wet" hidden="1">{"롵뱒뙒묉덇",#N/A,FALSE,"BY IS"}</definedName>
    <definedName name="wid" hidden="1">{"롵뱒뙒묉덇",#N/A,FALSE,"BY IS"}</definedName>
    <definedName name="wkworhgk" localSheetId="2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ANS" localSheetId="2">[45]테크론!#REF!</definedName>
    <definedName name="WNANS">[41]테크론!#REF!</definedName>
    <definedName name="wnd" localSheetId="2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n" localSheetId="2" hidden="1">{#N/A,#N/A,FALSE,"단축1";#N/A,#N/A,FALSE,"단축2";#N/A,#N/A,FALSE,"단축3";#N/A,#N/A,FALSE,"장축";#N/A,#N/A,FALSE,"4WD"}</definedName>
    <definedName name="wrn" hidden="1">{#N/A,#N/A,FALSE,"단축1";#N/A,#N/A,FALSE,"단축2";#N/A,#N/A,FALSE,"단축3";#N/A,#N/A,FALSE,"장축";#N/A,#N/A,FALSE,"4WD"}</definedName>
    <definedName name="wrn.345." localSheetId="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전부인쇄." localSheetId="2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PRINT._.OUT." localSheetId="2" hidden="1">{"롵뱒뙒묉덇",#N/A,FALSE,"BY IS"}</definedName>
    <definedName name="wrn.PRINT._.OUT." hidden="1">{"롵뱒뙒묉덇",#N/A,FALSE,"BY IS"}</definedName>
    <definedName name="wrn.Y차._.종합." localSheetId="2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w">#REF!</definedName>
    <definedName name="WWWW" localSheetId="3">[0]!BlankMacro1</definedName>
    <definedName name="WWWW" localSheetId="0">[0]!BlankMacro1</definedName>
    <definedName name="WWWW" localSheetId="2">[0]!BlankMacro1</definedName>
    <definedName name="WWWW">[0]!BlankMacro1</definedName>
    <definedName name="X" hidden="1">{"롵뱒뙒묉덇",#N/A,FALSE,"BY IS"}</definedName>
    <definedName name="X행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w" hidden="1">{"롵뱒뙒묉덇",#N/A,FALSE,"BY IS"}</definedName>
    <definedName name="XG액션">#REF!</definedName>
    <definedName name="xhd" localSheetId="2">#REF!</definedName>
    <definedName name="xhd">#REF!</definedName>
    <definedName name="xkd">#REF!</definedName>
    <definedName name="xx">#REF!</definedName>
    <definedName name="Y" localSheetId="3">[0]!BlankMacro1</definedName>
    <definedName name="Y" localSheetId="0">[0]!BlankMacro1</definedName>
    <definedName name="Y" localSheetId="2">[0]!BlankMacro1</definedName>
    <definedName name="Y">[0]!BlankMacro1</definedName>
    <definedName name="YEARS">[37]Reference!$D$2:$D$103</definedName>
    <definedName name="YEN1">#REF!</definedName>
    <definedName name="yhn" hidden="1">{"롵뱒뙒묉덇",#N/A,FALSE,"BY IS"}</definedName>
    <definedName name="yie">[90]대외공문!#REF!</definedName>
    <definedName name="yow" hidden="1">{"롵뱒뙒묉덇",#N/A,FALSE,"BY IS"}</definedName>
    <definedName name="yr0">#REF!</definedName>
    <definedName name="ytr" hidden="1">{"롵뱒뙒묉덇",#N/A,FALSE,"BY IS"}</definedName>
    <definedName name="yue" hidden="1">{"롵뱒뙒묉덇",#N/A,FALSE,"BY IS"}</definedName>
    <definedName name="YULCHURI">#N/A</definedName>
    <definedName name="yy">#REF!</definedName>
    <definedName name="yyi">[90]대외공문!#REF!</definedName>
    <definedName name="YYY" localSheetId="2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YYYYY" localSheetId="3">[0]!BlankMacro1</definedName>
    <definedName name="YYYYYYYYY" localSheetId="0">[0]!BlankMacro1</definedName>
    <definedName name="YYYYYYYYY" localSheetId="2">[0]!BlankMacro1</definedName>
    <definedName name="YYYYYYYYY">[0]!BlankMacro1</definedName>
    <definedName name="z" localSheetId="2">#REF!</definedName>
    <definedName name="z">#REF!</definedName>
    <definedName name="Z_8EBD0460_4FA1_11D7_849B_000102586B50_.wvu.FilterData" hidden="1">#REF!</definedName>
    <definedName name="Z_E295AFE2_513B_11D7_892B_0004758C79A8_.wvu.FilterData" hidden="1">#REF!</definedName>
    <definedName name="Z_E295AFE2_513B_11D7_892B_0004758C79A8_.wvu.PrintArea" hidden="1">#REF!</definedName>
    <definedName name="Z_E295AFE2_513B_11D7_892B_0004758C79A8_.wvu.PrintTitles" hidden="1">#REF!</definedName>
    <definedName name="zds" hidden="1">{"롵뱒뙒묉덇",#N/A,FALSE,"BY IS"}</definedName>
    <definedName name="zid">#REF!</definedName>
    <definedName name="zkd">#REF!</definedName>
    <definedName name="ZTQTY">#N/A</definedName>
    <definedName name="ZUD" hidden="1">{"롵뱒뙒묉덇",#N/A,FALSE,"BY IS"}</definedName>
    <definedName name="ZZ">#REF!</definedName>
    <definedName name="zzz" hidden="1">{"롵뱒뙒묉덇",#N/A,FALSE,"BY IS"}</definedName>
    <definedName name="α">#REF!</definedName>
    <definedName name="β">#REF!</definedName>
    <definedName name="γ">#REF!</definedName>
    <definedName name="グループ">#REF!</definedName>
    <definedName name="ごるふ">#REF!</definedName>
    <definedName name="ｺﾞﾙﾌ組">#REF!</definedName>
    <definedName name="ｺﾞﾙﾌ組合">#REF!</definedName>
    <definedName name="ｺﾞﾙﾌ組合2">#REF!</definedName>
    <definedName name="ゴルフ組み合わせ">#REF!</definedName>
    <definedName name="ｺﾞﾙﾌくみ">#REF!</definedName>
    <definedName name="タイプ">[101]マスター!$A$20:$B$24</definedName>
    <definedName name="ﾊﾝｲ20">[102]名簿!#REF!</definedName>
    <definedName name="ﾊﾝｲ5">[102]名簿!#REF!</definedName>
    <definedName name="ﾊﾝｲ6">[102]名簿!#REF!</definedName>
    <definedName name="プレー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5" l="1"/>
  <c r="B21" i="25" s="1"/>
  <c r="B12" i="25"/>
  <c r="B20" i="25" s="1"/>
  <c r="B27" i="25" s="1"/>
  <c r="B37" i="25" s="1"/>
  <c r="B45" i="25" s="1"/>
  <c r="B55" i="25" s="1"/>
  <c r="B59" i="25" s="1"/>
  <c r="B6" i="25"/>
  <c r="B28" i="25" l="1"/>
  <c r="B22" i="25"/>
  <c r="B14" i="25"/>
  <c r="B38" i="25" l="1"/>
  <c r="B29" i="25"/>
  <c r="B39" i="25" l="1"/>
  <c r="B46" i="25"/>
  <c r="B56" i="25" l="1"/>
  <c r="B47" i="25"/>
  <c r="B57" i="25" l="1"/>
  <c r="B60" i="25"/>
  <c r="B61" i="25" s="1"/>
  <c r="H28" i="24"/>
  <c r="L28" i="24" s="1"/>
  <c r="J42" i="24"/>
  <c r="J43" i="24"/>
  <c r="L43" i="24" s="1"/>
  <c r="J32" i="24"/>
  <c r="L37" i="12" l="1"/>
  <c r="J34" i="24"/>
  <c r="L47" i="24" l="1"/>
  <c r="L37" i="24"/>
  <c r="H64" i="24"/>
  <c r="L59" i="24"/>
  <c r="L54" i="24"/>
  <c r="E63" i="24" s="1"/>
  <c r="J33" i="24"/>
  <c r="J12" i="24"/>
  <c r="J11" i="24"/>
  <c r="L11" i="24" s="1"/>
  <c r="L10" i="24"/>
  <c r="C10" i="24"/>
  <c r="C12" i="24" s="1"/>
  <c r="H5" i="24"/>
  <c r="L12" i="24" l="1"/>
  <c r="J14" i="24"/>
  <c r="L41" i="24"/>
  <c r="E60" i="24" s="1"/>
  <c r="J13" i="24"/>
  <c r="L50" i="24"/>
  <c r="E62" i="24" s="1"/>
  <c r="L33" i="24"/>
  <c r="C14" i="24"/>
  <c r="C16" i="24" s="1"/>
  <c r="C18" i="24" s="1"/>
  <c r="C20" i="24" s="1"/>
  <c r="C22" i="24" s="1"/>
  <c r="L32" i="24"/>
  <c r="L14" i="24" l="1"/>
  <c r="J16" i="24"/>
  <c r="L13" i="24"/>
  <c r="J15" i="24"/>
  <c r="L16" i="24" l="1"/>
  <c r="J18" i="24"/>
  <c r="L15" i="24"/>
  <c r="J17" i="24"/>
  <c r="E18" i="15"/>
  <c r="E21" i="15" s="1"/>
  <c r="E23" i="15" s="1"/>
  <c r="E24" i="15" s="1"/>
  <c r="F23" i="15" s="1"/>
  <c r="L18" i="24" l="1"/>
  <c r="J20" i="24"/>
  <c r="L20" i="24" s="1"/>
  <c r="L17" i="24"/>
  <c r="J19" i="24"/>
  <c r="L34" i="24"/>
  <c r="L42" i="24"/>
  <c r="L46" i="24" s="1"/>
  <c r="E61" i="24" s="1"/>
  <c r="R37" i="12"/>
  <c r="A15" i="6"/>
  <c r="A29" i="6" s="1"/>
  <c r="A38" i="6" s="1"/>
  <c r="A54" i="6" s="1"/>
  <c r="A69" i="6" s="1"/>
  <c r="L36" i="24" l="1"/>
  <c r="E59" i="24" s="1"/>
  <c r="L19" i="24"/>
  <c r="J21" i="24"/>
  <c r="L21" i="24" s="1"/>
  <c r="L30" i="24" s="1"/>
  <c r="E58" i="24" l="1"/>
  <c r="H59" i="24" s="1"/>
  <c r="H62" i="24" s="1"/>
  <c r="H65" i="24" s="1"/>
</calcChain>
</file>

<file path=xl/sharedStrings.xml><?xml version="1.0" encoding="utf-8"?>
<sst xmlns="http://schemas.openxmlformats.org/spreadsheetml/2006/main" count="402" uniqueCount="283">
  <si>
    <t>East Travel World</t>
  </si>
  <si>
    <t>2160 North Central Road, Suite 203C,</t>
  </si>
  <si>
    <t>Fort Lee, NJ 07024</t>
  </si>
  <si>
    <t>(201) 899-9359</t>
  </si>
  <si>
    <t>Invoice</t>
  </si>
  <si>
    <t>Submitted on</t>
  </si>
  <si>
    <t>Project</t>
    <phoneticPr fontId="10" type="noConversion"/>
  </si>
  <si>
    <t>Invoice #</t>
  </si>
  <si>
    <t>Invoice for</t>
  </si>
  <si>
    <t>Payable to</t>
  </si>
  <si>
    <t>East Travel World LLC</t>
    <phoneticPr fontId="10" type="noConversion"/>
  </si>
  <si>
    <t>Exchange Rate</t>
    <phoneticPr fontId="7" type="noConversion"/>
  </si>
  <si>
    <t>Description</t>
  </si>
  <si>
    <t>Qty</t>
  </si>
  <si>
    <t>Unit price</t>
  </si>
  <si>
    <t>Total price</t>
  </si>
  <si>
    <t>Blank Below</t>
  </si>
  <si>
    <t xml:space="preserve">Notes: </t>
  </si>
  <si>
    <t>Subtotal</t>
  </si>
  <si>
    <t xml:space="preserve"> Deposit</t>
  </si>
  <si>
    <t>Balance Due</t>
    <phoneticPr fontId="9" type="noConversion"/>
  </si>
  <si>
    <t>KRW</t>
  </si>
  <si>
    <t>Company Name</t>
    <phoneticPr fontId="9" type="noConversion"/>
  </si>
  <si>
    <t>East Travel World LLC</t>
    <phoneticPr fontId="9" type="noConversion"/>
  </si>
  <si>
    <t>Name of Bank</t>
    <phoneticPr fontId="9" type="noConversion"/>
  </si>
  <si>
    <t>Chase Bank</t>
    <phoneticPr fontId="9" type="noConversion"/>
  </si>
  <si>
    <t>Bank Address</t>
    <phoneticPr fontId="9" type="noConversion"/>
  </si>
  <si>
    <r>
      <t xml:space="preserve">188-190 Main St, Fort Lee, NJ 07024 / Fort Lee, NJ </t>
    </r>
    <r>
      <rPr>
        <sz val="9"/>
        <color theme="1"/>
        <rFont val="Arial Unicode MS"/>
        <family val="2"/>
        <charset val="129"/>
      </rPr>
      <t>지점</t>
    </r>
  </si>
  <si>
    <t>Account Number</t>
    <phoneticPr fontId="9" type="noConversion"/>
  </si>
  <si>
    <t>Swift Code</t>
    <phoneticPr fontId="9" type="noConversion"/>
  </si>
  <si>
    <t>CHASUS33</t>
    <phoneticPr fontId="9" type="noConversion"/>
  </si>
  <si>
    <t>Routing Number</t>
    <phoneticPr fontId="9" type="noConversion"/>
  </si>
  <si>
    <t>021202337</t>
    <phoneticPr fontId="9" type="noConversion"/>
  </si>
  <si>
    <t>2160 North Central Rd. Suite 203C, Fort Lee, NJ 07024</t>
  </si>
  <si>
    <t>Tel. NewYork +1-201-899-9359 / +82-2-720-4160 / www.easttravel.co.kr</t>
  </si>
  <si>
    <t>확 정 서</t>
    <phoneticPr fontId="42" type="noConversion"/>
  </si>
  <si>
    <t>의뢰처</t>
  </si>
  <si>
    <t>하나투어 미주상품팀</t>
  </si>
  <si>
    <t>행사코드#</t>
  </si>
  <si>
    <t>의뢰인/담당자</t>
    <phoneticPr fontId="42" type="noConversion"/>
  </si>
  <si>
    <t>오현주 선임님</t>
  </si>
  <si>
    <t>확정일</t>
  </si>
  <si>
    <t xml:space="preserve">견적기준 </t>
    <phoneticPr fontId="41" type="noConversion"/>
  </si>
  <si>
    <t>행 사 명</t>
  </si>
  <si>
    <t>행사기간(현지기준)</t>
    <phoneticPr fontId="42" type="noConversion"/>
  </si>
  <si>
    <t xml:space="preserve">행사 인원
및 기준 금액                                                                                                                                                                         </t>
  </si>
  <si>
    <t>총인원</t>
  </si>
  <si>
    <t>객실수</t>
  </si>
  <si>
    <t>차량</t>
    <phoneticPr fontId="42" type="noConversion"/>
  </si>
  <si>
    <t>1인금액 (USD)</t>
  </si>
  <si>
    <t>총금액 (USD)</t>
  </si>
  <si>
    <r>
      <rPr>
        <b/>
        <sz val="9"/>
        <color indexed="8"/>
        <rFont val="나눔스퀘어"/>
        <family val="3"/>
        <charset val="129"/>
      </rPr>
      <t xml:space="preserve">· </t>
    </r>
    <r>
      <rPr>
        <sz val="9"/>
        <color indexed="8"/>
        <rFont val="나눔스퀘어"/>
        <family val="3"/>
        <charset val="129"/>
      </rPr>
      <t>전 일정 단독 행사 기준</t>
    </r>
  </si>
  <si>
    <r>
      <rPr>
        <b/>
        <sz val="9"/>
        <color indexed="8"/>
        <rFont val="나눔스퀘어"/>
        <family val="3"/>
        <charset val="129"/>
      </rPr>
      <t xml:space="preserve">· </t>
    </r>
    <r>
      <rPr>
        <sz val="9"/>
        <color indexed="8"/>
        <rFont val="나눔스퀘어"/>
        <family val="3"/>
        <charset val="129"/>
      </rPr>
      <t>식사: 상세견적 참조</t>
    </r>
  </si>
  <si>
    <r>
      <rPr>
        <b/>
        <sz val="9"/>
        <color indexed="8"/>
        <rFont val="나눔스퀘어"/>
        <family val="3"/>
        <charset val="129"/>
      </rPr>
      <t xml:space="preserve">· </t>
    </r>
    <r>
      <rPr>
        <sz val="9"/>
        <color indexed="8"/>
        <rFont val="나눔스퀘어"/>
        <family val="3"/>
        <charset val="129"/>
      </rPr>
      <t xml:space="preserve">입장료: </t>
    </r>
  </si>
  <si>
    <r>
      <rPr>
        <b/>
        <sz val="9"/>
        <color indexed="8"/>
        <rFont val="나눔스퀘어"/>
        <family val="3"/>
        <charset val="129"/>
      </rPr>
      <t xml:space="preserve">· </t>
    </r>
    <r>
      <rPr>
        <sz val="9"/>
        <color indexed="8"/>
        <rFont val="나눔스퀘어"/>
        <family val="3"/>
        <charset val="129"/>
      </rPr>
      <t xml:space="preserve">기타: </t>
    </r>
  </si>
  <si>
    <t>· 전일정 가이드팁, 기사팁 포함</t>
  </si>
  <si>
    <t xml:space="preserve">상세 조건 </t>
  </si>
  <si>
    <t>호         텔</t>
    <phoneticPr fontId="41" type="noConversion"/>
  </si>
  <si>
    <t>견적 참조</t>
  </si>
  <si>
    <t>식         사</t>
    <phoneticPr fontId="41" type="noConversion"/>
  </si>
  <si>
    <t>차         량</t>
    <phoneticPr fontId="41" type="noConversion"/>
  </si>
  <si>
    <t>견적 참조 / * 10시간 운행 기준으로  추가 사용시 시간당 $200 추가</t>
  </si>
  <si>
    <t>가   이    드</t>
  </si>
  <si>
    <t>한국어&amp;영어 가능  가이드</t>
  </si>
  <si>
    <t>입   장   료</t>
    <phoneticPr fontId="41" type="noConversion"/>
  </si>
  <si>
    <t>불포함사항</t>
  </si>
  <si>
    <t>항공료, 수화물비용, 여행자보험, ESTA, ETA, 매너팁(호텔, 포터), 기타 개인 경비 등 일체</t>
    <phoneticPr fontId="42" type="noConversion"/>
  </si>
  <si>
    <t>결제 조건</t>
  </si>
  <si>
    <r>
      <t>결제일 및 금액</t>
    </r>
    <r>
      <rPr>
        <sz val="8"/>
        <color indexed="60"/>
        <rFont val="Cambria"/>
        <family val="3"/>
        <charset val="129"/>
      </rPr>
      <t xml:space="preserve">
(부가세 불포함, 
은행송금 결제 조건)</t>
    </r>
  </si>
  <si>
    <t>계약금(①)</t>
  </si>
  <si>
    <t>잔금(②)</t>
  </si>
  <si>
    <t>총금액(①+②)</t>
  </si>
  <si>
    <t>현지 연락처</t>
  </si>
  <si>
    <t>현장 가이드</t>
  </si>
  <si>
    <t>뉴욕 사무실</t>
  </si>
  <si>
    <t>황정후 이사  +1-201-893-2015</t>
  </si>
  <si>
    <t>BREAKDOWN</t>
    <phoneticPr fontId="8" type="noConversion"/>
  </si>
  <si>
    <t>행사명</t>
  </si>
  <si>
    <t>(QH00603196001)미동부학교방문 송도글로벌캠퍼스</t>
  </si>
  <si>
    <t>인원</t>
  </si>
  <si>
    <t>FOC</t>
  </si>
  <si>
    <t>총방수</t>
  </si>
  <si>
    <t>행사기간</t>
  </si>
  <si>
    <t>~</t>
  </si>
  <si>
    <t>총박수</t>
  </si>
  <si>
    <t>2트윈</t>
  </si>
  <si>
    <t>차량</t>
  </si>
  <si>
    <t>7인승 미니밴 1대 (드라이빙가이드 1인)</t>
  </si>
  <si>
    <t>DESCRIPTION</t>
    <phoneticPr fontId="10" type="noConversion"/>
  </si>
  <si>
    <t>RATES</t>
  </si>
  <si>
    <t>TTL</t>
  </si>
  <si>
    <t>REMARKS</t>
  </si>
  <si>
    <t>P/RM OR RATE</t>
  </si>
  <si>
    <t>N/TIMES</t>
  </si>
  <si>
    <t>RMS/PAX</t>
  </si>
  <si>
    <t>호텔</t>
  </si>
  <si>
    <t>Springhill By Marriott Centreville/Chantilly또는 동급</t>
  </si>
  <si>
    <t>방</t>
    <phoneticPr fontId="10" type="noConversion"/>
  </si>
  <si>
    <t>IAD/워싱턴</t>
  </si>
  <si>
    <t>조식: 호텔식 포함</t>
  </si>
  <si>
    <t>명</t>
    <phoneticPr fontId="10" type="noConversion"/>
  </si>
  <si>
    <t>워싱턴</t>
  </si>
  <si>
    <t>Hilton Garden Inn Ridgefield Park 또는 동급</t>
  </si>
  <si>
    <t>뉴욕/뉴저지</t>
  </si>
  <si>
    <t>Sheraton Boston Needham Hotel 또는 동급</t>
    <phoneticPr fontId="7" type="noConversion"/>
  </si>
  <si>
    <t>보스턴</t>
  </si>
  <si>
    <t>Sheraton Boston Needham Hotel 또는 동급</t>
  </si>
  <si>
    <t>센딩</t>
  </si>
  <si>
    <t>BOS</t>
  </si>
  <si>
    <t>※ 위 요금은 2/4(화)까지 유효한 요금이며 이후 요금 변동 될 수 있습니다.</t>
  </si>
  <si>
    <t>※ 현재 홀드하고 있는 룸블럭은 없으며 여권상 영문이름이 있어야 호텔 예약이 가능합니다.</t>
  </si>
  <si>
    <t>Hilton Garden Inn Boston/Burlington</t>
  </si>
  <si>
    <t>방</t>
  </si>
  <si>
    <t>추가제안</t>
  </si>
  <si>
    <t>드라이빙 가이드 숙소</t>
  </si>
  <si>
    <t>호텔비 SUB TOTAL</t>
    <phoneticPr fontId="10" type="noConversion"/>
  </si>
  <si>
    <t>식사</t>
  </si>
  <si>
    <t>포함</t>
  </si>
  <si>
    <t>드라이빙 가이드 포함</t>
  </si>
  <si>
    <t>중식</t>
  </si>
  <si>
    <t>석식</t>
  </si>
  <si>
    <t>생수(1일/1인/2병)</t>
    <phoneticPr fontId="10" type="noConversion"/>
  </si>
  <si>
    <t>식사비 SUB TOTAL</t>
    <phoneticPr fontId="10" type="noConversion"/>
  </si>
  <si>
    <t>7인승미니밴</t>
  </si>
  <si>
    <t>전일</t>
  </si>
  <si>
    <t>대</t>
  </si>
  <si>
    <t>* 12시간 운행 기준으로  추가 사용시 시간당 $130 추가</t>
  </si>
  <si>
    <t>차량비 SUB TOTAL</t>
    <phoneticPr fontId="10" type="noConversion"/>
  </si>
  <si>
    <t>입장료</t>
  </si>
  <si>
    <t>원월드 전망대</t>
  </si>
  <si>
    <t>명</t>
  </si>
  <si>
    <t>가이드미동행</t>
  </si>
  <si>
    <t>자유여신상 페리(하선없음)</t>
  </si>
  <si>
    <t>입장료비 SUB TOTAL</t>
    <phoneticPr fontId="10" type="noConversion"/>
  </si>
  <si>
    <t>가이드</t>
  </si>
  <si>
    <t>드라이빙가이드 팁</t>
  </si>
  <si>
    <t>및 기사</t>
    <phoneticPr fontId="10" type="noConversion"/>
  </si>
  <si>
    <t>가이드및기사 SUB TOTAL</t>
  </si>
  <si>
    <t>기타</t>
  </si>
  <si>
    <t>기타비 SUB TOTAL</t>
    <phoneticPr fontId="10" type="noConversion"/>
  </si>
  <si>
    <t>비고</t>
  </si>
  <si>
    <t>합계</t>
  </si>
  <si>
    <t>총지상비용합계</t>
  </si>
  <si>
    <t>할인 (구인모님 미니바 사용)</t>
  </si>
  <si>
    <t>1인당 NET ($)</t>
  </si>
  <si>
    <t>1인당 현지수익 ($)</t>
    <phoneticPr fontId="10" type="noConversion"/>
  </si>
  <si>
    <t>가이드비</t>
  </si>
  <si>
    <t>기타비</t>
  </si>
  <si>
    <t>TOTAL</t>
    <phoneticPr fontId="10" type="noConversion"/>
  </si>
  <si>
    <t>1인당 NET($)</t>
    <phoneticPr fontId="10" type="noConversion"/>
  </si>
  <si>
    <t xml:space="preserve">글로벌 캠퍼스 재단 </t>
    <phoneticPr fontId="80" type="noConversion"/>
  </si>
  <si>
    <t>일자</t>
  </si>
  <si>
    <t>지역</t>
  </si>
  <si>
    <t>교통편</t>
    <phoneticPr fontId="10" type="noConversion"/>
  </si>
  <si>
    <t>시간</t>
  </si>
  <si>
    <t>주 요 일 정</t>
    <phoneticPr fontId="10" type="noConversion"/>
  </si>
  <si>
    <t>식 사</t>
    <phoneticPr fontId="10" type="noConversion"/>
  </si>
  <si>
    <t>인 천</t>
    <phoneticPr fontId="10" type="noConversion"/>
  </si>
  <si>
    <t>KE093</t>
    <phoneticPr fontId="10" type="noConversion"/>
  </si>
  <si>
    <t xml:space="preserve"> 인천 국제공항 출발(실제 대한항공 운항)</t>
    <phoneticPr fontId="10" type="noConversion"/>
  </si>
  <si>
    <t xml:space="preserve"> ** 날짜 변경선 통과 **</t>
    <phoneticPr fontId="10" type="noConversion"/>
  </si>
  <si>
    <t>워싱턴</t>
    <phoneticPr fontId="80" type="noConversion"/>
  </si>
  <si>
    <t xml:space="preserve"> 워싱턴공항(IAD) 도착 및 입국/세관 신고</t>
    <phoneticPr fontId="10" type="noConversion"/>
  </si>
  <si>
    <t xml:space="preserve"> 가이드 미팅 후 이동 (드라이빙 가이드로 공항 미팅 서비스 불가하며 도착시 가이드와 연락하여 미팅)</t>
    <phoneticPr fontId="80" type="noConversion"/>
  </si>
  <si>
    <t xml:space="preserve"> [공식 일정/자체수배] </t>
    <phoneticPr fontId="80" type="noConversion"/>
  </si>
  <si>
    <t>석:현지식</t>
    <phoneticPr fontId="10" type="noConversion"/>
  </si>
  <si>
    <t xml:space="preserve"> 석식 후 호텔로 이동하여 체크인 및 휴식</t>
    <phoneticPr fontId="10" type="noConversion"/>
  </si>
  <si>
    <t>HOTEL : SpringHill Suites Centreville Chantilly 또는 동급</t>
    <phoneticPr fontId="10" type="noConversion"/>
  </si>
  <si>
    <t>전용차량</t>
    <phoneticPr fontId="10" type="noConversion"/>
  </si>
  <si>
    <t>전 일</t>
    <phoneticPr fontId="10" type="noConversion"/>
  </si>
  <si>
    <t xml:space="preserve"> 호텔조식 후 (버지니아 </t>
    <phoneticPr fontId="10" type="noConversion"/>
  </si>
  <si>
    <t>조:호텔식</t>
    <phoneticPr fontId="10" type="noConversion"/>
  </si>
  <si>
    <t>버지니아</t>
    <phoneticPr fontId="80" type="noConversion"/>
  </si>
  <si>
    <t>중:현지식</t>
    <phoneticPr fontId="10" type="noConversion"/>
  </si>
  <si>
    <t xml:space="preserve"> 중식 후</t>
    <phoneticPr fontId="80" type="noConversion"/>
  </si>
  <si>
    <t xml:space="preserve"> □ 워싱턴DC 시내관광</t>
    <phoneticPr fontId="10" type="noConversion"/>
  </si>
  <si>
    <t xml:space="preserve"> - 세계 3대 자연사 박물관 중 하나인 스미소니언 자연사 박물관 견학</t>
    <phoneticPr fontId="10" type="noConversion"/>
  </si>
  <si>
    <t xml:space="preserve"> 호텔로 이동하여 휴식</t>
    <phoneticPr fontId="10" type="noConversion"/>
  </si>
  <si>
    <t>워싱턴</t>
    <phoneticPr fontId="10" type="noConversion"/>
  </si>
  <si>
    <t xml:space="preserve"> 이른 호텔조식 후 뉴욕으로 이동 (약 5시간 30분 소요)</t>
    <phoneticPr fontId="1" type="noConversion"/>
  </si>
  <si>
    <t>뉴욕</t>
    <phoneticPr fontId="80" type="noConversion"/>
  </si>
  <si>
    <t xml:space="preserve"> 이동 중 중식 </t>
    <phoneticPr fontId="10" type="noConversion"/>
  </si>
  <si>
    <t xml:space="preserve"> 뉴욕문화원</t>
    <phoneticPr fontId="80" type="noConversion"/>
  </si>
  <si>
    <t>HOTEL : Hilton Garden Inn Ridgefield Park 또는 동급</t>
    <phoneticPr fontId="10" type="noConversion"/>
  </si>
  <si>
    <t>뉴욕</t>
    <phoneticPr fontId="1" type="noConversion"/>
  </si>
  <si>
    <t xml:space="preserve"> 호텔조식 후 </t>
    <phoneticPr fontId="1" type="noConversion"/>
  </si>
  <si>
    <t xml:space="preserve"> 스토니브룩</t>
    <phoneticPr fontId="80" type="noConversion"/>
  </si>
  <si>
    <t xml:space="preserve"> FIT</t>
    <phoneticPr fontId="80" type="noConversion"/>
  </si>
  <si>
    <t xml:space="preserve"> □ 자유의 여신상 유람선 승선</t>
  </si>
  <si>
    <t xml:space="preserve"> □ 원 월드 트레이드 센터 전망대에 올라 시내 전경 감상</t>
  </si>
  <si>
    <t xml:space="preserve"> 석식 후 호텔로 이동하여  휴식</t>
    <phoneticPr fontId="10" type="noConversion"/>
  </si>
  <si>
    <t>전용차량</t>
    <phoneticPr fontId="1" type="noConversion"/>
  </si>
  <si>
    <t>전 일</t>
    <phoneticPr fontId="1" type="noConversion"/>
  </si>
  <si>
    <t>조:호텔식</t>
    <phoneticPr fontId="1" type="noConversion"/>
  </si>
  <si>
    <t xml:space="preserve"> 보스턴으로 이동 (약 4시간 30분 소요)</t>
    <phoneticPr fontId="80" type="noConversion"/>
  </si>
  <si>
    <t>보스턴</t>
    <phoneticPr fontId="80" type="noConversion"/>
  </si>
  <si>
    <t>중:현지식</t>
  </si>
  <si>
    <t xml:space="preserve"> ▣</t>
    <phoneticPr fontId="80" type="noConversion"/>
  </si>
  <si>
    <t>HOTEL : Sheraton Boston Needham Hotel 또는 동급</t>
    <phoneticPr fontId="10" type="noConversion"/>
  </si>
  <si>
    <t xml:space="preserve"> ▣ 세계 최초의 공과중심 종합대학교 MIT</t>
    <phoneticPr fontId="80" type="noConversion"/>
  </si>
  <si>
    <t xml:space="preserve"> 이동하여</t>
    <phoneticPr fontId="80" type="noConversion"/>
  </si>
  <si>
    <t xml:space="preserve"> ▣ 세계 최고의 명문 하버드 대학교 </t>
    <phoneticPr fontId="80" type="noConversion"/>
  </si>
  <si>
    <t xml:space="preserve"> 호텔 조식 후 체크아웃</t>
    <phoneticPr fontId="80" type="noConversion"/>
  </si>
  <si>
    <t xml:space="preserve"> 공항으로 이동 (드라이빙 가이드로 샌딩 서비스 불가, 공항 드랍후 가이드는 차량가디로 바로 이동)</t>
    <phoneticPr fontId="80" type="noConversion"/>
  </si>
  <si>
    <t>KE092</t>
    <phoneticPr fontId="80" type="noConversion"/>
  </si>
  <si>
    <t xml:space="preserve"> BOS 공항 출발</t>
    <phoneticPr fontId="80" type="noConversion"/>
  </si>
  <si>
    <t xml:space="preserve"> **** 날짜 변경선 통과 ****</t>
    <phoneticPr fontId="10" type="noConversion"/>
  </si>
  <si>
    <t>인천</t>
    <phoneticPr fontId="80" type="noConversion"/>
  </si>
  <si>
    <t xml:space="preserve"> 인천 국제공항 도착</t>
    <phoneticPr fontId="10" type="noConversion"/>
  </si>
  <si>
    <t>&lt;&lt; 감사합니다. 안녕히 가십시오 &gt;&gt;</t>
  </si>
  <si>
    <t>▶ 상기일정은 항공 및 현지사정에 의해 변경될 수 있습니다 ◀</t>
  </si>
  <si>
    <t>샘플일정</t>
  </si>
  <si>
    <t>Date</t>
  </si>
  <si>
    <t>Place</t>
  </si>
  <si>
    <t>Trans</t>
  </si>
  <si>
    <t>Time</t>
  </si>
  <si>
    <t>Itinerary</t>
  </si>
  <si>
    <t>Meal</t>
  </si>
  <si>
    <t>인천</t>
  </si>
  <si>
    <t>KE091</t>
  </si>
  <si>
    <t>인천 국제공항 출발</t>
  </si>
  <si>
    <t>보스턴 도착</t>
  </si>
  <si>
    <t>BOS 국제 공항 도착하여 입국수속</t>
  </si>
  <si>
    <t>전용차량</t>
  </si>
  <si>
    <t>[미팅보드:               ]로 가이드 미팅</t>
  </si>
  <si>
    <t>중식: 현지식</t>
  </si>
  <si>
    <t>■ 보스턴 다운타운 문화체험</t>
  </si>
  <si>
    <t>석식: 현지식</t>
  </si>
  <si>
    <t>- 퀸시마켓 자유시간, 보스턴 커먼, 프리덤트레일 등</t>
  </si>
  <si>
    <t>- 보스턴 공립 도서관, 비컨힐 등</t>
  </si>
  <si>
    <t>호텔 체크인 / 휴식</t>
  </si>
  <si>
    <t>Hotel:</t>
  </si>
  <si>
    <t>견적 호텔</t>
  </si>
  <si>
    <t xml:space="preserve">호텔 조식 후 </t>
  </si>
  <si>
    <t>조식: 호텔식</t>
  </si>
  <si>
    <t>중식:현지식</t>
  </si>
  <si>
    <t>- 메사츄세츠 주의사당 내부투어, 펜웨이파크, 퍼블릭가든, 뉴버리스트릿 등</t>
  </si>
  <si>
    <t>석식:만찬(불포함)</t>
  </si>
  <si>
    <t>- 미국의 3대 미술관, 보스턴 현대 미술관</t>
  </si>
  <si>
    <t>- 보스톤마라톤 피니시라인, 올드노스 미팅 하우스, 보스턴학살추모 등 경유</t>
  </si>
  <si>
    <t>★ 보스턴 Only 일정 시 추천 일정 (뉴욕일정은 일정 불가)</t>
  </si>
  <si>
    <t>- 새뮤얼 애덤스 브루어리 방문 (45min 투어 - 인당 $30)</t>
  </si>
  <si>
    <t>- 보스턴 현대 미술관 대신 진행</t>
  </si>
  <si>
    <t>석식 - 만찬 (자체수배 / 불포함)</t>
  </si>
  <si>
    <t>호텔 휴식</t>
  </si>
  <si>
    <t>오전</t>
  </si>
  <si>
    <t>석식:현지식</t>
  </si>
  <si>
    <t>오후</t>
  </si>
  <si>
    <t>석식 - 만찬(자체섭외)</t>
  </si>
  <si>
    <t>호텔로 이동</t>
  </si>
  <si>
    <t>호텔 조식 후 (또는 밀박스)</t>
  </si>
  <si>
    <t>조식: 호텔식 또는 밀박스</t>
  </si>
  <si>
    <t>보스턴 공항으로 이동</t>
  </si>
  <si>
    <t>보스턴 공항 도착 / 출국수속</t>
  </si>
  <si>
    <t>KE092</t>
  </si>
  <si>
    <t>보스턴 출발 (BOS-ICN)</t>
  </si>
  <si>
    <t>호텔 조식 후</t>
  </si>
  <si>
    <t>뉴헤이븐으로 이동 (2시간 30분 가량 소요)</t>
  </si>
  <si>
    <t>뉴헤이븐</t>
  </si>
  <si>
    <r>
      <t>-</t>
    </r>
    <r>
      <rPr>
        <sz val="9"/>
        <color rgb="FFC00000"/>
        <rFont val="나눔스퀘어"/>
        <family val="3"/>
        <charset val="129"/>
      </rPr>
      <t xml:space="preserve"> 예일대학교 가이드 캠퍼스 투어</t>
    </r>
  </si>
  <si>
    <t>브루클린</t>
  </si>
  <si>
    <t>브루클린으로 이동 (1시간 30분 가량 소요)</t>
  </si>
  <si>
    <t>■ 뉴욕 브루클린 덤보 문화체험</t>
  </si>
  <si>
    <t>- 브루클린 브릿지, 맨하탄 브릿지, 회전목마, 덤보 포토스팟 등</t>
  </si>
  <si>
    <t>- 브루클린 브릿지 산책</t>
  </si>
  <si>
    <t>■ 뉴욕 로어맨하탄 문화체험</t>
  </si>
  <si>
    <r>
      <t xml:space="preserve">- </t>
    </r>
    <r>
      <rPr>
        <b/>
        <sz val="9"/>
        <color rgb="FF0000FF"/>
        <rFont val="나눔스퀘어"/>
        <family val="3"/>
        <charset val="129"/>
      </rPr>
      <t>자유의여신상</t>
    </r>
    <r>
      <rPr>
        <sz val="9"/>
        <rFont val="나눔스퀘어"/>
        <family val="3"/>
        <charset val="129"/>
      </rPr>
      <t xml:space="preserve"> 페리 탑승</t>
    </r>
  </si>
  <si>
    <t>- 월스트릿트 가이드 워킹 투어, 연방준비은행, 뉴욕증권거래소, 트리니티 처치 등</t>
  </si>
  <si>
    <t>- 911 메모리얼, 기적의 나무, 오큘러스 등</t>
  </si>
  <si>
    <t>■ 뉴욕 첼시&amp;미트패킹 디스트릭트 문화체험</t>
  </si>
  <si>
    <t>- 첼시마켓, 하이라인파크 도보 산책, 허드슨야드(베슬)</t>
  </si>
  <si>
    <t>- 허드슨 강 위의 인공섬 '리틀 아일랜드', 소호, 플랫아이언 빌딩 등 경유</t>
  </si>
  <si>
    <t>■ 뉴욕 미드타운 문화체험</t>
  </si>
  <si>
    <t>- 센트럴파크, 콜롬부스써클, 백만장자의 거리, 트럼프타워, 5번가 등 차창 관광</t>
  </si>
  <si>
    <t>- 타임스퀘어, 성패트릭성당, 록펠러센터 컴플렉스, 삭스 백화점 등 차창 관광</t>
  </si>
  <si>
    <t>뉴욕 공항(JFK)로 이동</t>
  </si>
  <si>
    <t>중식:불포함</t>
  </si>
  <si>
    <t>뉴욕 공항 도착 /  출국수속</t>
  </si>
  <si>
    <t>OZ221</t>
  </si>
  <si>
    <t>뉴욕 출발(JFK-ICN)</t>
  </si>
  <si>
    <t>KE082</t>
  </si>
  <si>
    <t>기내숙박</t>
  </si>
  <si>
    <t>※ 상기 일정은 항공 및 현지사정에 의하여 다소 변동될 수 있습니다. 
※ 개인의 부주의로 인한 부상, 분실, 또는 천재지변, 불가항력으로 인한 일정의 변경 및 취소에 따른 손해에 대하여는 관례에 따라 면책됨을 알려 드립니다.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</si>
</sst>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(* #,##0_);_(* \(#,##0\);_(* &quot;-&quot;_);_(@_)"/>
    <numFmt numFmtId="43" formatCode="_(* #,##0.00_);_(* \(#,##0.00\);_(* &quot;-&quot;??_);_(@_)"/>
    <numFmt numFmtId="26" formatCode="\$#,##0.00_);[Red]\(\$#,##0.00\)"/>
    <numFmt numFmtId="176" formatCode="&quot;$&quot;#,##0.00_);[Red]\(&quot;$&quot;#,##0.00\)"/>
    <numFmt numFmtId="177" formatCode="_(&quot;$&quot;* #,##0.00_);_(&quot;$&quot;* \(#,##0.00\);_(&quot;$&quot;* &quot;-&quot;??_);_(@_)"/>
    <numFmt numFmtId="178" formatCode="&quot;US$&quot;#,##0.00"/>
    <numFmt numFmtId="179" formatCode="&quot;US$&quot;#,##0.00_);[Red]\(&quot;US$&quot;#,##0.00\)"/>
    <numFmt numFmtId="180" formatCode="&quot;$&quot;#,##0.00;[Red]&quot;$&quot;#,##0.00"/>
    <numFmt numFmtId="181" formatCode="0&quot;명&quot;"/>
    <numFmt numFmtId="182" formatCode="[$$-409]#,##0.00;[Red][$$-409]#,##0.00"/>
    <numFmt numFmtId="183" formatCode="0&quot;박&quot;"/>
    <numFmt numFmtId="184" formatCode="&quot;US$&quot;#,##0"/>
    <numFmt numFmtId="185" formatCode="mm/dd/yy;@"/>
    <numFmt numFmtId="186" formatCode="m&quot;월&quot;\ d&quot;일&quot;"/>
    <numFmt numFmtId="187" formatCode="m&quot;/&quot;d\ \(ddd\)"/>
    <numFmt numFmtId="188" formatCode="&quot;제&quot;0&quot;일차&quot;"/>
    <numFmt numFmtId="189" formatCode="m&quot;/&quot;d\ \(aaa\)"/>
    <numFmt numFmtId="190" formatCode="0&quot;룸&quot;"/>
    <numFmt numFmtId="191" formatCode="0\ &quot;원&quot;"/>
    <numFmt numFmtId="192" formatCode="0&quot;건&quot;"/>
    <numFmt numFmtId="193" formatCode="[$₩-412]#,##0.00;[Red]\-[$₩-412]#,##0.00"/>
    <numFmt numFmtId="194" formatCode="[$₩-412]#,##0.00_);[Red]\([$₩-412]#,##0.00\)"/>
    <numFmt numFmtId="195" formatCode="&quot;$&quot;#,##0.00"/>
    <numFmt numFmtId="196" formatCode="&quot;제&quot;#&quot;일&quot;"/>
    <numFmt numFmtId="197" formatCode="m&quot;월&quot;\ d&quot;일&quot;;@"/>
    <numFmt numFmtId="198" formatCode="mm&quot;월&quot;\ dd&quot;일&quot;"/>
    <numFmt numFmtId="199" formatCode="m&quot;/&quot;d;@"/>
  </numFmts>
  <fonts count="9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2"/>
      <charset val="129"/>
      <scheme val="minor"/>
    </font>
    <font>
      <sz val="11"/>
      <name val="돋움"/>
      <family val="2"/>
      <charset val="129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sz val="9"/>
      <color theme="1"/>
      <name val="나눔스퀘어"/>
      <family val="3"/>
      <charset val="129"/>
    </font>
    <font>
      <sz val="9"/>
      <name val="나눔스퀘어"/>
      <family val="3"/>
      <charset val="129"/>
    </font>
    <font>
      <sz val="11"/>
      <color theme="1"/>
      <name val="나눔스퀘어"/>
      <family val="3"/>
      <charset val="129"/>
    </font>
    <font>
      <b/>
      <sz val="13"/>
      <color theme="1"/>
      <name val="나눔스퀘어"/>
      <family val="3"/>
      <charset val="129"/>
    </font>
    <font>
      <sz val="10"/>
      <color theme="1"/>
      <name val="나눔스퀘어"/>
      <family val="3"/>
      <charset val="129"/>
    </font>
    <font>
      <b/>
      <sz val="11"/>
      <color theme="1"/>
      <name val="나눔스퀘어"/>
      <family val="3"/>
      <charset val="129"/>
    </font>
    <font>
      <b/>
      <sz val="9"/>
      <color rgb="FF0000FF"/>
      <name val="나눔스퀘어"/>
      <family val="3"/>
      <charset val="129"/>
    </font>
    <font>
      <b/>
      <sz val="9"/>
      <color theme="1"/>
      <name val="나눔스퀘어"/>
      <family val="3"/>
      <charset val="129"/>
    </font>
    <font>
      <b/>
      <sz val="9"/>
      <color theme="3" tint="-0.499984740745262"/>
      <name val="나눔스퀘어"/>
      <family val="3"/>
      <charset val="129"/>
    </font>
    <font>
      <sz val="9"/>
      <color rgb="FFC00000"/>
      <name val="나눔스퀘어"/>
      <family val="3"/>
      <charset val="129"/>
    </font>
    <font>
      <sz val="9"/>
      <color rgb="FFFF0000"/>
      <name val="나눔스퀘어"/>
      <family val="3"/>
      <charset val="129"/>
    </font>
    <font>
      <b/>
      <sz val="9"/>
      <color theme="6" tint="-0.499984740745262"/>
      <name val="나눔스퀘어"/>
      <family val="3"/>
      <charset val="129"/>
    </font>
    <font>
      <b/>
      <sz val="9"/>
      <color rgb="FF002060"/>
      <name val="나눔스퀘어"/>
      <family val="3"/>
      <charset val="129"/>
    </font>
    <font>
      <sz val="13"/>
      <color theme="1"/>
      <name val="나눔스퀘어"/>
      <family val="3"/>
      <charset val="129"/>
    </font>
    <font>
      <b/>
      <sz val="9"/>
      <color rgb="FFC00000"/>
      <name val="나눔스퀘어"/>
      <family val="3"/>
      <charset val="129"/>
    </font>
    <font>
      <b/>
      <sz val="16"/>
      <color theme="1"/>
      <name val="나눔스퀘어"/>
      <family val="3"/>
      <charset val="129"/>
    </font>
    <font>
      <b/>
      <sz val="20"/>
      <name val="나눔스퀘어"/>
      <family val="3"/>
      <charset val="129"/>
    </font>
    <font>
      <b/>
      <sz val="13"/>
      <name val="나눔스퀘어"/>
      <family val="3"/>
      <charset val="129"/>
    </font>
    <font>
      <sz val="8"/>
      <color rgb="FFC00000"/>
      <name val="나눔스퀘어"/>
      <family val="3"/>
      <charset val="129"/>
    </font>
    <font>
      <b/>
      <sz val="8"/>
      <color rgb="FFC00000"/>
      <name val="나눔스퀘어"/>
      <family val="3"/>
      <charset val="129"/>
    </font>
    <font>
      <sz val="8"/>
      <color theme="1"/>
      <name val="나눔스퀘어"/>
      <family val="3"/>
      <charset val="129"/>
    </font>
    <font>
      <b/>
      <sz val="9"/>
      <name val="나눔스퀘어"/>
      <family val="3"/>
      <charset val="129"/>
    </font>
    <font>
      <b/>
      <sz val="11"/>
      <name val="나눔스퀘어"/>
      <family val="3"/>
      <charset val="129"/>
    </font>
    <font>
      <b/>
      <sz val="34"/>
      <name val="나눔스퀘어 ExtraBold"/>
      <family val="3"/>
      <charset val="129"/>
    </font>
    <font>
      <b/>
      <sz val="34"/>
      <color rgb="FF1003BD"/>
      <name val="나눔스퀘어"/>
      <family val="3"/>
      <charset val="129"/>
    </font>
    <font>
      <sz val="9"/>
      <color indexed="8"/>
      <name val="나눔스퀘어"/>
      <family val="3"/>
      <charset val="129"/>
    </font>
    <font>
      <b/>
      <sz val="9"/>
      <color rgb="FFFF0000"/>
      <name val="나눔스퀘어"/>
      <family val="3"/>
      <charset val="129"/>
    </font>
    <font>
      <b/>
      <sz val="9"/>
      <color rgb="FFFF0000"/>
      <name val="나눔스퀘어"/>
      <family val="3"/>
      <charset val="129"/>
    </font>
    <font>
      <sz val="11"/>
      <color rgb="FF9C0006"/>
      <name val="맑은 고딕"/>
      <family val="2"/>
      <scheme val="minor"/>
    </font>
    <font>
      <sz val="18"/>
      <name val="나눔스퀘어"/>
      <family val="3"/>
      <charset val="129"/>
    </font>
    <font>
      <sz val="9"/>
      <color theme="0" tint="-0.499984740745262"/>
      <name val="나눔스퀘어"/>
      <family val="3"/>
      <charset val="129"/>
    </font>
    <font>
      <b/>
      <sz val="34"/>
      <name val="나눔스퀘어"/>
      <family val="3"/>
      <charset val="129"/>
    </font>
    <font>
      <sz val="11"/>
      <name val="나눔스퀘어"/>
      <family val="3"/>
      <charset val="129"/>
    </font>
    <font>
      <b/>
      <sz val="9"/>
      <color theme="1" tint="4.9989318521683403E-2"/>
      <name val="나눔스퀘어"/>
      <family val="3"/>
      <charset val="129"/>
    </font>
    <font>
      <b/>
      <sz val="9"/>
      <color indexed="8"/>
      <name val="나눔스퀘어"/>
      <family val="3"/>
      <charset val="129"/>
    </font>
    <font>
      <b/>
      <sz val="11"/>
      <color theme="8" tint="0.79998168889431442"/>
      <name val="나눔스퀘어"/>
      <family val="3"/>
      <charset val="129"/>
    </font>
    <font>
      <sz val="11"/>
      <color theme="8" tint="0.79998168889431442"/>
      <name val="나눔스퀘어"/>
      <family val="3"/>
      <charset val="129"/>
    </font>
    <font>
      <b/>
      <sz val="1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8"/>
      <color indexed="60"/>
      <name val="Cambria"/>
      <family val="3"/>
      <charset val="129"/>
    </font>
    <font>
      <b/>
      <sz val="9"/>
      <color theme="1"/>
      <name val="맑은 고딕"/>
      <family val="3"/>
      <charset val="129"/>
      <scheme val="major"/>
    </font>
    <font>
      <sz val="10"/>
      <color theme="1"/>
      <name val="Arial"/>
      <family val="2"/>
    </font>
    <font>
      <sz val="18"/>
      <color rgb="FF6D64E8"/>
      <name val="Roboto"/>
    </font>
    <font>
      <sz val="10"/>
      <color rgb="FF666666"/>
      <name val="Roboto"/>
    </font>
    <font>
      <b/>
      <sz val="34"/>
      <color rgb="FF283592"/>
      <name val="Roboto"/>
    </font>
    <font>
      <b/>
      <sz val="12"/>
      <color rgb="FFE01B84"/>
      <name val="Roboto"/>
    </font>
    <font>
      <sz val="10"/>
      <color theme="1"/>
      <name val="Roboto"/>
    </font>
    <font>
      <b/>
      <sz val="12"/>
      <color rgb="FF434343"/>
      <name val="Roboto"/>
    </font>
    <font>
      <b/>
      <sz val="10"/>
      <color rgb="FF434343"/>
      <name val="Roboto"/>
      <family val="3"/>
      <charset val="129"/>
    </font>
    <font>
      <b/>
      <sz val="10"/>
      <color rgb="FF434343"/>
      <name val="Roboto"/>
    </font>
    <font>
      <b/>
      <sz val="12"/>
      <color rgb="FF2A3990"/>
      <name val="Roboto"/>
    </font>
    <font>
      <b/>
      <sz val="10"/>
      <color rgb="FF2A3990"/>
      <name val="Roboto"/>
    </font>
    <font>
      <b/>
      <sz val="9"/>
      <color rgb="FFC00000"/>
      <name val="Roboto"/>
    </font>
    <font>
      <b/>
      <sz val="10"/>
      <color theme="1"/>
      <name val="Roboto"/>
    </font>
    <font>
      <b/>
      <sz val="9"/>
      <color rgb="FF0000FF"/>
      <name val="Roboto"/>
    </font>
    <font>
      <sz val="10"/>
      <color rgb="FF0000FF"/>
      <name val="Roboto"/>
    </font>
    <font>
      <b/>
      <sz val="10"/>
      <color rgb="FF0000FF"/>
      <name val="Roboto"/>
    </font>
    <font>
      <b/>
      <sz val="18"/>
      <color rgb="FFE01B84"/>
      <name val="Roboto"/>
    </font>
    <font>
      <b/>
      <sz val="20"/>
      <color rgb="FFE01B84"/>
      <name val="Roboto"/>
    </font>
    <font>
      <b/>
      <sz val="9"/>
      <color theme="1"/>
      <name val="Roboto"/>
    </font>
    <font>
      <sz val="9"/>
      <color theme="1"/>
      <name val="Roboto"/>
    </font>
    <font>
      <sz val="8"/>
      <color theme="1"/>
      <name val="Roboto"/>
    </font>
    <font>
      <sz val="11"/>
      <color theme="1"/>
      <name val="Roboto"/>
    </font>
    <font>
      <sz val="9"/>
      <color theme="1"/>
      <name val="Arial Unicode MS"/>
      <family val="2"/>
      <charset val="129"/>
    </font>
    <font>
      <b/>
      <sz val="13"/>
      <color theme="0"/>
      <name val="나눔스퀘어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나눔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283592"/>
        <bgColor indexed="64"/>
      </patternFill>
    </fill>
    <fill>
      <patternFill patternType="solid">
        <fgColor rgb="FFFFFF4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67">
    <border>
      <left/>
      <right/>
      <top/>
      <bottom/>
      <diagonal/>
    </border>
    <border>
      <left style="thin">
        <color rgb="FF006600"/>
      </left>
      <right style="thin">
        <color rgb="FF006600"/>
      </right>
      <top/>
      <bottom/>
      <diagonal/>
    </border>
    <border>
      <left style="thin">
        <color rgb="FF006600"/>
      </left>
      <right/>
      <top/>
      <bottom/>
      <diagonal/>
    </border>
    <border>
      <left/>
      <right style="thin">
        <color rgb="FF006600"/>
      </right>
      <top/>
      <bottom style="thin">
        <color rgb="FF006600"/>
      </bottom>
      <diagonal/>
    </border>
    <border>
      <left style="thin">
        <color rgb="FF006600"/>
      </left>
      <right style="thin">
        <color rgb="FF006600"/>
      </right>
      <top/>
      <bottom style="thin">
        <color rgb="FF006600"/>
      </bottom>
      <diagonal/>
    </border>
    <border>
      <left style="thin">
        <color rgb="FF006600"/>
      </left>
      <right style="thin">
        <color rgb="FF006600"/>
      </right>
      <top style="thin">
        <color rgb="FF006600"/>
      </top>
      <bottom style="thin">
        <color rgb="FF006600"/>
      </bottom>
      <diagonal/>
    </border>
    <border>
      <left/>
      <right style="thin">
        <color theme="3"/>
      </right>
      <top/>
      <bottom/>
      <diagonal/>
    </border>
    <border>
      <left style="thin">
        <color rgb="FF006600"/>
      </left>
      <right style="thin">
        <color theme="3"/>
      </right>
      <top/>
      <bottom/>
      <diagonal/>
    </border>
    <border>
      <left style="thin">
        <color theme="3"/>
      </left>
      <right/>
      <top/>
      <bottom/>
      <diagonal/>
    </border>
    <border>
      <left style="thin">
        <color rgb="FF006600"/>
      </left>
      <right style="thin">
        <color theme="4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/>
      <bottom style="thin">
        <color theme="3" tint="-0.499984740745262"/>
      </bottom>
      <diagonal/>
    </border>
    <border>
      <left/>
      <right/>
      <top/>
      <bottom style="thin">
        <color theme="3" tint="-0.499984740745262"/>
      </bottom>
      <diagonal/>
    </border>
    <border>
      <left style="thin">
        <color rgb="FF006600"/>
      </left>
      <right style="thin">
        <color rgb="FF006600"/>
      </right>
      <top/>
      <bottom style="thin">
        <color theme="3" tint="-0.499984740745262"/>
      </bottom>
      <diagonal/>
    </border>
    <border>
      <left style="thin">
        <color rgb="FF006600"/>
      </left>
      <right style="thin">
        <color rgb="FF0066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66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6600"/>
      </left>
      <right style="medium">
        <color indexed="64"/>
      </right>
      <top/>
      <bottom style="thin">
        <color rgb="FF006600"/>
      </bottom>
      <diagonal/>
    </border>
    <border>
      <left style="medium">
        <color indexed="64"/>
      </left>
      <right style="thin">
        <color rgb="FF006600"/>
      </right>
      <top/>
      <bottom style="thin">
        <color rgb="FF006600"/>
      </bottom>
      <diagonal/>
    </border>
    <border>
      <left style="thin">
        <color theme="4" tint="-0.499984740745262"/>
      </left>
      <right/>
      <top/>
      <bottom/>
      <diagonal/>
    </border>
    <border>
      <left/>
      <right style="thin">
        <color theme="4" tint="-0.49998474074526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3" tint="-0.49998474074526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theme="3" tint="-0.499984740745262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3" tint="-0.499984740745262"/>
      </bottom>
      <diagonal/>
    </border>
    <border>
      <left style="thin">
        <color rgb="FF0066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6600"/>
      </right>
      <top style="thin">
        <color rgb="FF006600"/>
      </top>
      <bottom/>
      <diagonal/>
    </border>
    <border>
      <left style="thin">
        <color rgb="FF006600"/>
      </left>
      <right style="thin">
        <color rgb="FF006600"/>
      </right>
      <top style="thin">
        <color rgb="FF006600"/>
      </top>
      <bottom/>
      <diagonal/>
    </border>
    <border>
      <left style="thin">
        <color rgb="FF006600"/>
      </left>
      <right style="medium">
        <color indexed="64"/>
      </right>
      <top style="thin">
        <color rgb="FF006600"/>
      </top>
      <bottom/>
      <diagonal/>
    </border>
    <border>
      <left style="medium">
        <color indexed="64"/>
      </left>
      <right style="thin">
        <color rgb="FF006600"/>
      </right>
      <top style="thin">
        <color rgb="FF006600"/>
      </top>
      <bottom/>
      <diagonal/>
    </border>
    <border>
      <left style="medium">
        <color indexed="64"/>
      </left>
      <right style="thin">
        <color rgb="FF006600"/>
      </right>
      <top style="thin">
        <color indexed="64"/>
      </top>
      <bottom style="thin">
        <color indexed="64"/>
      </bottom>
      <diagonal/>
    </border>
    <border>
      <left style="thin">
        <color rgb="FF006600"/>
      </left>
      <right style="thin">
        <color rgb="FF006600"/>
      </right>
      <top/>
      <bottom style="thin">
        <color indexed="64"/>
      </bottom>
      <diagonal/>
    </border>
    <border>
      <left style="thin">
        <color rgb="FF006600"/>
      </left>
      <right style="thin">
        <color indexed="64"/>
      </right>
      <top/>
      <bottom/>
      <diagonal/>
    </border>
    <border>
      <left style="thin">
        <color rgb="FF006600"/>
      </left>
      <right style="thin">
        <color indexed="64"/>
      </right>
      <top/>
      <bottom style="thin">
        <color indexed="64"/>
      </bottom>
      <diagonal/>
    </border>
    <border>
      <left style="medium">
        <color theme="1" tint="0.249977111117893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/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medium">
        <color theme="1" tint="0.249977111117893"/>
      </right>
      <top style="medium">
        <color theme="1" tint="0.249977111117893"/>
      </top>
      <bottom style="thin">
        <color indexed="64"/>
      </bottom>
      <diagonal/>
    </border>
    <border>
      <left style="medium">
        <color theme="1" tint="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0.249977111117893"/>
      </right>
      <top style="thin">
        <color indexed="64"/>
      </top>
      <bottom style="thin">
        <color indexed="64"/>
      </bottom>
      <diagonal/>
    </border>
    <border>
      <left style="medium">
        <color theme="1" tint="0.249977111117893"/>
      </left>
      <right style="thin">
        <color theme="3"/>
      </right>
      <top/>
      <bottom/>
      <diagonal/>
    </border>
    <border>
      <left style="thin">
        <color indexed="64"/>
      </left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/>
      <bottom/>
      <diagonal/>
    </border>
    <border>
      <left style="thin">
        <color indexed="64"/>
      </left>
      <right style="medium">
        <color theme="1" tint="0.249977111117893"/>
      </right>
      <top style="thin">
        <color theme="3"/>
      </top>
      <bottom/>
      <diagonal/>
    </border>
    <border>
      <left style="thin">
        <color indexed="64"/>
      </left>
      <right style="medium">
        <color theme="1" tint="0.249977111117893"/>
      </right>
      <top/>
      <bottom style="thin">
        <color indexed="64"/>
      </bottom>
      <diagonal/>
    </border>
    <border>
      <left style="medium">
        <color theme="1" tint="0.249977111117893"/>
      </left>
      <right style="thin">
        <color theme="4" tint="-0.499984740745262"/>
      </right>
      <top/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 style="thin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medium">
        <color theme="1" tint="0.249977111117893"/>
      </right>
      <top/>
      <bottom style="thin">
        <color rgb="FF006600"/>
      </bottom>
      <diagonal/>
    </border>
    <border>
      <left style="thin">
        <color rgb="FF006600"/>
      </left>
      <right style="medium">
        <color theme="1" tint="0.249977111117893"/>
      </right>
      <top style="thin">
        <color rgb="FF006600"/>
      </top>
      <bottom/>
      <diagonal/>
    </border>
    <border>
      <left style="thin">
        <color rgb="FF006600"/>
      </left>
      <right style="medium">
        <color theme="1" tint="0.249977111117893"/>
      </right>
      <top style="thin">
        <color indexed="64"/>
      </top>
      <bottom style="thin">
        <color indexed="64"/>
      </bottom>
      <diagonal/>
    </border>
    <border>
      <left style="thin">
        <color rgb="FF006600"/>
      </left>
      <right style="thin">
        <color rgb="FF006600"/>
      </right>
      <top/>
      <bottom style="medium">
        <color theme="1" tint="0.249977111117893"/>
      </bottom>
      <diagonal/>
    </border>
    <border>
      <left style="thin">
        <color rgb="FF006600"/>
      </left>
      <right/>
      <top/>
      <bottom style="medium">
        <color theme="1" tint="0.249977111117893"/>
      </bottom>
      <diagonal/>
    </border>
    <border>
      <left/>
      <right style="thin">
        <color rgb="FF006600"/>
      </right>
      <top/>
      <bottom style="medium">
        <color theme="1" tint="0.249977111117893"/>
      </bottom>
      <diagonal/>
    </border>
    <border>
      <left style="thin">
        <color rgb="FF006600"/>
      </left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 style="medium">
        <color indexed="64"/>
      </left>
      <right/>
      <top/>
      <bottom style="medium">
        <color theme="1" tint="0.249977111117893"/>
      </bottom>
      <diagonal/>
    </border>
    <border>
      <left style="thin">
        <color indexed="64"/>
      </left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 style="thin">
        <color indexed="64"/>
      </left>
      <right/>
      <top style="medium">
        <color theme="1" tint="0.249977111117893"/>
      </top>
      <bottom/>
      <diagonal/>
    </border>
    <border>
      <left style="thin">
        <color rgb="FF006600"/>
      </left>
      <right style="thin">
        <color indexed="64"/>
      </right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/>
      <diagonal/>
    </border>
    <border>
      <left/>
      <right style="hair">
        <color indexed="64"/>
      </right>
      <top style="medium">
        <color theme="1" tint="0.249977111117893"/>
      </top>
      <bottom/>
      <diagonal/>
    </border>
    <border>
      <left/>
      <right style="thin">
        <color theme="3"/>
      </right>
      <top style="medium">
        <color theme="1" tint="0.249977111117893"/>
      </top>
      <bottom/>
      <diagonal/>
    </border>
    <border>
      <left style="thin">
        <color indexed="64"/>
      </left>
      <right style="medium">
        <color theme="1" tint="0.249977111117893"/>
      </right>
      <top style="medium">
        <color theme="1" tint="0.249977111117893"/>
      </top>
      <bottom/>
      <diagonal/>
    </border>
    <border>
      <left style="thin">
        <color rgb="FF006600"/>
      </left>
      <right style="thin">
        <color rgb="FF006600"/>
      </right>
      <top style="medium">
        <color theme="1" tint="0.249977111117893"/>
      </top>
      <bottom/>
      <diagonal/>
    </border>
    <border>
      <left style="medium">
        <color theme="1" tint="0.249977111117893"/>
      </left>
      <right style="thin">
        <color theme="4" tint="-0.499984740745262"/>
      </right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 tint="0.249977111117893"/>
      </left>
      <right style="thin">
        <color theme="4" tint="-0.499984740745262"/>
      </right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 style="thin">
        <color rgb="FF006600"/>
      </right>
      <top style="medium">
        <color theme="1" tint="0.249977111117893"/>
      </top>
      <bottom style="thin">
        <color rgb="FF006600"/>
      </bottom>
      <diagonal/>
    </border>
    <border>
      <left style="thin">
        <color rgb="FF006600"/>
      </left>
      <right style="thin">
        <color rgb="FF006600"/>
      </right>
      <top style="medium">
        <color theme="1" tint="0.249977111117893"/>
      </top>
      <bottom style="thin">
        <color rgb="FF006600"/>
      </bottom>
      <diagonal/>
    </border>
    <border>
      <left style="medium">
        <color indexed="64"/>
      </left>
      <right style="thin">
        <color rgb="FF006600"/>
      </right>
      <top style="medium">
        <color theme="1" tint="0.249977111117893"/>
      </top>
      <bottom style="thin">
        <color indexed="64"/>
      </bottom>
      <diagonal/>
    </border>
    <border>
      <left style="thin">
        <color rgb="FF006600"/>
      </left>
      <right style="thin">
        <color rgb="FF006600"/>
      </right>
      <top style="medium">
        <color theme="1" tint="0.249977111117893"/>
      </top>
      <bottom style="thin">
        <color indexed="64"/>
      </bottom>
      <diagonal/>
    </border>
    <border>
      <left style="thin">
        <color rgb="FF006600"/>
      </left>
      <right style="medium">
        <color indexed="64"/>
      </right>
      <top style="medium">
        <color theme="1" tint="0.249977111117893"/>
      </top>
      <bottom style="thin">
        <color indexed="64"/>
      </bottom>
      <diagonal/>
    </border>
    <border>
      <left/>
      <right style="thin">
        <color rgb="FF006600"/>
      </right>
      <top style="medium">
        <color theme="1" tint="0.249977111117893"/>
      </top>
      <bottom style="thin">
        <color indexed="64"/>
      </bottom>
      <diagonal/>
    </border>
    <border>
      <left style="thin">
        <color rgb="FF006600"/>
      </left>
      <right style="medium">
        <color theme="1" tint="0.249977111117893"/>
      </right>
      <top style="medium">
        <color theme="1" tint="0.249977111117893"/>
      </top>
      <bottom style="thin">
        <color indexed="64"/>
      </bottom>
      <diagonal/>
    </border>
    <border>
      <left style="medium">
        <color theme="1" tint="0.249977111117893"/>
      </left>
      <right style="thin">
        <color rgb="FF006600"/>
      </right>
      <top style="thin">
        <color rgb="FF006600"/>
      </top>
      <bottom style="medium">
        <color theme="1" tint="0.249977111117893"/>
      </bottom>
      <diagonal/>
    </border>
    <border>
      <left style="thin">
        <color rgb="FF006600"/>
      </left>
      <right style="thin">
        <color rgb="FF006600"/>
      </right>
      <top style="thin">
        <color rgb="FF006600"/>
      </top>
      <bottom style="medium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 style="medium">
        <color theme="1" tint="0.249977111117893"/>
      </bottom>
      <diagonal/>
    </border>
    <border>
      <left style="medium">
        <color indexed="64"/>
      </left>
      <right style="thin">
        <color rgb="FF006600"/>
      </right>
      <top style="thin">
        <color rgb="FF006600"/>
      </top>
      <bottom style="medium">
        <color theme="1" tint="0.249977111117893"/>
      </bottom>
      <diagonal/>
    </border>
    <border>
      <left style="thin">
        <color rgb="FF006600"/>
      </left>
      <right style="medium">
        <color indexed="64"/>
      </right>
      <top style="thin">
        <color rgb="FF006600"/>
      </top>
      <bottom style="medium">
        <color theme="1" tint="0.249977111117893"/>
      </bottom>
      <diagonal/>
    </border>
    <border>
      <left/>
      <right style="thin">
        <color rgb="FF006600"/>
      </right>
      <top style="thin">
        <color rgb="FF006600"/>
      </top>
      <bottom style="medium">
        <color theme="1" tint="0.249977111117893"/>
      </bottom>
      <diagonal/>
    </border>
    <border>
      <left style="thin">
        <color rgb="FF006600"/>
      </left>
      <right style="medium">
        <color theme="1" tint="0.249977111117893"/>
      </right>
      <top style="thin">
        <color rgb="FF006600"/>
      </top>
      <bottom style="medium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 style="medium">
        <color theme="1" tint="0.249977111117893"/>
      </bottom>
      <diagonal/>
    </border>
    <border>
      <left/>
      <right/>
      <top style="medium">
        <color theme="1" tint="0.249977111117893"/>
      </top>
      <bottom style="medium">
        <color theme="1" tint="0.249977111117893"/>
      </bottom>
      <diagonal/>
    </border>
    <border>
      <left/>
      <right style="medium">
        <color theme="3"/>
      </right>
      <top style="medium">
        <color theme="1" tint="0.249977111117893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 style="thin">
        <color rgb="FF006600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rgb="FF006600"/>
      </left>
      <right style="thin">
        <color rgb="FF006600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rgb="FF006600"/>
      </left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theme="1" tint="0.249977111117893"/>
      </left>
      <right style="thin">
        <color theme="3"/>
      </right>
      <top/>
      <bottom/>
      <diagonal/>
    </border>
    <border>
      <left style="thin">
        <color theme="1" tint="0.249977111117893"/>
      </left>
      <right style="thin">
        <color theme="3"/>
      </right>
      <top/>
      <bottom style="thin">
        <color theme="1" tint="0.249977111117893"/>
      </bottom>
      <diagonal/>
    </border>
    <border>
      <left style="thin">
        <color theme="3"/>
      </left>
      <right style="thin">
        <color rgb="FF006600"/>
      </right>
      <top/>
      <bottom style="thin">
        <color theme="1" tint="0.249977111117893"/>
      </bottom>
      <diagonal/>
    </border>
    <border>
      <left style="thin">
        <color rgb="FF006600"/>
      </left>
      <right style="thin">
        <color theme="3"/>
      </right>
      <top/>
      <bottom style="thin">
        <color theme="1" tint="0.249977111117893"/>
      </bottom>
      <diagonal/>
    </border>
    <border>
      <left style="thin">
        <color rgb="FF006600"/>
      </left>
      <right style="thin">
        <color rgb="FF006600"/>
      </right>
      <top/>
      <bottom style="thin">
        <color theme="1" tint="0.249977111117893"/>
      </bottom>
      <diagonal/>
    </border>
    <border>
      <left/>
      <right style="hair">
        <color indexed="64"/>
      </right>
      <top/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 style="thin">
        <color theme="1" tint="0.249977111117893"/>
      </left>
      <right/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indexed="64"/>
      </right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indexed="64"/>
      </right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3"/>
      </right>
      <top style="medium">
        <color theme="1" tint="0.249977111117893"/>
      </top>
      <bottom/>
      <diagonal/>
    </border>
    <border>
      <left style="thin">
        <color theme="3"/>
      </left>
      <right/>
      <top style="medium">
        <color theme="1" tint="0.249977111117893"/>
      </top>
      <bottom/>
      <diagonal/>
    </border>
    <border>
      <left style="thin">
        <color theme="1" tint="0.249977111117893"/>
      </left>
      <right style="thin">
        <color indexed="64"/>
      </right>
      <top style="medium">
        <color theme="1" tint="0.249977111117893"/>
      </top>
      <bottom/>
      <diagonal/>
    </border>
    <border>
      <left/>
      <right style="thin">
        <color theme="1" tint="0.249977111117893"/>
      </right>
      <top style="medium">
        <color theme="1" tint="0.249977111117893"/>
      </top>
      <bottom/>
      <diagonal/>
    </border>
    <border>
      <left style="thin">
        <color indexed="64"/>
      </left>
      <right style="medium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/>
      <top style="medium">
        <color theme="1" tint="0.249977111117893"/>
      </top>
      <bottom/>
      <diagonal/>
    </border>
    <border>
      <left/>
      <right style="hair">
        <color indexed="64"/>
      </right>
      <top/>
      <bottom style="medium">
        <color theme="1" tint="0.249977111117893"/>
      </bottom>
      <diagonal/>
    </border>
    <border>
      <left style="medium">
        <color theme="0"/>
      </left>
      <right style="medium">
        <color theme="0" tint="-4.9989318521683403E-2"/>
      </right>
      <top style="medium">
        <color theme="0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/>
      </top>
      <bottom/>
      <diagonal/>
    </border>
    <border>
      <left style="medium">
        <color theme="0" tint="-4.9989318521683403E-2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6600"/>
      </right>
      <top style="medium">
        <color theme="1" tint="0.249977111117893"/>
      </top>
      <bottom/>
      <diagonal/>
    </border>
    <border>
      <left style="thin">
        <color indexed="64"/>
      </left>
      <right style="thin">
        <color rgb="FF006600"/>
      </right>
      <top/>
      <bottom/>
      <diagonal/>
    </border>
    <border>
      <left style="thin">
        <color indexed="64"/>
      </left>
      <right style="thin">
        <color rgb="FF006600"/>
      </right>
      <top/>
      <bottom style="thin">
        <color indexed="64"/>
      </bottom>
      <diagonal/>
    </border>
    <border>
      <left/>
      <right style="thin">
        <color indexed="64"/>
      </right>
      <top style="medium">
        <color theme="1" tint="0.249977111117893"/>
      </top>
      <bottom/>
      <diagonal/>
    </border>
    <border>
      <left/>
      <right style="thin">
        <color indexed="64"/>
      </right>
      <top/>
      <bottom style="thin">
        <color theme="1" tint="0.249977111117893"/>
      </bottom>
      <diagonal/>
    </border>
    <border>
      <left style="thin">
        <color theme="1" tint="0.249977111117893"/>
      </left>
      <right/>
      <top style="medium">
        <color indexed="64"/>
      </top>
      <bottom/>
      <diagonal/>
    </border>
    <border>
      <left style="thin">
        <color theme="3"/>
      </left>
      <right style="thin">
        <color rgb="FF006600"/>
      </right>
      <top style="medium">
        <color indexed="64"/>
      </top>
      <bottom/>
      <diagonal/>
    </border>
    <border>
      <left style="thin">
        <color rgb="FF006600"/>
      </left>
      <right style="thin">
        <color rgb="FF006600"/>
      </right>
      <top style="medium">
        <color indexed="64"/>
      </top>
      <bottom/>
      <diagonal/>
    </border>
    <border>
      <left style="thin">
        <color theme="1" tint="0.249977111117893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theme="1" tint="0.249977111117893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6600"/>
      </right>
      <top style="medium">
        <color indexed="64"/>
      </top>
      <bottom/>
      <diagonal/>
    </border>
    <border>
      <left style="thin">
        <color rgb="FF006600"/>
      </left>
      <right style="thin">
        <color theme="3"/>
      </right>
      <top style="medium">
        <color indexed="64"/>
      </top>
      <bottom/>
      <diagonal/>
    </border>
    <border>
      <left style="thin">
        <color theme="1" tint="0.249977111117893"/>
      </left>
      <right style="thin">
        <color theme="3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 tint="0.249977111117893"/>
      </left>
      <right/>
      <top/>
      <bottom style="thin">
        <color indexed="64"/>
      </bottom>
      <diagonal/>
    </border>
    <border>
      <left style="thin">
        <color rgb="FF006600"/>
      </left>
      <right style="thin">
        <color theme="3"/>
      </right>
      <top/>
      <bottom style="thin">
        <color indexed="64"/>
      </bottom>
      <diagonal/>
    </border>
    <border>
      <left style="thin">
        <color theme="1" tint="0.249977111117893"/>
      </left>
      <right style="thin">
        <color theme="3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theme="1" tint="0.249977111117893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/>
      <top/>
      <bottom style="medium">
        <color rgb="FFB7B7B7"/>
      </bottom>
      <diagonal/>
    </border>
    <border>
      <left/>
      <right/>
      <top style="medium">
        <color rgb="FFB7B7B7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rgb="FF006600"/>
      </left>
      <right/>
      <top style="medium">
        <color indexed="64"/>
      </top>
      <bottom/>
      <diagonal/>
    </border>
    <border>
      <left style="thin">
        <color rgb="FF006600"/>
      </left>
      <right/>
      <top/>
      <bottom style="thin">
        <color theme="1" tint="0.249977111117893"/>
      </bottom>
      <diagonal/>
    </border>
    <border>
      <left style="thin">
        <color indexed="64"/>
      </left>
      <right style="thin">
        <color theme="1" tint="0.249977111117893"/>
      </right>
      <top style="medium">
        <color indexed="64"/>
      </top>
      <bottom/>
      <diagonal/>
    </border>
    <border>
      <left style="thin">
        <color indexed="64"/>
      </left>
      <right style="thin">
        <color theme="1" tint="0.249977111117893"/>
      </right>
      <top/>
      <bottom/>
      <diagonal/>
    </border>
    <border>
      <left style="thin">
        <color indexed="64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6600"/>
      </left>
      <right/>
      <top/>
      <bottom style="medium">
        <color indexed="64"/>
      </bottom>
      <diagonal/>
    </border>
    <border>
      <left style="thin">
        <color theme="4" tint="-0.499984740745262"/>
      </left>
      <right/>
      <top/>
      <bottom style="thin">
        <color theme="3" tint="-0.499984740745262"/>
      </bottom>
      <diagonal/>
    </border>
    <border>
      <left style="thin">
        <color theme="4" tint="-0.499984740745262"/>
      </left>
      <right/>
      <top style="thin">
        <color indexed="64"/>
      </top>
      <bottom/>
      <diagonal/>
    </border>
    <border>
      <left style="thin">
        <color theme="1" tint="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8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8"/>
      </right>
      <top/>
      <bottom/>
      <diagonal/>
    </border>
    <border>
      <left style="double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64"/>
      </right>
      <top/>
      <bottom style="thin">
        <color indexed="8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8"/>
      </right>
      <top style="thin">
        <color indexed="64"/>
      </top>
      <bottom/>
      <diagonal/>
    </border>
    <border>
      <left style="double">
        <color indexed="64"/>
      </left>
      <right style="thin">
        <color auto="1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theme="1" tint="0.249977111117893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double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9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8" fillId="0" borderId="0"/>
    <xf numFmtId="0" fontId="4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5" fillId="0" borderId="0">
      <alignment vertical="center"/>
    </xf>
    <xf numFmtId="0" fontId="8" fillId="0" borderId="0"/>
    <xf numFmtId="0" fontId="8" fillId="0" borderId="0"/>
    <xf numFmtId="0" fontId="3" fillId="0" borderId="0">
      <alignment vertical="center"/>
    </xf>
    <xf numFmtId="0" fontId="6" fillId="0" borderId="0"/>
    <xf numFmtId="0" fontId="11" fillId="0" borderId="0">
      <alignment vertical="center"/>
    </xf>
    <xf numFmtId="0" fontId="12" fillId="0" borderId="0"/>
    <xf numFmtId="0" fontId="5" fillId="0" borderId="0">
      <alignment vertical="center"/>
    </xf>
    <xf numFmtId="41" fontId="8" fillId="0" borderId="0" applyFont="0" applyFill="0" applyBorder="0" applyAlignment="0" applyProtection="0"/>
    <xf numFmtId="0" fontId="12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177" fontId="8" fillId="0" borderId="0" applyFont="0" applyFill="0" applyBorder="0" applyAlignment="0" applyProtection="0"/>
    <xf numFmtId="0" fontId="2" fillId="0" borderId="0">
      <alignment vertical="center"/>
    </xf>
  </cellStyleXfs>
  <cellXfs count="684">
    <xf numFmtId="0" fontId="0" fillId="0" borderId="0" xfId="0"/>
    <xf numFmtId="0" fontId="16" fillId="0" borderId="0" xfId="6" applyFont="1">
      <alignment vertical="center"/>
    </xf>
    <xf numFmtId="0" fontId="18" fillId="3" borderId="32" xfId="6" applyFont="1" applyFill="1" applyBorder="1" applyAlignment="1">
      <alignment horizontal="center" vertical="center"/>
    </xf>
    <xf numFmtId="0" fontId="18" fillId="3" borderId="19" xfId="6" applyFont="1" applyFill="1" applyBorder="1" applyAlignment="1">
      <alignment horizontal="center" vertical="center"/>
    </xf>
    <xf numFmtId="0" fontId="19" fillId="3" borderId="54" xfId="6" applyFont="1" applyFill="1" applyBorder="1" applyAlignment="1">
      <alignment horizontal="center" vertical="center"/>
    </xf>
    <xf numFmtId="0" fontId="14" fillId="0" borderId="24" xfId="6" applyFont="1" applyBorder="1" applyAlignment="1">
      <alignment horizontal="center" vertical="center"/>
    </xf>
    <xf numFmtId="180" fontId="14" fillId="0" borderId="0" xfId="6" applyNumberFormat="1" applyFont="1" applyAlignment="1">
      <alignment horizontal="right" vertical="center"/>
    </xf>
    <xf numFmtId="0" fontId="16" fillId="3" borderId="56" xfId="6" applyFont="1" applyFill="1" applyBorder="1">
      <alignment vertical="center"/>
    </xf>
    <xf numFmtId="0" fontId="14" fillId="0" borderId="15" xfId="6" applyFont="1" applyBorder="1" applyAlignment="1">
      <alignment horizontal="center" vertical="center"/>
    </xf>
    <xf numFmtId="0" fontId="21" fillId="0" borderId="38" xfId="6" applyFont="1" applyBorder="1" applyAlignment="1">
      <alignment horizontal="center" vertical="center"/>
    </xf>
    <xf numFmtId="0" fontId="22" fillId="0" borderId="35" xfId="6" applyFont="1" applyBorder="1" applyAlignment="1">
      <alignment horizontal="center" vertical="center"/>
    </xf>
    <xf numFmtId="0" fontId="14" fillId="0" borderId="33" xfId="6" applyFont="1" applyBorder="1" applyAlignment="1">
      <alignment horizontal="center" vertical="center"/>
    </xf>
    <xf numFmtId="180" fontId="14" fillId="0" borderId="16" xfId="6" applyNumberFormat="1" applyFont="1" applyBorder="1" applyAlignment="1">
      <alignment horizontal="right" vertical="center"/>
    </xf>
    <xf numFmtId="0" fontId="24" fillId="0" borderId="55" xfId="6" applyFont="1" applyBorder="1" applyAlignment="1">
      <alignment horizontal="left" vertical="center" indent="1"/>
    </xf>
    <xf numFmtId="0" fontId="23" fillId="0" borderId="57" xfId="6" applyFont="1" applyBorder="1" applyAlignment="1">
      <alignment horizontal="left" vertical="center" indent="1"/>
    </xf>
    <xf numFmtId="0" fontId="24" fillId="0" borderId="58" xfId="6" applyFont="1" applyBorder="1" applyAlignment="1">
      <alignment horizontal="left" vertical="center" indent="1"/>
    </xf>
    <xf numFmtId="0" fontId="19" fillId="3" borderId="56" xfId="6" applyFont="1" applyFill="1" applyBorder="1" applyAlignment="1">
      <alignment horizontal="center" vertical="center"/>
    </xf>
    <xf numFmtId="0" fontId="21" fillId="0" borderId="117" xfId="6" applyFont="1" applyBorder="1" applyAlignment="1">
      <alignment horizontal="center" vertical="center"/>
    </xf>
    <xf numFmtId="0" fontId="25" fillId="0" borderId="36" xfId="6" applyFont="1" applyBorder="1" applyAlignment="1">
      <alignment horizontal="center" vertical="center"/>
    </xf>
    <xf numFmtId="0" fontId="14" fillId="0" borderId="118" xfId="6" applyFont="1" applyBorder="1" applyAlignment="1">
      <alignment horizontal="center" vertical="center"/>
    </xf>
    <xf numFmtId="0" fontId="14" fillId="0" borderId="22" xfId="6" applyFont="1" applyBorder="1">
      <alignment vertical="center"/>
    </xf>
    <xf numFmtId="182" fontId="14" fillId="0" borderId="22" xfId="6" applyNumberFormat="1" applyFont="1" applyBorder="1" applyAlignment="1">
      <alignment horizontal="center" vertical="center"/>
    </xf>
    <xf numFmtId="0" fontId="21" fillId="0" borderId="119" xfId="6" applyFont="1" applyBorder="1" applyAlignment="1">
      <alignment horizontal="center" vertical="center"/>
    </xf>
    <xf numFmtId="0" fontId="25" fillId="0" borderId="112" xfId="6" applyFont="1" applyBorder="1" applyAlignment="1">
      <alignment horizontal="center" vertical="center"/>
    </xf>
    <xf numFmtId="0" fontId="14" fillId="0" borderId="120" xfId="6" applyFont="1" applyBorder="1" applyAlignment="1">
      <alignment horizontal="center" vertical="center"/>
    </xf>
    <xf numFmtId="180" fontId="14" fillId="0" borderId="31" xfId="6" applyNumberFormat="1" applyFont="1" applyBorder="1" applyAlignment="1">
      <alignment horizontal="right" vertical="center"/>
    </xf>
    <xf numFmtId="0" fontId="19" fillId="3" borderId="73" xfId="6" applyFont="1" applyFill="1" applyBorder="1" applyAlignment="1">
      <alignment horizontal="center" vertical="center"/>
    </xf>
    <xf numFmtId="16" fontId="14" fillId="0" borderId="126" xfId="6" applyNumberFormat="1" applyFont="1" applyBorder="1" applyAlignment="1">
      <alignment horizontal="center" vertical="center"/>
    </xf>
    <xf numFmtId="182" fontId="14" fillId="0" borderId="74" xfId="6" applyNumberFormat="1" applyFont="1" applyBorder="1" applyAlignment="1">
      <alignment horizontal="center" vertical="center"/>
    </xf>
    <xf numFmtId="0" fontId="21" fillId="0" borderId="123" xfId="6" applyFont="1" applyBorder="1" applyAlignment="1">
      <alignment horizontal="center" vertical="center"/>
    </xf>
    <xf numFmtId="0" fontId="25" fillId="0" borderId="77" xfId="6" applyFont="1" applyBorder="1" applyAlignment="1">
      <alignment horizontal="center" vertical="center"/>
    </xf>
    <xf numFmtId="0" fontId="14" fillId="0" borderId="124" xfId="6" applyFont="1" applyBorder="1" applyAlignment="1">
      <alignment horizontal="center" vertical="center"/>
    </xf>
    <xf numFmtId="180" fontId="14" fillId="0" borderId="76" xfId="6" applyNumberFormat="1" applyFont="1" applyBorder="1" applyAlignment="1">
      <alignment horizontal="right" vertical="center"/>
    </xf>
    <xf numFmtId="16" fontId="14" fillId="0" borderId="114" xfId="6" applyNumberFormat="1" applyFont="1" applyBorder="1" applyAlignment="1">
      <alignment horizontal="center" vertical="center"/>
    </xf>
    <xf numFmtId="0" fontId="14" fillId="0" borderId="0" xfId="6" applyFont="1" applyAlignment="1">
      <alignment horizontal="left" vertical="center" indent="1"/>
    </xf>
    <xf numFmtId="180" fontId="14" fillId="0" borderId="113" xfId="6" applyNumberFormat="1" applyFont="1" applyBorder="1" applyAlignment="1">
      <alignment horizontal="right" vertical="center"/>
    </xf>
    <xf numFmtId="182" fontId="14" fillId="0" borderId="76" xfId="6" applyNumberFormat="1" applyFont="1" applyBorder="1" applyAlignment="1">
      <alignment horizontal="center" vertical="center"/>
    </xf>
    <xf numFmtId="16" fontId="14" fillId="0" borderId="107" xfId="6" applyNumberFormat="1" applyFont="1" applyBorder="1" applyAlignment="1">
      <alignment horizontal="center" vertical="center"/>
    </xf>
    <xf numFmtId="182" fontId="14" fillId="0" borderId="0" xfId="6" applyNumberFormat="1" applyFont="1" applyAlignment="1">
      <alignment horizontal="center" vertical="center"/>
    </xf>
    <xf numFmtId="16" fontId="14" fillId="0" borderId="108" xfId="6" applyNumberFormat="1" applyFont="1" applyBorder="1" applyAlignment="1">
      <alignment horizontal="center" vertical="center"/>
    </xf>
    <xf numFmtId="182" fontId="14" fillId="0" borderId="113" xfId="6" applyNumberFormat="1" applyFont="1" applyBorder="1" applyAlignment="1">
      <alignment horizontal="center" vertical="center"/>
    </xf>
    <xf numFmtId="0" fontId="14" fillId="0" borderId="115" xfId="6" applyFont="1" applyBorder="1">
      <alignment vertical="center"/>
    </xf>
    <xf numFmtId="0" fontId="21" fillId="0" borderId="107" xfId="6" applyFont="1" applyBorder="1" applyAlignment="1">
      <alignment horizontal="center" vertical="center"/>
    </xf>
    <xf numFmtId="0" fontId="27" fillId="0" borderId="0" xfId="6" applyFont="1">
      <alignment vertical="center"/>
    </xf>
    <xf numFmtId="184" fontId="16" fillId="0" borderId="0" xfId="6" applyNumberFormat="1" applyFont="1">
      <alignment vertical="center"/>
    </xf>
    <xf numFmtId="0" fontId="21" fillId="3" borderId="69" xfId="6" applyFont="1" applyFill="1" applyBorder="1">
      <alignment vertical="center"/>
    </xf>
    <xf numFmtId="0" fontId="21" fillId="3" borderId="70" xfId="6" applyFont="1" applyFill="1" applyBorder="1">
      <alignment vertical="center"/>
    </xf>
    <xf numFmtId="0" fontId="21" fillId="3" borderId="127" xfId="6" applyFont="1" applyFill="1" applyBorder="1">
      <alignment vertical="center"/>
    </xf>
    <xf numFmtId="0" fontId="21" fillId="3" borderId="70" xfId="6" applyFont="1" applyFill="1" applyBorder="1" applyAlignment="1">
      <alignment horizontal="right" vertical="center"/>
    </xf>
    <xf numFmtId="180" fontId="19" fillId="3" borderId="66" xfId="6" applyNumberFormat="1" applyFont="1" applyFill="1" applyBorder="1" applyAlignment="1">
      <alignment horizontal="right" vertical="center"/>
    </xf>
    <xf numFmtId="0" fontId="21" fillId="3" borderId="72" xfId="6" applyFont="1" applyFill="1" applyBorder="1" applyAlignment="1">
      <alignment horizontal="left" vertical="center" indent="1"/>
    </xf>
    <xf numFmtId="0" fontId="19" fillId="0" borderId="0" xfId="6" applyFont="1">
      <alignment vertical="center"/>
    </xf>
    <xf numFmtId="0" fontId="21" fillId="3" borderId="56" xfId="6" applyFont="1" applyFill="1" applyBorder="1">
      <alignment vertical="center"/>
    </xf>
    <xf numFmtId="0" fontId="21" fillId="3" borderId="0" xfId="6" applyFont="1" applyFill="1">
      <alignment vertical="center"/>
    </xf>
    <xf numFmtId="0" fontId="21" fillId="3" borderId="0" xfId="6" applyFont="1" applyFill="1" applyAlignment="1">
      <alignment horizontal="left" vertical="center" indent="1"/>
    </xf>
    <xf numFmtId="0" fontId="21" fillId="3" borderId="26" xfId="6" applyFont="1" applyFill="1" applyBorder="1" applyAlignment="1">
      <alignment horizontal="right" vertical="center"/>
    </xf>
    <xf numFmtId="180" fontId="19" fillId="3" borderId="2" xfId="6" applyNumberFormat="1" applyFont="1" applyFill="1" applyBorder="1" applyAlignment="1">
      <alignment horizontal="right" vertical="center"/>
    </xf>
    <xf numFmtId="0" fontId="21" fillId="3" borderId="55" xfId="6" applyFont="1" applyFill="1" applyBorder="1" applyAlignment="1">
      <alignment horizontal="left" vertical="center" indent="1"/>
    </xf>
    <xf numFmtId="0" fontId="21" fillId="3" borderId="70" xfId="6" applyFont="1" applyFill="1" applyBorder="1" applyAlignment="1">
      <alignment horizontal="left" vertical="center" indent="1"/>
    </xf>
    <xf numFmtId="0" fontId="21" fillId="3" borderId="71" xfId="6" applyFont="1" applyFill="1" applyBorder="1" applyAlignment="1">
      <alignment horizontal="right" vertical="center"/>
    </xf>
    <xf numFmtId="16" fontId="14" fillId="0" borderId="74" xfId="6" applyNumberFormat="1" applyFont="1" applyBorder="1" applyAlignment="1">
      <alignment horizontal="center" vertical="center"/>
    </xf>
    <xf numFmtId="0" fontId="28" fillId="4" borderId="113" xfId="6" applyFont="1" applyFill="1" applyBorder="1" applyAlignment="1">
      <alignment horizontal="left" vertical="center" indent="1"/>
    </xf>
    <xf numFmtId="182" fontId="14" fillId="4" borderId="116" xfId="6" applyNumberFormat="1" applyFont="1" applyFill="1" applyBorder="1" applyAlignment="1">
      <alignment horizontal="center" vertical="center"/>
    </xf>
    <xf numFmtId="0" fontId="21" fillId="0" borderId="112" xfId="6" applyFont="1" applyBorder="1" applyAlignment="1">
      <alignment horizontal="center" vertical="center"/>
    </xf>
    <xf numFmtId="0" fontId="30" fillId="0" borderId="131" xfId="6" applyFont="1" applyBorder="1" applyAlignment="1">
      <alignment horizontal="center" vertical="center"/>
    </xf>
    <xf numFmtId="0" fontId="30" fillId="0" borderId="0" xfId="6" applyFont="1" applyAlignment="1">
      <alignment horizontal="center" vertical="center"/>
    </xf>
    <xf numFmtId="0" fontId="30" fillId="0" borderId="132" xfId="6" applyFont="1" applyBorder="1" applyAlignment="1">
      <alignment horizontal="center" vertical="center"/>
    </xf>
    <xf numFmtId="0" fontId="31" fillId="0" borderId="19" xfId="6" applyFont="1" applyBorder="1" applyAlignment="1">
      <alignment horizontal="center" vertical="center"/>
    </xf>
    <xf numFmtId="0" fontId="31" fillId="0" borderId="19" xfId="6" quotePrefix="1" applyFont="1" applyBorder="1" applyAlignment="1">
      <alignment horizontal="center" vertical="center"/>
    </xf>
    <xf numFmtId="183" fontId="31" fillId="0" borderId="19" xfId="6" applyNumberFormat="1" applyFont="1" applyBorder="1" applyAlignment="1">
      <alignment horizontal="center" vertical="center"/>
    </xf>
    <xf numFmtId="0" fontId="31" fillId="0" borderId="13" xfId="6" applyFont="1" applyBorder="1" applyAlignment="1">
      <alignment horizontal="center" vertical="center"/>
    </xf>
    <xf numFmtId="0" fontId="31" fillId="0" borderId="12" xfId="6" applyFont="1" applyBorder="1" applyAlignment="1">
      <alignment horizontal="center" vertical="center"/>
    </xf>
    <xf numFmtId="0" fontId="31" fillId="0" borderId="134" xfId="6" applyFont="1" applyBorder="1" applyAlignment="1">
      <alignment horizontal="center" vertical="center"/>
    </xf>
    <xf numFmtId="0" fontId="14" fillId="0" borderId="114" xfId="6" applyFont="1" applyBorder="1" applyAlignment="1">
      <alignment horizontal="center" vertical="center"/>
    </xf>
    <xf numFmtId="0" fontId="19" fillId="0" borderId="19" xfId="6" applyFont="1" applyBorder="1" applyAlignment="1">
      <alignment horizontal="center" vertical="center"/>
    </xf>
    <xf numFmtId="185" fontId="31" fillId="0" borderId="19" xfId="6" applyNumberFormat="1" applyFont="1" applyBorder="1">
      <alignment vertical="center"/>
    </xf>
    <xf numFmtId="187" fontId="14" fillId="0" borderId="8" xfId="6" applyNumberFormat="1" applyFont="1" applyBorder="1" applyAlignment="1">
      <alignment horizontal="center" vertical="center"/>
    </xf>
    <xf numFmtId="0" fontId="14" fillId="0" borderId="24" xfId="6" applyFont="1" applyBorder="1" applyAlignment="1">
      <alignment horizontal="left" vertical="center" indent="1"/>
    </xf>
    <xf numFmtId="0" fontId="28" fillId="4" borderId="116" xfId="6" applyFont="1" applyFill="1" applyBorder="1" applyAlignment="1">
      <alignment horizontal="left" vertical="center" indent="1"/>
    </xf>
    <xf numFmtId="0" fontId="28" fillId="4" borderId="149" xfId="6" applyFont="1" applyFill="1" applyBorder="1" applyAlignment="1">
      <alignment horizontal="left" vertical="center" indent="1"/>
    </xf>
    <xf numFmtId="0" fontId="19" fillId="3" borderId="135" xfId="6" applyFont="1" applyFill="1" applyBorder="1" applyAlignment="1">
      <alignment horizontal="center" vertical="center"/>
    </xf>
    <xf numFmtId="16" fontId="14" fillId="0" borderId="150" xfId="6" applyNumberFormat="1" applyFont="1" applyBorder="1" applyAlignment="1">
      <alignment horizontal="center" vertical="center"/>
    </xf>
    <xf numFmtId="182" fontId="14" fillId="0" borderId="136" xfId="6" applyNumberFormat="1" applyFont="1" applyBorder="1" applyAlignment="1">
      <alignment horizontal="center" vertical="center"/>
    </xf>
    <xf numFmtId="0" fontId="21" fillId="0" borderId="153" xfId="6" applyFont="1" applyBorder="1" applyAlignment="1">
      <alignment horizontal="center" vertical="center"/>
    </xf>
    <xf numFmtId="0" fontId="25" fillId="0" borderId="154" xfId="6" applyFont="1" applyBorder="1" applyAlignment="1">
      <alignment horizontal="center" vertical="center"/>
    </xf>
    <xf numFmtId="0" fontId="14" fillId="0" borderId="155" xfId="6" applyFont="1" applyBorder="1" applyAlignment="1">
      <alignment horizontal="center" vertical="center"/>
    </xf>
    <xf numFmtId="180" fontId="14" fillId="0" borderId="136" xfId="6" applyNumberFormat="1" applyFont="1" applyBorder="1" applyAlignment="1">
      <alignment horizontal="right" vertical="center"/>
    </xf>
    <xf numFmtId="0" fontId="19" fillId="3" borderId="26" xfId="6" applyFont="1" applyFill="1" applyBorder="1" applyAlignment="1">
      <alignment horizontal="center" vertical="center"/>
    </xf>
    <xf numFmtId="0" fontId="16" fillId="3" borderId="26" xfId="6" applyFont="1" applyFill="1" applyBorder="1">
      <alignment vertical="center"/>
    </xf>
    <xf numFmtId="0" fontId="21" fillId="3" borderId="137" xfId="6" applyFont="1" applyFill="1" applyBorder="1">
      <alignment vertical="center"/>
    </xf>
    <xf numFmtId="0" fontId="21" fillId="3" borderId="138" xfId="6" applyFont="1" applyFill="1" applyBorder="1">
      <alignment vertical="center"/>
    </xf>
    <xf numFmtId="0" fontId="21" fillId="3" borderId="138" xfId="6" applyFont="1" applyFill="1" applyBorder="1" applyAlignment="1">
      <alignment horizontal="left" vertical="center" indent="1"/>
    </xf>
    <xf numFmtId="0" fontId="21" fillId="0" borderId="161" xfId="6" applyFont="1" applyBorder="1" applyAlignment="1">
      <alignment horizontal="center" vertical="center"/>
    </xf>
    <xf numFmtId="0" fontId="26" fillId="0" borderId="154" xfId="6" applyFont="1" applyBorder="1" applyAlignment="1">
      <alignment horizontal="center" vertical="center"/>
    </xf>
    <xf numFmtId="180" fontId="14" fillId="0" borderId="162" xfId="6" applyNumberFormat="1" applyFont="1" applyBorder="1" applyAlignment="1">
      <alignment horizontal="right" vertical="center"/>
    </xf>
    <xf numFmtId="0" fontId="26" fillId="0" borderId="36" xfId="6" applyFont="1" applyBorder="1" applyAlignment="1">
      <alignment horizontal="center" vertical="center"/>
    </xf>
    <xf numFmtId="180" fontId="14" fillId="0" borderId="24" xfId="6" applyNumberFormat="1" applyFont="1" applyBorder="1" applyAlignment="1">
      <alignment horizontal="right" vertical="center"/>
    </xf>
    <xf numFmtId="0" fontId="24" fillId="0" borderId="163" xfId="6" applyFont="1" applyBorder="1" applyAlignment="1">
      <alignment horizontal="center" vertical="center"/>
    </xf>
    <xf numFmtId="182" fontId="23" fillId="0" borderId="31" xfId="6" applyNumberFormat="1" applyFont="1" applyBorder="1" applyAlignment="1">
      <alignment horizontal="center" vertical="center"/>
    </xf>
    <xf numFmtId="0" fontId="28" fillId="0" borderId="165" xfId="6" applyFont="1" applyBorder="1" applyAlignment="1">
      <alignment horizontal="center" vertical="center"/>
    </xf>
    <xf numFmtId="0" fontId="28" fillId="0" borderId="166" xfId="6" applyFont="1" applyBorder="1" applyAlignment="1">
      <alignment horizontal="center" vertical="center"/>
    </xf>
    <xf numFmtId="0" fontId="23" fillId="0" borderId="167" xfId="6" applyFont="1" applyBorder="1" applyAlignment="1">
      <alignment horizontal="center" vertical="center"/>
    </xf>
    <xf numFmtId="180" fontId="23" fillId="0" borderId="25" xfId="6" applyNumberFormat="1" applyFont="1" applyBorder="1" applyAlignment="1">
      <alignment horizontal="right" vertical="center"/>
    </xf>
    <xf numFmtId="0" fontId="19" fillId="0" borderId="169" xfId="6" applyFont="1" applyBorder="1" applyAlignment="1">
      <alignment horizontal="center" vertical="center"/>
    </xf>
    <xf numFmtId="0" fontId="19" fillId="0" borderId="21" xfId="6" applyFont="1" applyBorder="1" applyAlignment="1">
      <alignment horizontal="center" vertical="center"/>
    </xf>
    <xf numFmtId="0" fontId="17" fillId="3" borderId="100" xfId="6" applyFont="1" applyFill="1" applyBorder="1">
      <alignment vertical="center"/>
    </xf>
    <xf numFmtId="0" fontId="17" fillId="3" borderId="101" xfId="6" applyFont="1" applyFill="1" applyBorder="1">
      <alignment vertical="center"/>
    </xf>
    <xf numFmtId="0" fontId="17" fillId="3" borderId="103" xfId="6" applyFont="1" applyFill="1" applyBorder="1">
      <alignment vertical="center"/>
    </xf>
    <xf numFmtId="0" fontId="29" fillId="3" borderId="100" xfId="6" applyFont="1" applyFill="1" applyBorder="1">
      <alignment vertical="center"/>
    </xf>
    <xf numFmtId="0" fontId="29" fillId="3" borderId="101" xfId="6" applyFont="1" applyFill="1" applyBorder="1">
      <alignment vertical="center"/>
    </xf>
    <xf numFmtId="0" fontId="29" fillId="3" borderId="102" xfId="6" applyFont="1" applyFill="1" applyBorder="1">
      <alignment vertical="center"/>
    </xf>
    <xf numFmtId="0" fontId="32" fillId="0" borderId="79" xfId="6" applyFont="1" applyBorder="1" applyAlignment="1">
      <alignment horizontal="left" vertical="center" indent="1"/>
    </xf>
    <xf numFmtId="0" fontId="32" fillId="0" borderId="55" xfId="6" applyFont="1" applyBorder="1" applyAlignment="1">
      <alignment horizontal="left" vertical="center" indent="1"/>
    </xf>
    <xf numFmtId="0" fontId="32" fillId="0" borderId="58" xfId="6" applyFont="1" applyBorder="1" applyAlignment="1">
      <alignment horizontal="left" vertical="center" indent="1"/>
    </xf>
    <xf numFmtId="0" fontId="33" fillId="3" borderId="72" xfId="6" applyFont="1" applyFill="1" applyBorder="1" applyAlignment="1">
      <alignment horizontal="left" vertical="center" indent="1"/>
    </xf>
    <xf numFmtId="186" fontId="32" fillId="0" borderId="55" xfId="6" quotePrefix="1" applyNumberFormat="1" applyFont="1" applyBorder="1" applyAlignment="1">
      <alignment horizontal="left" vertical="center" indent="1"/>
    </xf>
    <xf numFmtId="0" fontId="32" fillId="0" borderId="125" xfId="6" applyFont="1" applyBorder="1" applyAlignment="1">
      <alignment horizontal="left" vertical="center" indent="1"/>
    </xf>
    <xf numFmtId="0" fontId="33" fillId="3" borderId="55" xfId="6" applyFont="1" applyFill="1" applyBorder="1" applyAlignment="1">
      <alignment horizontal="left" vertical="center" indent="1"/>
    </xf>
    <xf numFmtId="0" fontId="32" fillId="0" borderId="156" xfId="6" applyFont="1" applyBorder="1" applyAlignment="1">
      <alignment horizontal="left" vertical="center" indent="1"/>
    </xf>
    <xf numFmtId="0" fontId="32" fillId="0" borderId="157" xfId="6" applyFont="1" applyBorder="1" applyAlignment="1">
      <alignment horizontal="left" vertical="center" indent="1"/>
    </xf>
    <xf numFmtId="0" fontId="33" fillId="3" borderId="158" xfId="6" applyFont="1" applyFill="1" applyBorder="1" applyAlignment="1">
      <alignment horizontal="left" vertical="center" indent="1"/>
    </xf>
    <xf numFmtId="0" fontId="32" fillId="0" borderId="168" xfId="6" applyFont="1" applyBorder="1" applyAlignment="1">
      <alignment horizontal="left" vertical="center" indent="1"/>
    </xf>
    <xf numFmtId="0" fontId="23" fillId="2" borderId="0" xfId="7" quotePrefix="1" applyNumberFormat="1" applyFont="1" applyFill="1" applyBorder="1" applyAlignment="1" applyProtection="1">
      <alignment horizontal="left" vertical="center" indent="1"/>
    </xf>
    <xf numFmtId="0" fontId="23" fillId="2" borderId="60" xfId="7" quotePrefix="1" applyNumberFormat="1" applyFont="1" applyFill="1" applyBorder="1" applyAlignment="1" applyProtection="1">
      <alignment horizontal="left" vertical="center" indent="1"/>
    </xf>
    <xf numFmtId="0" fontId="23" fillId="2" borderId="70" xfId="7" applyNumberFormat="1" applyFont="1" applyFill="1" applyBorder="1" applyAlignment="1" applyProtection="1">
      <alignment horizontal="left" vertical="center" indent="1"/>
    </xf>
    <xf numFmtId="0" fontId="23" fillId="2" borderId="70" xfId="7" quotePrefix="1" applyNumberFormat="1" applyFont="1" applyFill="1" applyBorder="1" applyAlignment="1" applyProtection="1">
      <alignment horizontal="left" vertical="center" indent="1"/>
    </xf>
    <xf numFmtId="0" fontId="23" fillId="2" borderId="84" xfId="7" quotePrefix="1" applyNumberFormat="1" applyFont="1" applyFill="1" applyBorder="1" applyAlignment="1" applyProtection="1">
      <alignment horizontal="left" vertical="center" indent="1"/>
    </xf>
    <xf numFmtId="0" fontId="14" fillId="0" borderId="24" xfId="0" applyFont="1" applyBorder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36" fillId="3" borderId="172" xfId="1" applyFont="1" applyFill="1" applyBorder="1" applyAlignment="1">
      <alignment horizontal="center" wrapText="1"/>
    </xf>
    <xf numFmtId="0" fontId="14" fillId="0" borderId="170" xfId="0" applyFont="1" applyBorder="1" applyAlignment="1">
      <alignment horizontal="left" vertical="center" indent="1"/>
    </xf>
    <xf numFmtId="0" fontId="38" fillId="0" borderId="171" xfId="0" applyFont="1" applyBorder="1" applyAlignment="1">
      <alignment vertical="center"/>
    </xf>
    <xf numFmtId="0" fontId="39" fillId="0" borderId="171" xfId="21" applyFont="1" applyBorder="1">
      <alignment vertical="center"/>
    </xf>
    <xf numFmtId="0" fontId="39" fillId="0" borderId="171" xfId="21" applyFont="1" applyBorder="1" applyAlignment="1">
      <alignment horizontal="center" vertical="center"/>
    </xf>
    <xf numFmtId="0" fontId="16" fillId="0" borderId="171" xfId="0" applyFont="1" applyBorder="1" applyAlignment="1">
      <alignment vertical="center"/>
    </xf>
    <xf numFmtId="0" fontId="14" fillId="0" borderId="0" xfId="5" applyFont="1" applyAlignment="1">
      <alignment horizontal="left" vertical="center" indent="1"/>
    </xf>
    <xf numFmtId="0" fontId="14" fillId="0" borderId="24" xfId="5" applyFont="1" applyBorder="1" applyAlignment="1">
      <alignment horizontal="left" vertical="center" indent="1"/>
    </xf>
    <xf numFmtId="0" fontId="21" fillId="5" borderId="176" xfId="1" applyFont="1" applyFill="1" applyBorder="1" applyAlignment="1">
      <alignment horizontal="right" vertical="center" wrapText="1"/>
    </xf>
    <xf numFmtId="20" fontId="35" fillId="0" borderId="178" xfId="1" applyNumberFormat="1" applyFont="1" applyBorder="1" applyAlignment="1">
      <alignment horizontal="center" vertical="center" wrapText="1"/>
    </xf>
    <xf numFmtId="189" fontId="21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5" borderId="180" xfId="1" applyFont="1" applyFill="1" applyBorder="1" applyAlignment="1">
      <alignment horizontal="right" vertical="center" wrapText="1"/>
    </xf>
    <xf numFmtId="0" fontId="14" fillId="0" borderId="25" xfId="0" applyFont="1" applyBorder="1" applyAlignment="1">
      <alignment horizontal="left" vertical="center" indent="1"/>
    </xf>
    <xf numFmtId="0" fontId="14" fillId="0" borderId="8" xfId="6" applyFont="1" applyBorder="1" applyAlignment="1">
      <alignment horizontal="left" vertical="center" indent="1"/>
    </xf>
    <xf numFmtId="0" fontId="14" fillId="0" borderId="6" xfId="6" applyFont="1" applyBorder="1" applyAlignment="1">
      <alignment horizontal="left" vertical="center" indent="1"/>
    </xf>
    <xf numFmtId="0" fontId="22" fillId="0" borderId="183" xfId="6" applyFont="1" applyBorder="1" applyAlignment="1">
      <alignment horizontal="center" vertical="center"/>
    </xf>
    <xf numFmtId="0" fontId="35" fillId="0" borderId="184" xfId="1" applyFont="1" applyBorder="1" applyAlignment="1">
      <alignment horizontal="center" vertical="center" wrapText="1"/>
    </xf>
    <xf numFmtId="20" fontId="35" fillId="0" borderId="185" xfId="1" applyNumberFormat="1" applyFont="1" applyBorder="1" applyAlignment="1">
      <alignment horizontal="center" vertical="center" wrapText="1"/>
    </xf>
    <xf numFmtId="0" fontId="15" fillId="0" borderId="185" xfId="5" applyFont="1" applyBorder="1" applyAlignment="1">
      <alignment horizontal="left" vertical="center" indent="1"/>
    </xf>
    <xf numFmtId="0" fontId="14" fillId="0" borderId="136" xfId="5" applyFont="1" applyBorder="1" applyAlignment="1">
      <alignment horizontal="left" vertical="center" indent="1"/>
    </xf>
    <xf numFmtId="0" fontId="14" fillId="0" borderId="186" xfId="5" applyFont="1" applyBorder="1" applyAlignment="1">
      <alignment horizontal="left" vertical="center" indent="1"/>
    </xf>
    <xf numFmtId="0" fontId="14" fillId="0" borderId="188" xfId="5" applyFont="1" applyBorder="1" applyAlignment="1">
      <alignment horizontal="left" vertical="center" indent="1"/>
    </xf>
    <xf numFmtId="0" fontId="40" fillId="0" borderId="189" xfId="1" applyFont="1" applyBorder="1" applyAlignment="1">
      <alignment horizontal="center" vertical="center" wrapText="1"/>
    </xf>
    <xf numFmtId="20" fontId="40" fillId="0" borderId="190" xfId="1" applyNumberFormat="1" applyFont="1" applyBorder="1" applyAlignment="1">
      <alignment horizontal="center" vertical="center" wrapText="1"/>
    </xf>
    <xf numFmtId="0" fontId="14" fillId="0" borderId="138" xfId="5" applyFont="1" applyBorder="1" applyAlignment="1">
      <alignment horizontal="left" vertical="center" indent="1"/>
    </xf>
    <xf numFmtId="0" fontId="14" fillId="0" borderId="191" xfId="5" applyFont="1" applyBorder="1" applyAlignment="1">
      <alignment horizontal="left" vertical="center" indent="1"/>
    </xf>
    <xf numFmtId="0" fontId="35" fillId="0" borderId="187" xfId="1" applyFont="1" applyBorder="1" applyAlignment="1">
      <alignment horizontal="center" vertical="center" wrapText="1"/>
    </xf>
    <xf numFmtId="0" fontId="16" fillId="8" borderId="0" xfId="0" applyFont="1" applyFill="1" applyAlignment="1">
      <alignment vertical="center"/>
    </xf>
    <xf numFmtId="0" fontId="16" fillId="8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26" applyFont="1" applyAlignment="1">
      <alignment horizontal="center" vertical="center" wrapText="1"/>
    </xf>
    <xf numFmtId="0" fontId="16" fillId="0" borderId="0" xfId="26" applyFont="1" applyAlignment="1">
      <alignment vertical="center" wrapText="1"/>
    </xf>
    <xf numFmtId="0" fontId="43" fillId="0" borderId="0" xfId="0" applyFont="1" applyAlignment="1">
      <alignment horizontal="right" vertical="center"/>
    </xf>
    <xf numFmtId="0" fontId="44" fillId="0" borderId="0" xfId="21" applyFont="1" applyAlignment="1">
      <alignment horizontal="right"/>
    </xf>
    <xf numFmtId="0" fontId="44" fillId="0" borderId="0" xfId="21" applyFont="1" applyAlignment="1">
      <alignment horizontal="right" vertical="top"/>
    </xf>
    <xf numFmtId="0" fontId="39" fillId="0" borderId="0" xfId="21" applyFont="1" applyAlignment="1">
      <alignment horizontal="right" vertical="top"/>
    </xf>
    <xf numFmtId="0" fontId="16" fillId="0" borderId="0" xfId="15" applyFont="1">
      <alignment vertical="center"/>
    </xf>
    <xf numFmtId="0" fontId="14" fillId="0" borderId="0" xfId="15" applyFont="1">
      <alignment vertical="center"/>
    </xf>
    <xf numFmtId="0" fontId="49" fillId="0" borderId="0" xfId="15" applyFont="1">
      <alignment vertical="center"/>
    </xf>
    <xf numFmtId="0" fontId="50" fillId="0" borderId="0" xfId="15" applyFont="1">
      <alignment vertical="center"/>
    </xf>
    <xf numFmtId="0" fontId="52" fillId="0" borderId="0" xfId="15" applyFont="1">
      <alignment vertical="center"/>
    </xf>
    <xf numFmtId="0" fontId="55" fillId="9" borderId="0" xfId="18" applyFont="1" applyFill="1" applyAlignment="1">
      <alignment wrapText="1"/>
    </xf>
    <xf numFmtId="0" fontId="55" fillId="0" borderId="0" xfId="18" applyFont="1" applyAlignment="1">
      <alignment wrapText="1"/>
    </xf>
    <xf numFmtId="0" fontId="56" fillId="0" borderId="0" xfId="18" applyFont="1">
      <alignment vertical="center"/>
    </xf>
    <xf numFmtId="0" fontId="57" fillId="0" borderId="0" xfId="18" applyFont="1">
      <alignment vertical="center"/>
    </xf>
    <xf numFmtId="0" fontId="57" fillId="0" borderId="0" xfId="18" applyFont="1" applyAlignment="1">
      <alignment wrapText="1"/>
    </xf>
    <xf numFmtId="0" fontId="58" fillId="0" borderId="0" xfId="18" applyFont="1">
      <alignment vertical="center"/>
    </xf>
    <xf numFmtId="0" fontId="59" fillId="0" borderId="0" xfId="18" applyFont="1" applyAlignment="1">
      <alignment vertical="center" wrapText="1"/>
    </xf>
    <xf numFmtId="14" fontId="59" fillId="0" borderId="0" xfId="18" applyNumberFormat="1" applyFont="1" applyAlignment="1">
      <alignment horizontal="left" vertical="center" wrapText="1"/>
    </xf>
    <xf numFmtId="0" fontId="60" fillId="0" borderId="0" xfId="18" applyFont="1" applyAlignment="1">
      <alignment vertical="center" wrapText="1"/>
    </xf>
    <xf numFmtId="0" fontId="61" fillId="0" borderId="0" xfId="18" applyFont="1" applyAlignment="1">
      <alignment vertical="center" wrapText="1"/>
    </xf>
    <xf numFmtId="0" fontId="62" fillId="0" borderId="0" xfId="18" applyFont="1" applyAlignment="1">
      <alignment horizontal="left" vertical="center"/>
    </xf>
    <xf numFmtId="0" fontId="63" fillId="0" borderId="0" xfId="18" applyFont="1" applyAlignment="1">
      <alignment horizontal="left" vertical="center"/>
    </xf>
    <xf numFmtId="0" fontId="63" fillId="0" borderId="0" xfId="18" applyFont="1">
      <alignment vertical="center"/>
    </xf>
    <xf numFmtId="0" fontId="63" fillId="0" borderId="0" xfId="18" applyFont="1" applyAlignment="1">
      <alignment horizontal="left" vertical="center" wrapText="1"/>
    </xf>
    <xf numFmtId="191" fontId="63" fillId="4" borderId="0" xfId="18" applyNumberFormat="1" applyFont="1" applyFill="1" applyAlignment="1">
      <alignment horizontal="left" vertical="center" wrapText="1"/>
    </xf>
    <xf numFmtId="0" fontId="60" fillId="0" borderId="208" xfId="18" applyFont="1" applyBorder="1" applyAlignment="1">
      <alignment wrapText="1"/>
    </xf>
    <xf numFmtId="0" fontId="60" fillId="0" borderId="0" xfId="18" applyFont="1" applyAlignment="1">
      <alignment wrapText="1"/>
    </xf>
    <xf numFmtId="0" fontId="64" fillId="0" borderId="0" xfId="28" applyFont="1" applyAlignment="1">
      <alignment horizontal="right" wrapText="1"/>
    </xf>
    <xf numFmtId="0" fontId="65" fillId="0" borderId="0" xfId="28" applyFont="1" applyAlignment="1"/>
    <xf numFmtId="192" fontId="65" fillId="0" borderId="0" xfId="28" applyNumberFormat="1" applyFont="1" applyAlignment="1">
      <alignment horizontal="right" wrapText="1"/>
    </xf>
    <xf numFmtId="176" fontId="65" fillId="0" borderId="0" xfId="28" applyNumberFormat="1" applyFont="1" applyAlignment="1">
      <alignment horizontal="right" wrapText="1"/>
    </xf>
    <xf numFmtId="0" fontId="65" fillId="0" borderId="0" xfId="28" applyFont="1" applyAlignment="1">
      <alignment wrapText="1"/>
    </xf>
    <xf numFmtId="0" fontId="65" fillId="0" borderId="0" xfId="28" applyFont="1" applyAlignment="1">
      <alignment horizontal="right" wrapText="1"/>
    </xf>
    <xf numFmtId="0" fontId="66" fillId="10" borderId="209" xfId="28" applyFont="1" applyFill="1" applyBorder="1" applyAlignment="1">
      <alignment horizontal="left" vertical="center"/>
    </xf>
    <xf numFmtId="0" fontId="66" fillId="0" borderId="209" xfId="28" applyFont="1" applyBorder="1" applyAlignment="1">
      <alignment horizontal="left" vertical="center"/>
    </xf>
    <xf numFmtId="0" fontId="60" fillId="0" borderId="0" xfId="28" applyFont="1" applyAlignment="1">
      <alignment horizontal="right" vertical="center" wrapText="1"/>
    </xf>
    <xf numFmtId="176" fontId="67" fillId="0" borderId="0" xfId="28" applyNumberFormat="1" applyFont="1" applyAlignment="1">
      <alignment horizontal="right" vertical="center" wrapText="1"/>
    </xf>
    <xf numFmtId="0" fontId="68" fillId="6" borderId="0" xfId="28" applyFont="1" applyFill="1">
      <alignment vertical="center"/>
    </xf>
    <xf numFmtId="0" fontId="66" fillId="0" borderId="0" xfId="28" applyFont="1">
      <alignment vertical="center"/>
    </xf>
    <xf numFmtId="0" fontId="69" fillId="0" borderId="0" xfId="28" applyFont="1" applyAlignment="1">
      <alignment horizontal="right" vertical="center" wrapText="1"/>
    </xf>
    <xf numFmtId="176" fontId="70" fillId="0" borderId="0" xfId="28" applyNumberFormat="1" applyFont="1" applyAlignment="1">
      <alignment horizontal="right" vertical="center" wrapText="1"/>
    </xf>
    <xf numFmtId="176" fontId="71" fillId="0" borderId="0" xfId="28" applyNumberFormat="1" applyFont="1" applyAlignment="1">
      <alignment horizontal="right" vertical="center"/>
    </xf>
    <xf numFmtId="26" fontId="71" fillId="0" borderId="0" xfId="28" applyNumberFormat="1" applyFont="1" applyAlignment="1">
      <alignment horizontal="right" vertical="center"/>
    </xf>
    <xf numFmtId="193" fontId="0" fillId="0" borderId="0" xfId="0" applyNumberFormat="1"/>
    <xf numFmtId="0" fontId="60" fillId="0" borderId="0" xfId="28" applyFont="1" applyAlignment="1">
      <alignment vertical="center" wrapText="1"/>
    </xf>
    <xf numFmtId="177" fontId="71" fillId="0" borderId="0" xfId="27" applyFont="1" applyAlignment="1">
      <alignment horizontal="right" vertical="center"/>
    </xf>
    <xf numFmtId="0" fontId="60" fillId="0" borderId="0" xfId="28" applyFont="1" applyAlignment="1">
      <alignment wrapText="1"/>
    </xf>
    <xf numFmtId="194" fontId="72" fillId="0" borderId="0" xfId="28" applyNumberFormat="1" applyFont="1" applyAlignment="1">
      <alignment horizontal="right" wrapText="1"/>
    </xf>
    <xf numFmtId="0" fontId="73" fillId="0" borderId="135" xfId="28" applyFont="1" applyBorder="1" applyAlignment="1">
      <alignment horizontal="left" wrapText="1" indent="1"/>
    </xf>
    <xf numFmtId="0" fontId="74" fillId="0" borderId="136" xfId="28" applyFont="1" applyBorder="1" applyAlignment="1">
      <alignment horizontal="left" indent="1"/>
    </xf>
    <xf numFmtId="0" fontId="74" fillId="0" borderId="136" xfId="28" applyFont="1" applyBorder="1" applyAlignment="1">
      <alignment wrapText="1"/>
    </xf>
    <xf numFmtId="0" fontId="75" fillId="0" borderId="136" xfId="28" applyFont="1" applyBorder="1" applyAlignment="1">
      <alignment wrapText="1"/>
    </xf>
    <xf numFmtId="0" fontId="60" fillId="0" borderId="186" xfId="28" applyFont="1" applyBorder="1" applyAlignment="1">
      <alignment wrapText="1"/>
    </xf>
    <xf numFmtId="0" fontId="73" fillId="0" borderId="26" xfId="28" applyFont="1" applyBorder="1" applyAlignment="1">
      <alignment horizontal="left" vertical="center" indent="1"/>
    </xf>
    <xf numFmtId="0" fontId="74" fillId="0" borderId="0" xfId="28" applyFont="1" applyAlignment="1">
      <alignment horizontal="left" vertical="center" indent="1"/>
    </xf>
    <xf numFmtId="0" fontId="74" fillId="0" borderId="0" xfId="28" applyFont="1">
      <alignment vertical="center"/>
    </xf>
    <xf numFmtId="0" fontId="75" fillId="0" borderId="0" xfId="28" applyFont="1">
      <alignment vertical="center"/>
    </xf>
    <xf numFmtId="0" fontId="76" fillId="0" borderId="188" xfId="28" applyFont="1" applyBorder="1">
      <alignment vertical="center"/>
    </xf>
    <xf numFmtId="0" fontId="74" fillId="0" borderId="0" xfId="28" quotePrefix="1" applyFont="1" applyAlignment="1">
      <alignment horizontal="left" vertical="center" indent="1"/>
    </xf>
    <xf numFmtId="0" fontId="73" fillId="0" borderId="137" xfId="28" applyFont="1" applyBorder="1" applyAlignment="1">
      <alignment horizontal="left" vertical="center" indent="1"/>
    </xf>
    <xf numFmtId="0" fontId="74" fillId="0" borderId="138" xfId="28" quotePrefix="1" applyFont="1" applyBorder="1" applyAlignment="1">
      <alignment horizontal="left" vertical="center" indent="1"/>
    </xf>
    <xf numFmtId="0" fontId="74" fillId="0" borderId="138" xfId="28" applyFont="1" applyBorder="1">
      <alignment vertical="center"/>
    </xf>
    <xf numFmtId="0" fontId="75" fillId="0" borderId="138" xfId="28" applyFont="1" applyBorder="1">
      <alignment vertical="center"/>
    </xf>
    <xf numFmtId="0" fontId="76" fillId="0" borderId="191" xfId="28" applyFont="1" applyBorder="1">
      <alignment vertical="center"/>
    </xf>
    <xf numFmtId="180" fontId="19" fillId="0" borderId="0" xfId="6" applyNumberFormat="1" applyFont="1">
      <alignment vertical="center"/>
    </xf>
    <xf numFmtId="0" fontId="14" fillId="0" borderId="173" xfId="0" applyFont="1" applyBorder="1" applyAlignment="1">
      <alignment horizontal="left" vertical="center" indent="1"/>
    </xf>
    <xf numFmtId="0" fontId="14" fillId="0" borderId="174" xfId="0" applyFont="1" applyBorder="1" applyAlignment="1">
      <alignment horizontal="left" vertical="center" indent="1"/>
    </xf>
    <xf numFmtId="0" fontId="14" fillId="0" borderId="175" xfId="0" applyFont="1" applyBorder="1" applyAlignment="1">
      <alignment horizontal="left" vertical="center" indent="1"/>
    </xf>
    <xf numFmtId="0" fontId="14" fillId="0" borderId="178" xfId="0" applyFont="1" applyBorder="1" applyAlignment="1">
      <alignment horizontal="left" vertical="center" indent="1"/>
    </xf>
    <xf numFmtId="0" fontId="14" fillId="0" borderId="179" xfId="0" applyFont="1" applyBorder="1" applyAlignment="1">
      <alignment horizontal="left" vertical="center" indent="1"/>
    </xf>
    <xf numFmtId="0" fontId="21" fillId="0" borderId="180" xfId="1" applyFont="1" applyBorder="1" applyAlignment="1">
      <alignment horizontal="right" vertical="center" wrapText="1"/>
    </xf>
    <xf numFmtId="0" fontId="14" fillId="7" borderId="0" xfId="5" applyFont="1" applyFill="1" applyAlignment="1">
      <alignment horizontal="left" vertical="center" indent="1"/>
    </xf>
    <xf numFmtId="0" fontId="14" fillId="7" borderId="136" xfId="5" applyFont="1" applyFill="1" applyBorder="1" applyAlignment="1">
      <alignment horizontal="left" vertical="center" indent="1"/>
    </xf>
    <xf numFmtId="0" fontId="14" fillId="7" borderId="186" xfId="5" applyFont="1" applyFill="1" applyBorder="1" applyAlignment="1">
      <alignment horizontal="left" vertical="center" indent="1"/>
    </xf>
    <xf numFmtId="0" fontId="14" fillId="7" borderId="138" xfId="5" applyFont="1" applyFill="1" applyBorder="1" applyAlignment="1">
      <alignment horizontal="left" vertical="center" indent="1"/>
    </xf>
    <xf numFmtId="0" fontId="14" fillId="7" borderId="191" xfId="5" applyFont="1" applyFill="1" applyBorder="1" applyAlignment="1">
      <alignment horizontal="left" vertical="center" indent="1"/>
    </xf>
    <xf numFmtId="0" fontId="14" fillId="7" borderId="188" xfId="5" applyFont="1" applyFill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20" fontId="28" fillId="0" borderId="0" xfId="1" applyNumberFormat="1" applyFont="1" applyAlignment="1">
      <alignment horizontal="center" vertical="center" wrapText="1"/>
    </xf>
    <xf numFmtId="20" fontId="21" fillId="0" borderId="0" xfId="0" applyNumberFormat="1" applyFont="1" applyAlignment="1">
      <alignment horizontal="center" vertical="center"/>
    </xf>
    <xf numFmtId="0" fontId="15" fillId="0" borderId="0" xfId="5" applyFont="1" applyAlignment="1">
      <alignment horizontal="left" vertical="center" indent="1"/>
    </xf>
    <xf numFmtId="0" fontId="15" fillId="0" borderId="0" xfId="5" quotePrefix="1" applyFont="1" applyAlignment="1">
      <alignment horizontal="left" vertical="center" indent="1"/>
    </xf>
    <xf numFmtId="0" fontId="21" fillId="0" borderId="210" xfId="0" applyFont="1" applyBorder="1" applyAlignment="1">
      <alignment horizontal="center" vertical="center"/>
    </xf>
    <xf numFmtId="0" fontId="14" fillId="0" borderId="210" xfId="0" applyFont="1" applyBorder="1" applyAlignment="1">
      <alignment horizontal="left" vertical="center" indent="1"/>
    </xf>
    <xf numFmtId="0" fontId="14" fillId="0" borderId="21" xfId="0" applyFont="1" applyBorder="1" applyAlignment="1">
      <alignment horizontal="left" vertical="center" indent="1"/>
    </xf>
    <xf numFmtId="0" fontId="14" fillId="0" borderId="22" xfId="6" applyFont="1" applyBorder="1" applyAlignment="1">
      <alignment horizontal="center" vertical="center"/>
    </xf>
    <xf numFmtId="0" fontId="23" fillId="0" borderId="55" xfId="6" applyFont="1" applyBorder="1" applyAlignment="1">
      <alignment horizontal="left" vertical="center" indent="1"/>
    </xf>
    <xf numFmtId="182" fontId="14" fillId="0" borderId="38" xfId="6" applyNumberFormat="1" applyFont="1" applyBorder="1" applyAlignment="1">
      <alignment horizontal="center" vertical="center"/>
    </xf>
    <xf numFmtId="182" fontId="14" fillId="0" borderId="213" xfId="6" applyNumberFormat="1" applyFont="1" applyBorder="1" applyAlignment="1">
      <alignment horizontal="center" vertical="center"/>
    </xf>
    <xf numFmtId="182" fontId="14" fillId="0" borderId="214" xfId="6" applyNumberFormat="1" applyFont="1" applyBorder="1" applyAlignment="1">
      <alignment horizontal="center" vertical="center"/>
    </xf>
    <xf numFmtId="182" fontId="14" fillId="0" borderId="215" xfId="6" applyNumberFormat="1" applyFont="1" applyBorder="1" applyAlignment="1">
      <alignment horizontal="center" vertical="center"/>
    </xf>
    <xf numFmtId="0" fontId="32" fillId="0" borderId="216" xfId="6" applyFont="1" applyBorder="1" applyAlignment="1">
      <alignment horizontal="left" vertical="center" indent="1"/>
    </xf>
    <xf numFmtId="0" fontId="21" fillId="3" borderId="137" xfId="6" applyFont="1" applyFill="1" applyBorder="1" applyAlignment="1">
      <alignment horizontal="right" vertical="center"/>
    </xf>
    <xf numFmtId="180" fontId="19" fillId="3" borderId="217" xfId="6" applyNumberFormat="1" applyFont="1" applyFill="1" applyBorder="1" applyAlignment="1">
      <alignment horizontal="right" vertical="center"/>
    </xf>
    <xf numFmtId="0" fontId="14" fillId="0" borderId="221" xfId="6" applyFont="1" applyBorder="1" applyAlignment="1">
      <alignment horizontal="center" vertical="center"/>
    </xf>
    <xf numFmtId="187" fontId="14" fillId="0" borderId="9" xfId="6" applyNumberFormat="1" applyFont="1" applyBorder="1" applyAlignment="1">
      <alignment horizontal="center" vertical="center"/>
    </xf>
    <xf numFmtId="186" fontId="32" fillId="0" borderId="58" xfId="6" quotePrefix="1" applyNumberFormat="1" applyFont="1" applyBorder="1" applyAlignment="1">
      <alignment horizontal="left" vertical="center" indent="1"/>
    </xf>
    <xf numFmtId="49" fontId="81" fillId="0" borderId="0" xfId="12" applyNumberFormat="1" applyFont="1" applyAlignment="1">
      <alignment vertical="center"/>
    </xf>
    <xf numFmtId="49" fontId="82" fillId="12" borderId="222" xfId="12" applyNumberFormat="1" applyFont="1" applyFill="1" applyBorder="1" applyAlignment="1">
      <alignment horizontal="center" vertical="center" wrapText="1"/>
    </xf>
    <xf numFmtId="49" fontId="82" fillId="12" borderId="223" xfId="12" applyNumberFormat="1" applyFont="1" applyFill="1" applyBorder="1" applyAlignment="1">
      <alignment horizontal="center" vertical="center" wrapText="1"/>
    </xf>
    <xf numFmtId="49" fontId="82" fillId="12" borderId="224" xfId="12" applyNumberFormat="1" applyFont="1" applyFill="1" applyBorder="1" applyAlignment="1">
      <alignment horizontal="center" vertical="center" wrapText="1"/>
    </xf>
    <xf numFmtId="196" fontId="83" fillId="0" borderId="225" xfId="12" applyNumberFormat="1" applyFont="1" applyBorder="1" applyAlignment="1">
      <alignment horizontal="center" vertical="center" wrapText="1"/>
    </xf>
    <xf numFmtId="197" fontId="83" fillId="0" borderId="225" xfId="12" applyNumberFormat="1" applyFont="1" applyBorder="1" applyAlignment="1">
      <alignment horizontal="center" vertical="center" wrapText="1"/>
    </xf>
    <xf numFmtId="0" fontId="84" fillId="0" borderId="23" xfId="12" applyFont="1" applyBorder="1" applyAlignment="1">
      <alignment horizontal="center" vertical="center"/>
    </xf>
    <xf numFmtId="0" fontId="85" fillId="0" borderId="23" xfId="12" applyFont="1" applyBorder="1" applyAlignment="1">
      <alignment vertical="center"/>
    </xf>
    <xf numFmtId="20" fontId="84" fillId="0" borderId="23" xfId="12" applyNumberFormat="1" applyFont="1" applyBorder="1" applyAlignment="1">
      <alignment horizontal="center" vertical="center"/>
    </xf>
    <xf numFmtId="0" fontId="84" fillId="0" borderId="23" xfId="12" applyFont="1" applyBorder="1" applyAlignment="1">
      <alignment vertical="center"/>
    </xf>
    <xf numFmtId="49" fontId="83" fillId="0" borderId="225" xfId="12" applyNumberFormat="1" applyFont="1" applyBorder="1" applyAlignment="1">
      <alignment horizontal="center" vertical="center" wrapText="1"/>
    </xf>
    <xf numFmtId="0" fontId="86" fillId="6" borderId="23" xfId="12" applyFont="1" applyFill="1" applyBorder="1" applyAlignment="1">
      <alignment vertical="center"/>
    </xf>
    <xf numFmtId="0" fontId="84" fillId="6" borderId="23" xfId="12" applyFont="1" applyFill="1" applyBorder="1" applyAlignment="1">
      <alignment vertical="center"/>
    </xf>
    <xf numFmtId="49" fontId="83" fillId="0" borderId="226" xfId="12" applyNumberFormat="1" applyFont="1" applyBorder="1" applyAlignment="1">
      <alignment horizontal="center" vertical="center" wrapText="1"/>
    </xf>
    <xf numFmtId="49" fontId="83" fillId="0" borderId="227" xfId="12" applyNumberFormat="1" applyFont="1" applyBorder="1" applyAlignment="1">
      <alignment horizontal="center" vertical="center" wrapText="1"/>
    </xf>
    <xf numFmtId="49" fontId="83" fillId="0" borderId="228" xfId="12" applyNumberFormat="1" applyFont="1" applyBorder="1" applyAlignment="1">
      <alignment horizontal="center" vertical="center" wrapText="1"/>
    </xf>
    <xf numFmtId="0" fontId="84" fillId="0" borderId="229" xfId="12" applyFont="1" applyBorder="1" applyAlignment="1">
      <alignment horizontal="center" vertical="center"/>
    </xf>
    <xf numFmtId="0" fontId="84" fillId="0" borderId="230" xfId="12" applyFont="1" applyBorder="1" applyAlignment="1">
      <alignment horizontal="center" vertical="center"/>
    </xf>
    <xf numFmtId="197" fontId="83" fillId="0" borderId="231" xfId="12" applyNumberFormat="1" applyFont="1" applyBorder="1" applyAlignment="1">
      <alignment horizontal="center" vertical="center" wrapText="1"/>
    </xf>
    <xf numFmtId="49" fontId="83" fillId="0" borderId="232" xfId="12" applyNumberFormat="1" applyFont="1" applyBorder="1" applyAlignment="1">
      <alignment horizontal="center" vertical="center" wrapText="1"/>
    </xf>
    <xf numFmtId="49" fontId="83" fillId="0" borderId="233" xfId="12" applyNumberFormat="1" applyFont="1" applyBorder="1" applyAlignment="1">
      <alignment horizontal="center" vertical="center" wrapText="1"/>
    </xf>
    <xf numFmtId="49" fontId="83" fillId="0" borderId="234" xfId="12" applyNumberFormat="1" applyFont="1" applyBorder="1" applyAlignment="1">
      <alignment horizontal="center" vertical="center" wrapText="1"/>
    </xf>
    <xf numFmtId="49" fontId="83" fillId="0" borderId="235" xfId="12" applyNumberFormat="1" applyFont="1" applyBorder="1" applyAlignment="1">
      <alignment horizontal="center" vertical="center" wrapText="1"/>
    </xf>
    <xf numFmtId="198" fontId="84" fillId="0" borderId="229" xfId="12" applyNumberFormat="1" applyFont="1" applyBorder="1" applyAlignment="1">
      <alignment horizontal="center" vertical="center"/>
    </xf>
    <xf numFmtId="0" fontId="84" fillId="0" borderId="236" xfId="12" applyFont="1" applyBorder="1" applyAlignment="1">
      <alignment horizontal="center" vertical="center"/>
    </xf>
    <xf numFmtId="49" fontId="83" fillId="0" borderId="231" xfId="12" applyNumberFormat="1" applyFont="1" applyBorder="1" applyAlignment="1">
      <alignment horizontal="center" vertical="center" wrapText="1"/>
    </xf>
    <xf numFmtId="0" fontId="85" fillId="0" borderId="237" xfId="12" applyFont="1" applyBorder="1" applyAlignment="1">
      <alignment vertical="center"/>
    </xf>
    <xf numFmtId="49" fontId="83" fillId="0" borderId="238" xfId="12" applyNumberFormat="1" applyFont="1" applyBorder="1" applyAlignment="1">
      <alignment horizontal="center" vertical="center" wrapText="1"/>
    </xf>
    <xf numFmtId="49" fontId="81" fillId="0" borderId="232" xfId="12" applyNumberFormat="1" applyFont="1" applyBorder="1" applyAlignment="1">
      <alignment horizontal="center" vertical="center" wrapText="1"/>
    </xf>
    <xf numFmtId="49" fontId="81" fillId="0" borderId="238" xfId="12" applyNumberFormat="1" applyFont="1" applyBorder="1" applyAlignment="1">
      <alignment horizontal="center" vertical="center" wrapText="1"/>
    </xf>
    <xf numFmtId="0" fontId="84" fillId="0" borderId="239" xfId="12" applyFont="1" applyBorder="1" applyAlignment="1">
      <alignment horizontal="center" vertical="center"/>
    </xf>
    <xf numFmtId="199" fontId="83" fillId="0" borderId="225" xfId="12" applyNumberFormat="1" applyFont="1" applyBorder="1" applyAlignment="1">
      <alignment horizontal="center" vertical="center" wrapText="1"/>
    </xf>
    <xf numFmtId="0" fontId="85" fillId="0" borderId="240" xfId="12" applyFont="1" applyBorder="1" applyAlignment="1">
      <alignment vertical="center"/>
    </xf>
    <xf numFmtId="196" fontId="83" fillId="0" borderId="241" xfId="12" applyNumberFormat="1" applyFont="1" applyBorder="1" applyAlignment="1">
      <alignment horizontal="center" vertical="center" wrapText="1"/>
    </xf>
    <xf numFmtId="197" fontId="83" fillId="0" borderId="230" xfId="12" applyNumberFormat="1" applyFont="1" applyBorder="1" applyAlignment="1">
      <alignment horizontal="center" vertical="center" wrapText="1"/>
    </xf>
    <xf numFmtId="198" fontId="84" fillId="0" borderId="242" xfId="12" applyNumberFormat="1" applyFont="1" applyBorder="1" applyAlignment="1">
      <alignment horizontal="center" vertical="center"/>
    </xf>
    <xf numFmtId="49" fontId="81" fillId="0" borderId="235" xfId="12" applyNumberFormat="1" applyFont="1" applyBorder="1" applyAlignment="1">
      <alignment horizontal="center" vertical="center" wrapText="1"/>
    </xf>
    <xf numFmtId="49" fontId="81" fillId="0" borderId="236" xfId="12" applyNumberFormat="1" applyFont="1" applyBorder="1" applyAlignment="1">
      <alignment horizontal="center" vertical="center" wrapText="1"/>
    </xf>
    <xf numFmtId="196" fontId="82" fillId="13" borderId="243" xfId="12" applyNumberFormat="1" applyFont="1" applyFill="1" applyBorder="1" applyAlignment="1">
      <alignment horizontal="center" vertical="center" wrapText="1"/>
    </xf>
    <xf numFmtId="49" fontId="82" fillId="13" borderId="232" xfId="12" applyNumberFormat="1" applyFont="1" applyFill="1" applyBorder="1" applyAlignment="1">
      <alignment horizontal="center" vertical="center" wrapText="1"/>
    </xf>
    <xf numFmtId="49" fontId="82" fillId="13" borderId="233" xfId="12" applyNumberFormat="1" applyFont="1" applyFill="1" applyBorder="1" applyAlignment="1">
      <alignment horizontal="center" vertical="center" wrapText="1"/>
    </xf>
    <xf numFmtId="49" fontId="82" fillId="13" borderId="232" xfId="12" applyNumberFormat="1" applyFont="1" applyFill="1" applyBorder="1" applyAlignment="1">
      <alignment horizontal="left" vertical="center" wrapText="1"/>
    </xf>
    <xf numFmtId="49" fontId="88" fillId="13" borderId="235" xfId="12" applyNumberFormat="1" applyFont="1" applyFill="1" applyBorder="1" applyAlignment="1">
      <alignment horizontal="center" vertical="center" wrapText="1"/>
    </xf>
    <xf numFmtId="49" fontId="83" fillId="2" borderId="244" xfId="12" applyNumberFormat="1" applyFont="1" applyFill="1" applyBorder="1" applyAlignment="1">
      <alignment horizontal="center" vertical="center" wrapText="1"/>
    </xf>
    <xf numFmtId="49" fontId="83" fillId="2" borderId="239" xfId="12" applyNumberFormat="1" applyFont="1" applyFill="1" applyBorder="1" applyAlignment="1">
      <alignment horizontal="center" vertical="center" wrapText="1"/>
    </xf>
    <xf numFmtId="49" fontId="83" fillId="2" borderId="246" xfId="12" applyNumberFormat="1" applyFont="1" applyFill="1" applyBorder="1" applyAlignment="1">
      <alignment horizontal="center" vertical="center" wrapText="1"/>
    </xf>
    <xf numFmtId="49" fontId="82" fillId="2" borderId="247" xfId="12" applyNumberFormat="1" applyFont="1" applyFill="1" applyBorder="1" applyAlignment="1">
      <alignment horizontal="center" vertical="center" wrapText="1"/>
    </xf>
    <xf numFmtId="49" fontId="82" fillId="2" borderId="248" xfId="12" applyNumberFormat="1" applyFont="1" applyFill="1" applyBorder="1" applyAlignment="1">
      <alignment horizontal="center" vertical="center" wrapText="1"/>
    </xf>
    <xf numFmtId="49" fontId="83" fillId="2" borderId="248" xfId="12" applyNumberFormat="1" applyFont="1" applyFill="1" applyBorder="1" applyAlignment="1">
      <alignment horizontal="center" vertical="center" wrapText="1"/>
    </xf>
    <xf numFmtId="49" fontId="90" fillId="0" borderId="247" xfId="12" applyNumberFormat="1" applyFont="1" applyBorder="1" applyAlignment="1">
      <alignment horizontal="center" vertical="center" wrapText="1"/>
    </xf>
    <xf numFmtId="49" fontId="83" fillId="2" borderId="249" xfId="12" applyNumberFormat="1" applyFont="1" applyFill="1" applyBorder="1" applyAlignment="1">
      <alignment horizontal="center" vertical="center" wrapText="1"/>
    </xf>
    <xf numFmtId="49" fontId="81" fillId="0" borderId="0" xfId="12" applyNumberFormat="1" applyFont="1" applyAlignment="1">
      <alignment vertical="center" wrapText="1"/>
    </xf>
    <xf numFmtId="0" fontId="19" fillId="7" borderId="0" xfId="6" applyFont="1" applyFill="1">
      <alignment vertical="center"/>
    </xf>
    <xf numFmtId="182" fontId="35" fillId="0" borderId="0" xfId="6" applyNumberFormat="1" applyFont="1" applyAlignment="1">
      <alignment horizontal="center" vertical="center"/>
    </xf>
    <xf numFmtId="0" fontId="21" fillId="0" borderId="245" xfId="6" applyFont="1" applyBorder="1" applyAlignment="1">
      <alignment horizontal="center" vertical="center"/>
    </xf>
    <xf numFmtId="0" fontId="35" fillId="0" borderId="34" xfId="6" applyFont="1" applyBorder="1" applyAlignment="1">
      <alignment horizontal="center" vertical="center"/>
    </xf>
    <xf numFmtId="0" fontId="28" fillId="0" borderId="57" xfId="6" applyFont="1" applyBorder="1" applyAlignment="1">
      <alignment horizontal="left" vertical="center" indent="1"/>
    </xf>
    <xf numFmtId="182" fontId="35" fillId="0" borderId="16" xfId="6" applyNumberFormat="1" applyFont="1" applyBorder="1" applyAlignment="1">
      <alignment horizontal="center" vertical="center"/>
    </xf>
    <xf numFmtId="0" fontId="35" fillId="0" borderId="35" xfId="6" applyFont="1" applyBorder="1" applyAlignment="1">
      <alignment horizontal="center" vertical="center"/>
    </xf>
    <xf numFmtId="182" fontId="15" fillId="0" borderId="0" xfId="6" applyNumberFormat="1" applyFont="1" applyAlignment="1">
      <alignment horizontal="center" vertical="center"/>
    </xf>
    <xf numFmtId="0" fontId="35" fillId="0" borderId="183" xfId="6" applyFont="1" applyBorder="1" applyAlignment="1">
      <alignment horizontal="center" vertical="center"/>
    </xf>
    <xf numFmtId="0" fontId="40" fillId="4" borderId="219" xfId="6" applyFont="1" applyFill="1" applyBorder="1">
      <alignment vertical="center"/>
    </xf>
    <xf numFmtId="0" fontId="40" fillId="4" borderId="179" xfId="6" applyFont="1" applyFill="1" applyBorder="1">
      <alignment vertical="center"/>
    </xf>
    <xf numFmtId="0" fontId="40" fillId="4" borderId="170" xfId="6" applyFont="1" applyFill="1" applyBorder="1">
      <alignment vertical="center"/>
    </xf>
    <xf numFmtId="0" fontId="23" fillId="0" borderId="254" xfId="6" applyFont="1" applyBorder="1" applyAlignment="1">
      <alignment horizontal="left" vertical="center" indent="1"/>
    </xf>
    <xf numFmtId="0" fontId="40" fillId="4" borderId="22" xfId="6" applyFont="1" applyFill="1" applyBorder="1">
      <alignment vertical="center"/>
    </xf>
    <xf numFmtId="0" fontId="40" fillId="4" borderId="31" xfId="6" applyFont="1" applyFill="1" applyBorder="1">
      <alignment vertical="center"/>
    </xf>
    <xf numFmtId="0" fontId="40" fillId="4" borderId="25" xfId="6" applyFont="1" applyFill="1" applyBorder="1">
      <alignment vertical="center"/>
    </xf>
    <xf numFmtId="0" fontId="40" fillId="7" borderId="221" xfId="6" applyFont="1" applyFill="1" applyBorder="1" applyAlignment="1">
      <alignment horizontal="center" vertical="center"/>
    </xf>
    <xf numFmtId="182" fontId="40" fillId="7" borderId="255" xfId="6" applyNumberFormat="1" applyFont="1" applyFill="1" applyBorder="1" applyAlignment="1">
      <alignment horizontal="center" vertical="center"/>
    </xf>
    <xf numFmtId="0" fontId="40" fillId="7" borderId="255" xfId="6" applyFont="1" applyFill="1" applyBorder="1" applyAlignment="1">
      <alignment horizontal="center" vertical="center"/>
    </xf>
    <xf numFmtId="0" fontId="40" fillId="7" borderId="34" xfId="6" applyFont="1" applyFill="1" applyBorder="1" applyAlignment="1">
      <alignment horizontal="center" vertical="center"/>
    </xf>
    <xf numFmtId="0" fontId="40" fillId="7" borderId="170" xfId="6" applyFont="1" applyFill="1" applyBorder="1" applyAlignment="1">
      <alignment horizontal="center" vertical="center"/>
    </xf>
    <xf numFmtId="180" fontId="40" fillId="7" borderId="179" xfId="6" applyNumberFormat="1" applyFont="1" applyFill="1" applyBorder="1" applyAlignment="1">
      <alignment horizontal="right" vertical="center"/>
    </xf>
    <xf numFmtId="0" fontId="40" fillId="7" borderId="22" xfId="6" applyFont="1" applyFill="1" applyBorder="1" applyAlignment="1">
      <alignment horizontal="center" vertical="center"/>
    </xf>
    <xf numFmtId="0" fontId="40" fillId="7" borderId="22" xfId="6" applyFont="1" applyFill="1" applyBorder="1" applyAlignment="1">
      <alignment horizontal="left" vertical="center" indent="1"/>
    </xf>
    <xf numFmtId="0" fontId="40" fillId="7" borderId="31" xfId="6" applyFont="1" applyFill="1" applyBorder="1" applyAlignment="1">
      <alignment horizontal="left" vertical="center" indent="1"/>
    </xf>
    <xf numFmtId="0" fontId="40" fillId="7" borderId="25" xfId="6" applyFont="1" applyFill="1" applyBorder="1" applyAlignment="1">
      <alignment horizontal="left" vertical="center" indent="1"/>
    </xf>
    <xf numFmtId="182" fontId="40" fillId="7" borderId="22" xfId="6" applyNumberFormat="1" applyFont="1" applyFill="1" applyBorder="1" applyAlignment="1">
      <alignment horizontal="center" vertical="center"/>
    </xf>
    <xf numFmtId="0" fontId="40" fillId="7" borderId="220" xfId="6" applyFont="1" applyFill="1" applyBorder="1" applyAlignment="1">
      <alignment horizontal="center" vertical="center"/>
    </xf>
    <xf numFmtId="0" fontId="40" fillId="7" borderId="166" xfId="6" applyFont="1" applyFill="1" applyBorder="1" applyAlignment="1">
      <alignment horizontal="center" vertical="center"/>
    </xf>
    <xf numFmtId="0" fontId="40" fillId="7" borderId="167" xfId="6" applyFont="1" applyFill="1" applyBorder="1" applyAlignment="1">
      <alignment horizontal="center" vertical="center"/>
    </xf>
    <xf numFmtId="180" fontId="40" fillId="7" borderId="31" xfId="6" applyNumberFormat="1" applyFont="1" applyFill="1" applyBorder="1" applyAlignment="1">
      <alignment horizontal="right" vertical="center"/>
    </xf>
    <xf numFmtId="0" fontId="14" fillId="0" borderId="253" xfId="6" applyFont="1" applyBorder="1" applyAlignment="1">
      <alignment horizontal="center" vertical="center"/>
    </xf>
    <xf numFmtId="0" fontId="15" fillId="0" borderId="253" xfId="6" applyFont="1" applyBorder="1" applyAlignment="1">
      <alignment horizontal="left" vertical="center" indent="1"/>
    </xf>
    <xf numFmtId="182" fontId="14" fillId="0" borderId="253" xfId="6" applyNumberFormat="1" applyFont="1" applyBorder="1" applyAlignment="1">
      <alignment horizontal="center" vertical="center"/>
    </xf>
    <xf numFmtId="0" fontId="14" fillId="0" borderId="253" xfId="6" applyFont="1" applyBorder="1">
      <alignment vertical="center"/>
    </xf>
    <xf numFmtId="0" fontId="40" fillId="0" borderId="253" xfId="6" applyFont="1" applyBorder="1" applyAlignment="1">
      <alignment horizontal="left" vertical="center" indent="1"/>
    </xf>
    <xf numFmtId="0" fontId="40" fillId="0" borderId="0" xfId="6" applyFont="1" applyAlignment="1">
      <alignment horizontal="left" vertical="center" indent="1"/>
    </xf>
    <xf numFmtId="0" fontId="40" fillId="0" borderId="24" xfId="6" applyFont="1" applyBorder="1" applyAlignment="1">
      <alignment horizontal="left" vertical="center" indent="1"/>
    </xf>
    <xf numFmtId="182" fontId="40" fillId="0" borderId="253" xfId="6" applyNumberFormat="1" applyFont="1" applyBorder="1" applyAlignment="1">
      <alignment horizontal="center" vertical="center"/>
    </xf>
    <xf numFmtId="0" fontId="40" fillId="0" borderId="117" xfId="6" applyFont="1" applyBorder="1" applyAlignment="1">
      <alignment horizontal="center" vertical="center"/>
    </xf>
    <xf numFmtId="0" fontId="40" fillId="0" borderId="36" xfId="6" applyFont="1" applyBorder="1" applyAlignment="1">
      <alignment horizontal="center" vertical="center"/>
    </xf>
    <xf numFmtId="0" fontId="40" fillId="0" borderId="118" xfId="6" applyFont="1" applyBorder="1" applyAlignment="1">
      <alignment horizontal="center" vertical="center"/>
    </xf>
    <xf numFmtId="180" fontId="40" fillId="0" borderId="0" xfId="6" applyNumberFormat="1" applyFont="1" applyAlignment="1">
      <alignment horizontal="right" vertical="center"/>
    </xf>
    <xf numFmtId="16" fontId="40" fillId="0" borderId="121" xfId="6" applyNumberFormat="1" applyFont="1" applyBorder="1" applyAlignment="1">
      <alignment horizontal="center" vertical="center"/>
    </xf>
    <xf numFmtId="0" fontId="28" fillId="2" borderId="0" xfId="7" applyNumberFormat="1" applyFont="1" applyFill="1" applyBorder="1" applyAlignment="1" applyProtection="1">
      <alignment horizontal="left" vertical="center" indent="1"/>
    </xf>
    <xf numFmtId="49" fontId="83" fillId="0" borderId="256" xfId="12" applyNumberFormat="1" applyFont="1" applyBorder="1" applyAlignment="1">
      <alignment horizontal="center" vertical="center" wrapText="1"/>
    </xf>
    <xf numFmtId="0" fontId="84" fillId="0" borderId="255" xfId="12" applyFont="1" applyBorder="1" applyAlignment="1">
      <alignment horizontal="center" vertical="center"/>
    </xf>
    <xf numFmtId="20" fontId="84" fillId="0" borderId="255" xfId="12" applyNumberFormat="1" applyFont="1" applyBorder="1" applyAlignment="1">
      <alignment horizontal="center" vertical="center"/>
    </xf>
    <xf numFmtId="0" fontId="84" fillId="0" borderId="255" xfId="12" applyFont="1" applyBorder="1" applyAlignment="1">
      <alignment vertical="center"/>
    </xf>
    <xf numFmtId="49" fontId="82" fillId="0" borderId="257" xfId="12" applyNumberFormat="1" applyFont="1" applyBorder="1" applyAlignment="1">
      <alignment horizontal="center" vertical="center" wrapText="1"/>
    </xf>
    <xf numFmtId="49" fontId="82" fillId="0" borderId="256" xfId="12" applyNumberFormat="1" applyFont="1" applyBorder="1" applyAlignment="1">
      <alignment horizontal="center" vertical="center" wrapText="1"/>
    </xf>
    <xf numFmtId="49" fontId="82" fillId="0" borderId="258" xfId="12" applyNumberFormat="1" applyFont="1" applyBorder="1" applyAlignment="1">
      <alignment horizontal="center" vertical="center" wrapText="1"/>
    </xf>
    <xf numFmtId="0" fontId="86" fillId="0" borderId="246" xfId="12" applyFont="1" applyBorder="1" applyAlignment="1">
      <alignment horizontal="center" vertical="center"/>
    </xf>
    <xf numFmtId="0" fontId="84" fillId="0" borderId="246" xfId="12" applyFont="1" applyBorder="1" applyAlignment="1">
      <alignment horizontal="center" vertical="center"/>
    </xf>
    <xf numFmtId="0" fontId="85" fillId="0" borderId="255" xfId="12" applyFont="1" applyBorder="1" applyAlignment="1">
      <alignment vertical="center"/>
    </xf>
    <xf numFmtId="0" fontId="84" fillId="0" borderId="259" xfId="12" applyFont="1" applyBorder="1" applyAlignment="1">
      <alignment horizontal="center" vertical="center"/>
    </xf>
    <xf numFmtId="49" fontId="83" fillId="0" borderId="260" xfId="12" applyNumberFormat="1" applyFont="1" applyBorder="1" applyAlignment="1">
      <alignment horizontal="center" vertical="center" wrapText="1"/>
    </xf>
    <xf numFmtId="0" fontId="84" fillId="0" borderId="261" xfId="12" applyFont="1" applyBorder="1" applyAlignment="1">
      <alignment horizontal="center" vertical="center"/>
    </xf>
    <xf numFmtId="0" fontId="81" fillId="0" borderId="262" xfId="12" applyFont="1" applyBorder="1" applyAlignment="1">
      <alignment vertical="center"/>
    </xf>
    <xf numFmtId="0" fontId="87" fillId="0" borderId="262" xfId="12" applyFont="1" applyBorder="1" applyAlignment="1">
      <alignment vertical="center"/>
    </xf>
    <xf numFmtId="0" fontId="84" fillId="0" borderId="263" xfId="12" applyFont="1" applyBorder="1" applyAlignment="1">
      <alignment horizontal="center" vertical="center"/>
    </xf>
    <xf numFmtId="0" fontId="85" fillId="6" borderId="262" xfId="12" applyFont="1" applyFill="1" applyBorder="1" applyAlignment="1">
      <alignment vertical="center"/>
    </xf>
    <xf numFmtId="49" fontId="83" fillId="2" borderId="264" xfId="12" applyNumberFormat="1" applyFont="1" applyFill="1" applyBorder="1" applyAlignment="1">
      <alignment horizontal="center" vertical="center" wrapText="1"/>
    </xf>
    <xf numFmtId="20" fontId="84" fillId="0" borderId="265" xfId="12" applyNumberFormat="1" applyFont="1" applyBorder="1" applyAlignment="1">
      <alignment horizontal="center" vertical="center"/>
    </xf>
    <xf numFmtId="0" fontId="84" fillId="0" borderId="265" xfId="12" applyFont="1" applyBorder="1" applyAlignment="1">
      <alignment vertical="center"/>
    </xf>
    <xf numFmtId="49" fontId="82" fillId="2" borderId="266" xfId="12" applyNumberFormat="1" applyFont="1" applyFill="1" applyBorder="1" applyAlignment="1">
      <alignment horizontal="center" vertical="center" wrapText="1"/>
    </xf>
    <xf numFmtId="49" fontId="82" fillId="2" borderId="260" xfId="12" applyNumberFormat="1" applyFont="1" applyFill="1" applyBorder="1" applyAlignment="1">
      <alignment horizontal="center" vertical="center" wrapText="1"/>
    </xf>
    <xf numFmtId="49" fontId="83" fillId="2" borderId="260" xfId="12" applyNumberFormat="1" applyFont="1" applyFill="1" applyBorder="1" applyAlignment="1">
      <alignment horizontal="center" vertical="center" wrapText="1"/>
    </xf>
    <xf numFmtId="49" fontId="89" fillId="2" borderId="23" xfId="12" applyNumberFormat="1" applyFont="1" applyFill="1" applyBorder="1" applyAlignment="1">
      <alignment horizontal="left" vertical="center"/>
    </xf>
    <xf numFmtId="188" fontId="21" fillId="0" borderId="261" xfId="0" applyNumberFormat="1" applyFont="1" applyBorder="1" applyAlignment="1">
      <alignment horizontal="center" vertical="center"/>
    </xf>
    <xf numFmtId="0" fontId="14" fillId="0" borderId="261" xfId="0" applyFont="1" applyBorder="1" applyAlignment="1">
      <alignment horizontal="left" vertical="center" indent="1"/>
    </xf>
    <xf numFmtId="189" fontId="21" fillId="0" borderId="261" xfId="0" applyNumberFormat="1" applyFont="1" applyBorder="1" applyAlignment="1">
      <alignment horizontal="center" vertical="center"/>
    </xf>
    <xf numFmtId="0" fontId="21" fillId="0" borderId="262" xfId="0" applyFont="1" applyBorder="1" applyAlignment="1">
      <alignment horizontal="center" vertical="center"/>
    </xf>
    <xf numFmtId="0" fontId="28" fillId="0" borderId="262" xfId="1" applyFont="1" applyBorder="1" applyAlignment="1">
      <alignment horizontal="center" vertical="center" wrapText="1"/>
    </xf>
    <xf numFmtId="20" fontId="28" fillId="0" borderId="262" xfId="1" applyNumberFormat="1" applyFont="1" applyBorder="1" applyAlignment="1">
      <alignment horizontal="center" vertical="center" wrapText="1"/>
    </xf>
    <xf numFmtId="0" fontId="14" fillId="0" borderId="262" xfId="0" applyFont="1" applyBorder="1" applyAlignment="1">
      <alignment horizontal="left" vertical="center" indent="1"/>
    </xf>
    <xf numFmtId="0" fontId="35" fillId="0" borderId="262" xfId="1" applyFont="1" applyBorder="1" applyAlignment="1">
      <alignment horizontal="center" vertical="center" wrapText="1"/>
    </xf>
    <xf numFmtId="20" fontId="21" fillId="0" borderId="262" xfId="0" applyNumberFormat="1" applyFont="1" applyBorder="1" applyAlignment="1">
      <alignment horizontal="center" vertical="center"/>
    </xf>
    <xf numFmtId="0" fontId="21" fillId="0" borderId="261" xfId="0" applyFont="1" applyBorder="1" applyAlignment="1">
      <alignment horizontal="center" vertical="center"/>
    </xf>
    <xf numFmtId="188" fontId="21" fillId="0" borderId="255" xfId="0" applyNumberFormat="1" applyFont="1" applyBorder="1" applyAlignment="1">
      <alignment horizontal="center" vertical="center"/>
    </xf>
    <xf numFmtId="0" fontId="21" fillId="0" borderId="255" xfId="0" applyFont="1" applyBorder="1" applyAlignment="1">
      <alignment horizontal="center" vertical="center"/>
    </xf>
    <xf numFmtId="0" fontId="35" fillId="0" borderId="255" xfId="1" applyFont="1" applyBorder="1" applyAlignment="1">
      <alignment horizontal="center" vertical="center" wrapText="1"/>
    </xf>
    <xf numFmtId="0" fontId="14" fillId="0" borderId="255" xfId="0" applyFont="1" applyBorder="1" applyAlignment="1">
      <alignment horizontal="left" vertical="center" indent="1"/>
    </xf>
    <xf numFmtId="189" fontId="21" fillId="0" borderId="262" xfId="0" applyNumberFormat="1" applyFont="1" applyBorder="1" applyAlignment="1">
      <alignment horizontal="center" vertical="center"/>
    </xf>
    <xf numFmtId="20" fontId="21" fillId="0" borderId="261" xfId="0" applyNumberFormat="1" applyFont="1" applyBorder="1" applyAlignment="1">
      <alignment horizontal="center" vertical="center"/>
    </xf>
    <xf numFmtId="0" fontId="15" fillId="0" borderId="261" xfId="5" applyFont="1" applyBorder="1" applyAlignment="1">
      <alignment horizontal="left" vertical="center" indent="1"/>
    </xf>
    <xf numFmtId="0" fontId="15" fillId="0" borderId="261" xfId="5" quotePrefix="1" applyFont="1" applyBorder="1" applyAlignment="1">
      <alignment horizontal="left" vertical="center" indent="1"/>
    </xf>
    <xf numFmtId="0" fontId="40" fillId="0" borderId="24" xfId="0" applyFont="1" applyBorder="1" applyAlignment="1">
      <alignment horizontal="left" vertical="center" indent="1"/>
    </xf>
    <xf numFmtId="0" fontId="20" fillId="0" borderId="261" xfId="5" quotePrefix="1" applyFont="1" applyBorder="1" applyAlignment="1">
      <alignment horizontal="left" vertical="center" indent="1"/>
    </xf>
    <xf numFmtId="0" fontId="35" fillId="7" borderId="135" xfId="5" quotePrefix="1" applyFont="1" applyFill="1" applyBorder="1" applyAlignment="1">
      <alignment horizontal="left" vertical="center" indent="1"/>
    </xf>
    <xf numFmtId="0" fontId="35" fillId="7" borderId="26" xfId="5" quotePrefix="1" applyFont="1" applyFill="1" applyBorder="1" applyAlignment="1">
      <alignment horizontal="left" vertical="center" indent="1"/>
    </xf>
    <xf numFmtId="0" fontId="35" fillId="7" borderId="137" xfId="5" quotePrefix="1" applyFont="1" applyFill="1" applyBorder="1" applyAlignment="1">
      <alignment horizontal="left" vertical="center" indent="1"/>
    </xf>
    <xf numFmtId="0" fontId="21" fillId="0" borderId="261" xfId="5" quotePrefix="1" applyFont="1" applyBorder="1" applyAlignment="1">
      <alignment horizontal="left" vertical="center" indent="1"/>
    </xf>
    <xf numFmtId="0" fontId="21" fillId="4" borderId="261" xfId="0" applyFont="1" applyFill="1" applyBorder="1" applyAlignment="1">
      <alignment horizontal="left" vertical="center" indent="1"/>
    </xf>
    <xf numFmtId="0" fontId="21" fillId="4" borderId="0" xfId="0" applyFont="1" applyFill="1" applyAlignment="1">
      <alignment horizontal="left" vertical="center" indent="1"/>
    </xf>
    <xf numFmtId="0" fontId="21" fillId="4" borderId="24" xfId="0" applyFont="1" applyFill="1" applyBorder="1" applyAlignment="1">
      <alignment horizontal="left" vertical="center" indent="1"/>
    </xf>
    <xf numFmtId="0" fontId="14" fillId="0" borderId="261" xfId="5" quotePrefix="1" applyFont="1" applyBorder="1" applyAlignment="1">
      <alignment horizontal="left" vertical="center" indent="1"/>
    </xf>
    <xf numFmtId="20" fontId="40" fillId="0" borderId="261" xfId="1" applyNumberFormat="1" applyFont="1" applyBorder="1" applyAlignment="1">
      <alignment horizontal="center" vertical="center" wrapText="1"/>
    </xf>
    <xf numFmtId="0" fontId="35" fillId="0" borderId="190" xfId="5" applyFont="1" applyBorder="1" applyAlignment="1">
      <alignment horizontal="left" vertical="center" indent="1"/>
    </xf>
    <xf numFmtId="20" fontId="35" fillId="0" borderId="261" xfId="1" applyNumberFormat="1" applyFont="1" applyBorder="1" applyAlignment="1">
      <alignment horizontal="center" vertical="center" wrapText="1"/>
    </xf>
    <xf numFmtId="0" fontId="35" fillId="0" borderId="261" xfId="5" quotePrefix="1" applyFont="1" applyBorder="1" applyAlignment="1">
      <alignment horizontal="left" vertical="center" indent="1"/>
    </xf>
    <xf numFmtId="20" fontId="28" fillId="0" borderId="261" xfId="1" applyNumberFormat="1" applyFont="1" applyBorder="1" applyAlignment="1">
      <alignment horizontal="center" vertical="center" wrapText="1"/>
    </xf>
    <xf numFmtId="0" fontId="23" fillId="0" borderId="147" xfId="6" applyFont="1" applyBorder="1" applyAlignment="1">
      <alignment horizontal="left" vertical="center" indent="1"/>
    </xf>
    <xf numFmtId="0" fontId="23" fillId="0" borderId="45" xfId="6" applyFont="1" applyBorder="1" applyAlignment="1">
      <alignment horizontal="left" vertical="center" indent="1"/>
    </xf>
    <xf numFmtId="0" fontId="23" fillId="0" borderId="164" xfId="6" applyFont="1" applyBorder="1" applyAlignment="1">
      <alignment horizontal="left" vertical="center" indent="1"/>
    </xf>
    <xf numFmtId="0" fontId="14" fillId="0" borderId="146" xfId="6" applyFont="1" applyBorder="1" applyAlignment="1">
      <alignment horizontal="left" vertical="center" indent="1"/>
    </xf>
    <xf numFmtId="0" fontId="14" fillId="0" borderId="1" xfId="6" applyFont="1" applyBorder="1" applyAlignment="1">
      <alignment horizontal="left" vertical="center" indent="1"/>
    </xf>
    <xf numFmtId="0" fontId="14" fillId="0" borderId="7" xfId="6" applyFont="1" applyBorder="1" applyAlignment="1">
      <alignment horizontal="left" vertical="center" indent="1"/>
    </xf>
    <xf numFmtId="0" fontId="14" fillId="0" borderId="46" xfId="6" applyFont="1" applyBorder="1" applyAlignment="1">
      <alignment horizontal="left" vertical="center" indent="1"/>
    </xf>
    <xf numFmtId="0" fontId="14" fillId="0" borderId="147" xfId="6" applyFont="1" applyBorder="1" applyAlignment="1">
      <alignment horizontal="left" vertical="center" indent="1"/>
    </xf>
    <xf numFmtId="0" fontId="14" fillId="0" borderId="45" xfId="6" applyFont="1" applyBorder="1" applyAlignment="1">
      <alignment horizontal="left" vertical="center" indent="1"/>
    </xf>
    <xf numFmtId="0" fontId="14" fillId="0" borderId="47" xfId="6" applyFont="1" applyBorder="1" applyAlignment="1">
      <alignment horizontal="left" vertical="center" indent="1"/>
    </xf>
    <xf numFmtId="0" fontId="14" fillId="0" borderId="8" xfId="6" applyFont="1" applyBorder="1" applyAlignment="1">
      <alignment horizontal="left" vertical="center" indent="1"/>
    </xf>
    <xf numFmtId="0" fontId="14" fillId="0" borderId="0" xfId="6" applyFont="1" applyAlignment="1">
      <alignment horizontal="left" vertical="center" indent="1"/>
    </xf>
    <xf numFmtId="0" fontId="14" fillId="0" borderId="109" xfId="6" applyFont="1" applyBorder="1" applyAlignment="1">
      <alignment horizontal="left" vertical="center" indent="1"/>
    </xf>
    <xf numFmtId="0" fontId="14" fillId="0" borderId="111" xfId="6" applyFont="1" applyBorder="1" applyAlignment="1">
      <alignment horizontal="left" vertical="center" indent="1"/>
    </xf>
    <xf numFmtId="0" fontId="14" fillId="0" borderId="212" xfId="6" applyFont="1" applyBorder="1" applyAlignment="1">
      <alignment horizontal="left" vertical="center" indent="1"/>
    </xf>
    <xf numFmtId="0" fontId="14" fillId="0" borderId="159" xfId="6" applyFont="1" applyBorder="1" applyAlignment="1">
      <alignment horizontal="left" vertical="center" indent="1"/>
    </xf>
    <xf numFmtId="0" fontId="14" fillId="0" borderId="152" xfId="6" applyFont="1" applyBorder="1" applyAlignment="1">
      <alignment horizontal="left" vertical="center" indent="1"/>
    </xf>
    <xf numFmtId="0" fontId="14" fillId="0" borderId="160" xfId="6" applyFont="1" applyBorder="1" applyAlignment="1">
      <alignment horizontal="left" vertical="center" indent="1"/>
    </xf>
    <xf numFmtId="0" fontId="14" fillId="0" borderId="151" xfId="6" applyFont="1" applyBorder="1" applyAlignment="1">
      <alignment horizontal="left" vertical="center" indent="1"/>
    </xf>
    <xf numFmtId="0" fontId="14" fillId="0" borderId="211" xfId="6" applyFont="1" applyBorder="1" applyAlignment="1">
      <alignment horizontal="left" vertical="center" indent="1"/>
    </xf>
    <xf numFmtId="0" fontId="14" fillId="0" borderId="145" xfId="6" applyFont="1" applyBorder="1" applyAlignment="1">
      <alignment horizontal="left" vertical="center" indent="1"/>
    </xf>
    <xf numFmtId="0" fontId="14" fillId="0" borderId="80" xfId="6" applyFont="1" applyBorder="1" applyAlignment="1">
      <alignment horizontal="left" vertical="center" indent="1"/>
    </xf>
    <xf numFmtId="0" fontId="14" fillId="0" borderId="75" xfId="6" applyFont="1" applyBorder="1" applyAlignment="1">
      <alignment horizontal="left" vertical="center" indent="1"/>
    </xf>
    <xf numFmtId="0" fontId="14" fillId="0" borderId="74" xfId="6" applyFont="1" applyBorder="1" applyAlignment="1">
      <alignment horizontal="left" vertical="center" indent="1"/>
    </xf>
    <xf numFmtId="0" fontId="14" fillId="0" borderId="76" xfId="6" applyFont="1" applyBorder="1" applyAlignment="1">
      <alignment horizontal="left" vertical="center" indent="1"/>
    </xf>
    <xf numFmtId="0" fontId="14" fillId="0" borderId="148" xfId="6" applyFont="1" applyBorder="1" applyAlignment="1">
      <alignment horizontal="left" vertical="center" indent="1"/>
    </xf>
    <xf numFmtId="0" fontId="14" fillId="0" borderId="122" xfId="6" applyFont="1" applyBorder="1" applyAlignment="1">
      <alignment horizontal="left" vertical="center" indent="1"/>
    </xf>
    <xf numFmtId="0" fontId="14" fillId="0" borderId="78" xfId="6" applyFont="1" applyBorder="1" applyAlignment="1">
      <alignment horizontal="left" vertical="center" indent="1"/>
    </xf>
    <xf numFmtId="0" fontId="14" fillId="0" borderId="6" xfId="6" applyFont="1" applyBorder="1" applyAlignment="1">
      <alignment horizontal="left" vertical="center" indent="1"/>
    </xf>
    <xf numFmtId="0" fontId="14" fillId="0" borderId="110" xfId="6" applyFont="1" applyBorder="1" applyAlignment="1">
      <alignment horizontal="left" vertical="center" indent="1"/>
    </xf>
    <xf numFmtId="178" fontId="17" fillId="3" borderId="104" xfId="6" applyNumberFormat="1" applyFont="1" applyFill="1" applyBorder="1" applyAlignment="1">
      <alignment horizontal="center" vertical="center"/>
    </xf>
    <xf numFmtId="178" fontId="17" fillId="3" borderId="105" xfId="6" applyNumberFormat="1" applyFont="1" applyFill="1" applyBorder="1" applyAlignment="1">
      <alignment horizontal="center" vertical="center"/>
    </xf>
    <xf numFmtId="178" fontId="17" fillId="3" borderId="106" xfId="6" applyNumberFormat="1" applyFont="1" applyFill="1" applyBorder="1" applyAlignment="1">
      <alignment horizontal="center" vertical="center"/>
    </xf>
    <xf numFmtId="178" fontId="29" fillId="3" borderId="67" xfId="6" applyNumberFormat="1" applyFont="1" applyFill="1" applyBorder="1" applyAlignment="1">
      <alignment horizontal="center" vertical="center"/>
    </xf>
    <xf numFmtId="178" fontId="29" fillId="3" borderId="65" xfId="6" applyNumberFormat="1" applyFont="1" applyFill="1" applyBorder="1" applyAlignment="1">
      <alignment horizontal="center" vertical="center"/>
    </xf>
    <xf numFmtId="178" fontId="29" fillId="3" borderId="68" xfId="6" applyNumberFormat="1" applyFont="1" applyFill="1" applyBorder="1" applyAlignment="1">
      <alignment horizontal="center" vertical="center"/>
    </xf>
    <xf numFmtId="180" fontId="16" fillId="0" borderId="19" xfId="6" applyNumberFormat="1" applyFont="1" applyBorder="1" applyAlignment="1">
      <alignment horizontal="center" vertical="center"/>
    </xf>
    <xf numFmtId="0" fontId="16" fillId="0" borderId="19" xfId="6" applyFont="1" applyBorder="1" applyAlignment="1">
      <alignment horizontal="center" vertical="center"/>
    </xf>
    <xf numFmtId="0" fontId="16" fillId="0" borderId="32" xfId="6" applyFont="1" applyBorder="1" applyAlignment="1">
      <alignment horizontal="center" vertical="center"/>
    </xf>
    <xf numFmtId="0" fontId="19" fillId="3" borderId="44" xfId="6" applyFont="1" applyFill="1" applyBorder="1" applyAlignment="1">
      <alignment horizontal="center" vertical="center"/>
    </xf>
    <xf numFmtId="0" fontId="19" fillId="3" borderId="18" xfId="6" applyFont="1" applyFill="1" applyBorder="1" applyAlignment="1">
      <alignment horizontal="center" vertical="center"/>
    </xf>
    <xf numFmtId="0" fontId="19" fillId="3" borderId="39" xfId="6" applyFont="1" applyFill="1" applyBorder="1" applyAlignment="1">
      <alignment horizontal="center" vertical="center"/>
    </xf>
    <xf numFmtId="0" fontId="19" fillId="3" borderId="20" xfId="6" applyFont="1" applyFill="1" applyBorder="1" applyAlignment="1">
      <alignment horizontal="center" vertical="center"/>
    </xf>
    <xf numFmtId="0" fontId="19" fillId="3" borderId="64" xfId="6" applyFont="1" applyFill="1" applyBorder="1" applyAlignment="1">
      <alignment horizontal="center" vertical="center"/>
    </xf>
    <xf numFmtId="179" fontId="19" fillId="0" borderId="28" xfId="6" applyNumberFormat="1" applyFont="1" applyBorder="1" applyAlignment="1">
      <alignment horizontal="center" vertical="center"/>
    </xf>
    <xf numFmtId="179" fontId="19" fillId="0" borderId="4" xfId="6" applyNumberFormat="1" applyFont="1" applyBorder="1" applyAlignment="1">
      <alignment horizontal="center" vertical="center"/>
    </xf>
    <xf numFmtId="179" fontId="19" fillId="0" borderId="27" xfId="6" applyNumberFormat="1" applyFont="1" applyBorder="1" applyAlignment="1">
      <alignment horizontal="center" vertical="center"/>
    </xf>
    <xf numFmtId="179" fontId="19" fillId="0" borderId="96" xfId="6" applyNumberFormat="1" applyFont="1" applyBorder="1" applyAlignment="1">
      <alignment horizontal="center" vertical="center"/>
    </xf>
    <xf numFmtId="179" fontId="19" fillId="0" borderId="93" xfId="6" applyNumberFormat="1" applyFont="1" applyBorder="1" applyAlignment="1">
      <alignment horizontal="center" vertical="center"/>
    </xf>
    <xf numFmtId="179" fontId="19" fillId="0" borderId="97" xfId="6" applyNumberFormat="1" applyFont="1" applyBorder="1" applyAlignment="1">
      <alignment horizontal="center" vertical="center"/>
    </xf>
    <xf numFmtId="177" fontId="16" fillId="0" borderId="3" xfId="6" applyNumberFormat="1" applyFont="1" applyBorder="1" applyAlignment="1">
      <alignment horizontal="center" vertical="center"/>
    </xf>
    <xf numFmtId="177" fontId="16" fillId="0" borderId="62" xfId="6" applyNumberFormat="1" applyFont="1" applyBorder="1" applyAlignment="1">
      <alignment horizontal="center" vertical="center"/>
    </xf>
    <xf numFmtId="177" fontId="16" fillId="0" borderId="98" xfId="6" applyNumberFormat="1" applyFont="1" applyBorder="1" applyAlignment="1">
      <alignment horizontal="center" vertical="center"/>
    </xf>
    <xf numFmtId="177" fontId="16" fillId="0" borderId="99" xfId="6" applyNumberFormat="1" applyFont="1" applyBorder="1" applyAlignment="1">
      <alignment horizontal="center" vertical="center"/>
    </xf>
    <xf numFmtId="180" fontId="16" fillId="0" borderId="94" xfId="6" applyNumberFormat="1" applyFont="1" applyBorder="1" applyAlignment="1">
      <alignment horizontal="center" vertical="center"/>
    </xf>
    <xf numFmtId="0" fontId="16" fillId="0" borderId="94" xfId="6" applyFont="1" applyBorder="1" applyAlignment="1">
      <alignment horizontal="center" vertical="center"/>
    </xf>
    <xf numFmtId="0" fontId="16" fillId="0" borderId="95" xfId="6" applyFont="1" applyBorder="1" applyAlignment="1">
      <alignment horizontal="center" vertical="center"/>
    </xf>
    <xf numFmtId="0" fontId="19" fillId="3" borderId="81" xfId="6" applyFont="1" applyFill="1" applyBorder="1" applyAlignment="1">
      <alignment horizontal="center" vertical="center"/>
    </xf>
    <xf numFmtId="0" fontId="19" fillId="3" borderId="59" xfId="6" applyFont="1" applyFill="1" applyBorder="1" applyAlignment="1">
      <alignment horizontal="center" vertical="center"/>
    </xf>
    <xf numFmtId="0" fontId="19" fillId="3" borderId="83" xfId="6" applyFont="1" applyFill="1" applyBorder="1" applyAlignment="1">
      <alignment horizontal="center" vertical="center"/>
    </xf>
    <xf numFmtId="0" fontId="28" fillId="2" borderId="76" xfId="7" applyNumberFormat="1" applyFont="1" applyFill="1" applyBorder="1" applyAlignment="1" applyProtection="1">
      <alignment horizontal="left" vertical="center" indent="1"/>
    </xf>
    <xf numFmtId="0" fontId="28" fillId="2" borderId="82" xfId="7" applyNumberFormat="1" applyFont="1" applyFill="1" applyBorder="1" applyAlignment="1" applyProtection="1">
      <alignment horizontal="left" vertical="center" indent="1"/>
    </xf>
    <xf numFmtId="0" fontId="19" fillId="3" borderId="85" xfId="6" applyFont="1" applyFill="1" applyBorder="1" applyAlignment="1">
      <alignment horizontal="center" vertical="center"/>
    </xf>
    <xf numFmtId="0" fontId="19" fillId="3" borderId="86" xfId="6" applyFont="1" applyFill="1" applyBorder="1" applyAlignment="1">
      <alignment horizontal="center" vertical="center"/>
    </xf>
    <xf numFmtId="0" fontId="19" fillId="3" borderId="61" xfId="6" applyFont="1" applyFill="1" applyBorder="1" applyAlignment="1">
      <alignment horizontal="center" vertical="center"/>
    </xf>
    <xf numFmtId="0" fontId="19" fillId="3" borderId="5" xfId="6" applyFont="1" applyFill="1" applyBorder="1" applyAlignment="1">
      <alignment horizontal="center" vertical="center"/>
    </xf>
    <xf numFmtId="0" fontId="19" fillId="3" borderId="92" xfId="6" applyFont="1" applyFill="1" applyBorder="1" applyAlignment="1">
      <alignment horizontal="center" vertical="center"/>
    </xf>
    <xf numFmtId="0" fontId="19" fillId="3" borderId="93" xfId="6" applyFont="1" applyFill="1" applyBorder="1" applyAlignment="1">
      <alignment horizontal="center" vertical="center"/>
    </xf>
    <xf numFmtId="180" fontId="16" fillId="0" borderId="49" xfId="6" applyNumberFormat="1" applyFont="1" applyBorder="1" applyAlignment="1">
      <alignment horizontal="center" vertical="center"/>
    </xf>
    <xf numFmtId="0" fontId="16" fillId="0" borderId="49" xfId="6" applyFont="1" applyBorder="1" applyAlignment="1">
      <alignment horizontal="center" vertical="center"/>
    </xf>
    <xf numFmtId="0" fontId="16" fillId="0" borderId="50" xfId="6" applyFont="1" applyBorder="1" applyAlignment="1">
      <alignment horizontal="center" vertical="center"/>
    </xf>
    <xf numFmtId="0" fontId="19" fillId="3" borderId="87" xfId="6" applyFont="1" applyFill="1" applyBorder="1" applyAlignment="1">
      <alignment horizontal="center" vertical="center"/>
    </xf>
    <xf numFmtId="0" fontId="19" fillId="3" borderId="88" xfId="6" applyFont="1" applyFill="1" applyBorder="1" applyAlignment="1">
      <alignment horizontal="center" vertical="center"/>
    </xf>
    <xf numFmtId="0" fontId="19" fillId="3" borderId="89" xfId="6" applyFont="1" applyFill="1" applyBorder="1" applyAlignment="1">
      <alignment horizontal="center" vertical="center"/>
    </xf>
    <xf numFmtId="0" fontId="19" fillId="3" borderId="90" xfId="6" applyFont="1" applyFill="1" applyBorder="1" applyAlignment="1">
      <alignment horizontal="center" vertical="center"/>
    </xf>
    <xf numFmtId="0" fontId="19" fillId="3" borderId="91" xfId="6" applyFont="1" applyFill="1" applyBorder="1" applyAlignment="1">
      <alignment horizontal="center" vertical="center"/>
    </xf>
    <xf numFmtId="180" fontId="19" fillId="0" borderId="28" xfId="6" applyNumberFormat="1" applyFont="1" applyBorder="1" applyAlignment="1">
      <alignment horizontal="center" vertical="center"/>
    </xf>
    <xf numFmtId="177" fontId="19" fillId="0" borderId="4" xfId="6" applyNumberFormat="1" applyFont="1" applyBorder="1" applyAlignment="1">
      <alignment horizontal="center" vertical="center"/>
    </xf>
    <xf numFmtId="177" fontId="19" fillId="0" borderId="27" xfId="6" applyNumberFormat="1" applyFont="1" applyBorder="1" applyAlignment="1">
      <alignment horizontal="center" vertical="center"/>
    </xf>
    <xf numFmtId="177" fontId="19" fillId="0" borderId="43" xfId="6" applyNumberFormat="1" applyFont="1" applyBorder="1" applyAlignment="1">
      <alignment horizontal="center" vertical="center"/>
    </xf>
    <xf numFmtId="177" fontId="19" fillId="0" borderId="41" xfId="6" applyNumberFormat="1" applyFont="1" applyBorder="1" applyAlignment="1">
      <alignment horizontal="center" vertical="center"/>
    </xf>
    <xf numFmtId="177" fontId="19" fillId="0" borderId="42" xfId="6" applyNumberFormat="1" applyFont="1" applyBorder="1" applyAlignment="1">
      <alignment horizontal="center" vertical="center"/>
    </xf>
    <xf numFmtId="181" fontId="16" fillId="0" borderId="3" xfId="6" applyNumberFormat="1" applyFont="1" applyBorder="1" applyAlignment="1">
      <alignment horizontal="center" vertical="center"/>
    </xf>
    <xf numFmtId="181" fontId="16" fillId="0" borderId="62" xfId="6" applyNumberFormat="1" applyFont="1" applyBorder="1" applyAlignment="1">
      <alignment horizontal="center" vertical="center"/>
    </xf>
    <xf numFmtId="181" fontId="16" fillId="0" borderId="40" xfId="6" applyNumberFormat="1" applyFont="1" applyBorder="1" applyAlignment="1">
      <alignment horizontal="center" vertical="center"/>
    </xf>
    <xf numFmtId="181" fontId="16" fillId="0" borderId="63" xfId="6" applyNumberFormat="1" applyFont="1" applyBorder="1" applyAlignment="1">
      <alignment horizontal="center" vertical="center"/>
    </xf>
    <xf numFmtId="0" fontId="20" fillId="0" borderId="29" xfId="6" applyFont="1" applyBorder="1" applyAlignment="1">
      <alignment horizontal="left" vertical="center" wrapText="1" indent="1"/>
    </xf>
    <xf numFmtId="0" fontId="20" fillId="0" borderId="0" xfId="6" applyFont="1" applyAlignment="1">
      <alignment horizontal="left" vertical="center" wrapText="1" indent="1"/>
    </xf>
    <xf numFmtId="0" fontId="20" fillId="0" borderId="30" xfId="6" applyFont="1" applyBorder="1" applyAlignment="1">
      <alignment horizontal="left" vertical="center" wrapText="1" indent="1"/>
    </xf>
    <xf numFmtId="0" fontId="14" fillId="0" borderId="17" xfId="6" applyFont="1" applyBorder="1" applyAlignment="1">
      <alignment horizontal="left" vertical="center" indent="1"/>
    </xf>
    <xf numFmtId="0" fontId="14" fillId="0" borderId="218" xfId="6" applyFont="1" applyBorder="1" applyAlignment="1">
      <alignment horizontal="left" vertical="center" indent="1"/>
    </xf>
    <xf numFmtId="0" fontId="14" fillId="0" borderId="16" xfId="6" applyFont="1" applyBorder="1" applyAlignment="1">
      <alignment horizontal="left" vertical="center" indent="1"/>
    </xf>
    <xf numFmtId="0" fontId="14" fillId="0" borderId="33" xfId="6" applyFont="1" applyBorder="1" applyAlignment="1">
      <alignment horizontal="left" vertical="center" indent="1"/>
    </xf>
    <xf numFmtId="0" fontId="40" fillId="7" borderId="219" xfId="6" applyFont="1" applyFill="1" applyBorder="1" applyAlignment="1">
      <alignment horizontal="left" vertical="center" indent="1"/>
    </xf>
    <xf numFmtId="0" fontId="40" fillId="7" borderId="179" xfId="6" applyFont="1" applyFill="1" applyBorder="1" applyAlignment="1">
      <alignment horizontal="left" vertical="center" indent="1"/>
    </xf>
    <xf numFmtId="0" fontId="40" fillId="7" borderId="170" xfId="6" applyFont="1" applyFill="1" applyBorder="1" applyAlignment="1">
      <alignment horizontal="left" vertical="center" indent="1"/>
    </xf>
    <xf numFmtId="0" fontId="31" fillId="0" borderId="14" xfId="5" applyFont="1" applyBorder="1" applyAlignment="1">
      <alignment horizontal="center" vertical="center"/>
    </xf>
    <xf numFmtId="0" fontId="31" fillId="0" borderId="13" xfId="5" applyFont="1" applyBorder="1" applyAlignment="1">
      <alignment horizontal="center" vertical="center"/>
    </xf>
    <xf numFmtId="0" fontId="78" fillId="11" borderId="139" xfId="6" applyFont="1" applyFill="1" applyBorder="1" applyAlignment="1">
      <alignment horizontal="left" vertical="center" indent="1"/>
    </xf>
    <xf numFmtId="0" fontId="78" fillId="11" borderId="140" xfId="6" applyFont="1" applyFill="1" applyBorder="1" applyAlignment="1">
      <alignment horizontal="left" vertical="center" indent="1"/>
    </xf>
    <xf numFmtId="0" fontId="78" fillId="11" borderId="141" xfId="6" applyFont="1" applyFill="1" applyBorder="1" applyAlignment="1">
      <alignment horizontal="left" vertical="center" indent="1"/>
    </xf>
    <xf numFmtId="0" fontId="31" fillId="0" borderId="13" xfId="6" applyFont="1" applyBorder="1" applyAlignment="1">
      <alignment horizontal="center" vertical="center"/>
    </xf>
    <xf numFmtId="0" fontId="30" fillId="0" borderId="128" xfId="6" applyFont="1" applyBorder="1" applyAlignment="1">
      <alignment horizontal="center" vertical="center"/>
    </xf>
    <xf numFmtId="0" fontId="30" fillId="0" borderId="129" xfId="6" applyFont="1" applyBorder="1" applyAlignment="1">
      <alignment horizontal="center" vertical="center"/>
    </xf>
    <xf numFmtId="0" fontId="30" fillId="0" borderId="130" xfId="6" applyFont="1" applyBorder="1" applyAlignment="1">
      <alignment horizontal="center" vertical="center"/>
    </xf>
    <xf numFmtId="0" fontId="17" fillId="3" borderId="48" xfId="6" applyFont="1" applyFill="1" applyBorder="1" applyAlignment="1">
      <alignment horizontal="center" vertical="center"/>
    </xf>
    <xf numFmtId="0" fontId="17" fillId="3" borderId="49" xfId="6" applyFont="1" applyFill="1" applyBorder="1" applyAlignment="1">
      <alignment horizontal="center" vertical="center"/>
    </xf>
    <xf numFmtId="0" fontId="17" fillId="3" borderId="52" xfId="6" applyFont="1" applyFill="1" applyBorder="1" applyAlignment="1">
      <alignment horizontal="center" vertical="center"/>
    </xf>
    <xf numFmtId="0" fontId="17" fillId="3" borderId="19" xfId="6" applyFont="1" applyFill="1" applyBorder="1" applyAlignment="1">
      <alignment horizontal="center" vertical="center"/>
    </xf>
    <xf numFmtId="0" fontId="17" fillId="3" borderId="50" xfId="6" applyFont="1" applyFill="1" applyBorder="1" applyAlignment="1">
      <alignment horizontal="center" vertical="center"/>
    </xf>
    <xf numFmtId="0" fontId="17" fillId="3" borderId="37" xfId="6" applyFont="1" applyFill="1" applyBorder="1" applyAlignment="1">
      <alignment horizontal="center" vertical="center"/>
    </xf>
    <xf numFmtId="0" fontId="17" fillId="3" borderId="51" xfId="6" applyFont="1" applyFill="1" applyBorder="1" applyAlignment="1">
      <alignment horizontal="center" vertical="center"/>
    </xf>
    <xf numFmtId="0" fontId="17" fillId="3" borderId="53" xfId="6" applyFont="1" applyFill="1" applyBorder="1" applyAlignment="1">
      <alignment horizontal="center" vertical="center"/>
    </xf>
    <xf numFmtId="0" fontId="18" fillId="3" borderId="19" xfId="6" applyFont="1" applyFill="1" applyBorder="1" applyAlignment="1">
      <alignment horizontal="center" vertical="center"/>
    </xf>
    <xf numFmtId="0" fontId="31" fillId="0" borderId="133" xfId="6" applyFont="1" applyBorder="1" applyAlignment="1">
      <alignment horizontal="center" vertical="center"/>
    </xf>
    <xf numFmtId="0" fontId="31" fillId="0" borderId="19" xfId="6" applyFont="1" applyBorder="1" applyAlignment="1">
      <alignment horizontal="center" vertical="center"/>
    </xf>
    <xf numFmtId="185" fontId="31" fillId="0" borderId="19" xfId="6" applyNumberFormat="1" applyFont="1" applyBorder="1" applyAlignment="1">
      <alignment horizontal="center" vertical="center"/>
    </xf>
    <xf numFmtId="0" fontId="31" fillId="0" borderId="11" xfId="6" applyFont="1" applyBorder="1" applyAlignment="1">
      <alignment horizontal="center" vertical="center"/>
    </xf>
    <xf numFmtId="0" fontId="31" fillId="0" borderId="10" xfId="6" applyFont="1" applyBorder="1" applyAlignment="1">
      <alignment horizontal="center" vertical="center"/>
    </xf>
    <xf numFmtId="0" fontId="31" fillId="0" borderId="142" xfId="6" applyFont="1" applyBorder="1" applyAlignment="1">
      <alignment horizontal="left" vertical="center" indent="1"/>
    </xf>
    <xf numFmtId="0" fontId="31" fillId="0" borderId="143" xfId="6" applyFont="1" applyBorder="1" applyAlignment="1">
      <alignment horizontal="left" vertical="center" indent="1"/>
    </xf>
    <xf numFmtId="0" fontId="31" fillId="0" borderId="144" xfId="6" applyFont="1" applyBorder="1" applyAlignment="1">
      <alignment horizontal="left" vertical="center" indent="1"/>
    </xf>
    <xf numFmtId="0" fontId="64" fillId="0" borderId="0" xfId="28" applyFont="1" applyAlignment="1">
      <alignment wrapText="1"/>
    </xf>
    <xf numFmtId="0" fontId="36" fillId="3" borderId="22" xfId="15" applyFont="1" applyFill="1" applyBorder="1" applyAlignment="1">
      <alignment horizontal="center" vertical="center"/>
    </xf>
    <xf numFmtId="0" fontId="36" fillId="3" borderId="31" xfId="15" applyFont="1" applyFill="1" applyBorder="1" applyAlignment="1">
      <alignment horizontal="center" vertical="center"/>
    </xf>
    <xf numFmtId="0" fontId="36" fillId="3" borderId="25" xfId="15" applyFont="1" applyFill="1" applyBorder="1" applyAlignment="1">
      <alignment horizontal="center" vertical="center"/>
    </xf>
    <xf numFmtId="0" fontId="36" fillId="0" borderId="32" xfId="15" applyFont="1" applyBorder="1" applyAlignment="1">
      <alignment horizontal="left" vertical="center" indent="1"/>
    </xf>
    <xf numFmtId="0" fontId="36" fillId="0" borderId="37" xfId="15" applyFont="1" applyBorder="1" applyAlignment="1">
      <alignment horizontal="left" vertical="center" indent="1"/>
    </xf>
    <xf numFmtId="0" fontId="36" fillId="0" borderId="192" xfId="15" applyFont="1" applyBorder="1" applyAlignment="1">
      <alignment horizontal="left" vertical="center" indent="1"/>
    </xf>
    <xf numFmtId="14" fontId="36" fillId="0" borderId="32" xfId="15" applyNumberFormat="1" applyFont="1" applyBorder="1" applyAlignment="1">
      <alignment horizontal="center" vertical="center"/>
    </xf>
    <xf numFmtId="14" fontId="36" fillId="0" borderId="37" xfId="15" applyNumberFormat="1" applyFont="1" applyBorder="1" applyAlignment="1">
      <alignment horizontal="center" vertical="center"/>
    </xf>
    <xf numFmtId="14" fontId="36" fillId="0" borderId="192" xfId="15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6" fillId="3" borderId="32" xfId="15" applyFont="1" applyFill="1" applyBorder="1" applyAlignment="1">
      <alignment horizontal="center" vertical="center"/>
    </xf>
    <xf numFmtId="0" fontId="46" fillId="3" borderId="37" xfId="15" applyFont="1" applyFill="1" applyBorder="1">
      <alignment vertical="center"/>
    </xf>
    <xf numFmtId="0" fontId="46" fillId="3" borderId="192" xfId="15" applyFont="1" applyFill="1" applyBorder="1">
      <alignment vertical="center"/>
    </xf>
    <xf numFmtId="0" fontId="36" fillId="3" borderId="37" xfId="15" applyFont="1" applyFill="1" applyBorder="1" applyAlignment="1">
      <alignment horizontal="center" vertical="center"/>
    </xf>
    <xf numFmtId="0" fontId="36" fillId="3" borderId="192" xfId="15" applyFont="1" applyFill="1" applyBorder="1" applyAlignment="1">
      <alignment horizontal="center" vertical="center"/>
    </xf>
    <xf numFmtId="0" fontId="36" fillId="3" borderId="193" xfId="15" applyFont="1" applyFill="1" applyBorder="1" applyAlignment="1">
      <alignment horizontal="center" vertical="center"/>
    </xf>
    <xf numFmtId="0" fontId="36" fillId="3" borderId="194" xfId="15" applyFont="1" applyFill="1" applyBorder="1" applyAlignment="1">
      <alignment horizontal="center" vertical="center"/>
    </xf>
    <xf numFmtId="0" fontId="36" fillId="3" borderId="195" xfId="15" applyFont="1" applyFill="1" applyBorder="1" applyAlignment="1">
      <alignment horizontal="center" vertical="center"/>
    </xf>
    <xf numFmtId="0" fontId="21" fillId="0" borderId="179" xfId="15" applyFont="1" applyBorder="1" applyAlignment="1">
      <alignment horizontal="left" vertical="center" indent="1"/>
    </xf>
    <xf numFmtId="16" fontId="21" fillId="0" borderId="179" xfId="15" applyNumberFormat="1" applyFont="1" applyBorder="1" applyAlignment="1">
      <alignment horizontal="center" vertical="center"/>
    </xf>
    <xf numFmtId="0" fontId="21" fillId="0" borderId="179" xfId="15" applyFont="1" applyBorder="1" applyAlignment="1">
      <alignment horizontal="center" vertical="center"/>
    </xf>
    <xf numFmtId="0" fontId="21" fillId="0" borderId="170" xfId="15" applyFont="1" applyBorder="1" applyAlignment="1">
      <alignment horizontal="center" vertical="center"/>
    </xf>
    <xf numFmtId="0" fontId="47" fillId="2" borderId="196" xfId="15" applyFont="1" applyFill="1" applyBorder="1" applyAlignment="1">
      <alignment horizontal="center" vertical="center" wrapText="1"/>
    </xf>
    <xf numFmtId="0" fontId="47" fillId="2" borderId="197" xfId="15" applyFont="1" applyFill="1" applyBorder="1" applyAlignment="1">
      <alignment horizontal="center" vertical="center" wrapText="1"/>
    </xf>
    <xf numFmtId="0" fontId="47" fillId="2" borderId="198" xfId="15" applyFont="1" applyFill="1" applyBorder="1" applyAlignment="1">
      <alignment horizontal="center" vertical="center" wrapText="1"/>
    </xf>
    <xf numFmtId="190" fontId="47" fillId="2" borderId="196" xfId="15" applyNumberFormat="1" applyFont="1" applyFill="1" applyBorder="1" applyAlignment="1">
      <alignment horizontal="center" vertical="center" wrapText="1"/>
    </xf>
    <xf numFmtId="190" fontId="47" fillId="2" borderId="197" xfId="15" applyNumberFormat="1" applyFont="1" applyFill="1" applyBorder="1" applyAlignment="1">
      <alignment horizontal="center" vertical="center" wrapText="1"/>
    </xf>
    <xf numFmtId="190" fontId="47" fillId="2" borderId="198" xfId="15" applyNumberFormat="1" applyFont="1" applyFill="1" applyBorder="1" applyAlignment="1">
      <alignment horizontal="center" vertical="center" wrapText="1"/>
    </xf>
    <xf numFmtId="26" fontId="28" fillId="2" borderId="196" xfId="15" applyNumberFormat="1" applyFont="1" applyFill="1" applyBorder="1" applyAlignment="1">
      <alignment horizontal="center" vertical="center"/>
    </xf>
    <xf numFmtId="26" fontId="28" fillId="2" borderId="197" xfId="15" applyNumberFormat="1" applyFont="1" applyFill="1" applyBorder="1" applyAlignment="1">
      <alignment horizontal="center" vertical="center"/>
    </xf>
    <xf numFmtId="26" fontId="28" fillId="2" borderId="198" xfId="15" applyNumberFormat="1" applyFont="1" applyFill="1" applyBorder="1" applyAlignment="1">
      <alignment horizontal="center" vertical="center"/>
    </xf>
    <xf numFmtId="195" fontId="28" fillId="2" borderId="196" xfId="15" applyNumberFormat="1" applyFont="1" applyFill="1" applyBorder="1" applyAlignment="1">
      <alignment horizontal="center" vertical="center" wrapText="1"/>
    </xf>
    <xf numFmtId="195" fontId="28" fillId="2" borderId="197" xfId="15" applyNumberFormat="1" applyFont="1" applyFill="1" applyBorder="1" applyAlignment="1">
      <alignment horizontal="center" vertical="center" wrapText="1"/>
    </xf>
    <xf numFmtId="195" fontId="28" fillId="2" borderId="198" xfId="15" applyNumberFormat="1" applyFont="1" applyFill="1" applyBorder="1" applyAlignment="1">
      <alignment horizontal="center" vertical="center" wrapText="1"/>
    </xf>
    <xf numFmtId="0" fontId="36" fillId="3" borderId="178" xfId="15" applyFont="1" applyFill="1" applyBorder="1" applyAlignment="1">
      <alignment horizontal="center" vertical="center"/>
    </xf>
    <xf numFmtId="0" fontId="36" fillId="3" borderId="179" xfId="15" applyFont="1" applyFill="1" applyBorder="1" applyAlignment="1">
      <alignment horizontal="center" vertical="center"/>
    </xf>
    <xf numFmtId="0" fontId="36" fillId="3" borderId="170" xfId="15" applyFont="1" applyFill="1" applyBorder="1" applyAlignment="1">
      <alignment horizontal="center" vertical="center"/>
    </xf>
    <xf numFmtId="0" fontId="14" fillId="0" borderId="202" xfId="15" applyFont="1" applyBorder="1" applyAlignment="1">
      <alignment horizontal="left" vertical="center" wrapText="1" indent="1"/>
    </xf>
    <xf numFmtId="0" fontId="14" fillId="0" borderId="203" xfId="15" applyFont="1" applyBorder="1" applyAlignment="1">
      <alignment horizontal="left" vertical="center" wrapText="1" indent="1"/>
    </xf>
    <xf numFmtId="0" fontId="14" fillId="0" borderId="204" xfId="15" applyFont="1" applyBorder="1" applyAlignment="1">
      <alignment horizontal="left" vertical="center" wrapText="1" indent="1"/>
    </xf>
    <xf numFmtId="181" fontId="47" fillId="2" borderId="199" xfId="15" applyNumberFormat="1" applyFont="1" applyFill="1" applyBorder="1" applyAlignment="1">
      <alignment horizontal="center" vertical="center"/>
    </xf>
    <xf numFmtId="181" fontId="47" fillId="2" borderId="200" xfId="15" applyNumberFormat="1" applyFont="1" applyFill="1" applyBorder="1" applyAlignment="1">
      <alignment horizontal="center" vertical="center"/>
    </xf>
    <xf numFmtId="181" fontId="47" fillId="2" borderId="201" xfId="15" applyNumberFormat="1" applyFont="1" applyFill="1" applyBorder="1" applyAlignment="1">
      <alignment horizontal="center" vertical="center"/>
    </xf>
    <xf numFmtId="0" fontId="47" fillId="2" borderId="199" xfId="15" applyFont="1" applyFill="1" applyBorder="1" applyAlignment="1">
      <alignment horizontal="center" vertical="center"/>
    </xf>
    <xf numFmtId="0" fontId="47" fillId="2" borderId="200" xfId="15" applyFont="1" applyFill="1" applyBorder="1" applyAlignment="1">
      <alignment horizontal="center" vertical="center"/>
    </xf>
    <xf numFmtId="0" fontId="47" fillId="2" borderId="201" xfId="15" applyFont="1" applyFill="1" applyBorder="1" applyAlignment="1">
      <alignment horizontal="center" vertical="center"/>
    </xf>
    <xf numFmtId="190" fontId="47" fillId="2" borderId="199" xfId="15" applyNumberFormat="1" applyFont="1" applyFill="1" applyBorder="1" applyAlignment="1">
      <alignment horizontal="center" vertical="center"/>
    </xf>
    <xf numFmtId="190" fontId="47" fillId="2" borderId="200" xfId="15" applyNumberFormat="1" applyFont="1" applyFill="1" applyBorder="1" applyAlignment="1">
      <alignment horizontal="center" vertical="center"/>
    </xf>
    <xf numFmtId="190" fontId="47" fillId="2" borderId="201" xfId="15" applyNumberFormat="1" applyFont="1" applyFill="1" applyBorder="1" applyAlignment="1">
      <alignment horizontal="center" vertical="center"/>
    </xf>
    <xf numFmtId="26" fontId="28" fillId="2" borderId="199" xfId="15" applyNumberFormat="1" applyFont="1" applyFill="1" applyBorder="1" applyAlignment="1">
      <alignment horizontal="center" vertical="center"/>
    </xf>
    <xf numFmtId="26" fontId="28" fillId="2" borderId="200" xfId="15" applyNumberFormat="1" applyFont="1" applyFill="1" applyBorder="1" applyAlignment="1">
      <alignment horizontal="center" vertical="center"/>
    </xf>
    <xf numFmtId="26" fontId="28" fillId="2" borderId="201" xfId="15" applyNumberFormat="1" applyFont="1" applyFill="1" applyBorder="1" applyAlignment="1">
      <alignment horizontal="center" vertical="center"/>
    </xf>
    <xf numFmtId="195" fontId="28" fillId="2" borderId="199" xfId="15" applyNumberFormat="1" applyFont="1" applyFill="1" applyBorder="1" applyAlignment="1">
      <alignment horizontal="center" vertical="center" wrapText="1"/>
    </xf>
    <xf numFmtId="195" fontId="28" fillId="2" borderId="200" xfId="15" applyNumberFormat="1" applyFont="1" applyFill="1" applyBorder="1" applyAlignment="1">
      <alignment horizontal="center" vertical="center" wrapText="1"/>
    </xf>
    <xf numFmtId="195" fontId="28" fillId="2" borderId="201" xfId="15" applyNumberFormat="1" applyFont="1" applyFill="1" applyBorder="1" applyAlignment="1">
      <alignment horizontal="center" vertical="center" wrapText="1"/>
    </xf>
    <xf numFmtId="0" fontId="14" fillId="0" borderId="0" xfId="15" applyFont="1" applyAlignment="1">
      <alignment horizontal="left" vertical="center" indent="1"/>
    </xf>
    <xf numFmtId="0" fontId="14" fillId="0" borderId="24" xfId="15" applyFont="1" applyBorder="1" applyAlignment="1">
      <alignment horizontal="left" vertical="center" indent="1"/>
    </xf>
    <xf numFmtId="0" fontId="36" fillId="3" borderId="253" xfId="15" applyFont="1" applyFill="1" applyBorder="1" applyAlignment="1">
      <alignment horizontal="center" vertical="center" wrapText="1"/>
    </xf>
    <xf numFmtId="0" fontId="36" fillId="3" borderId="0" xfId="15" applyFont="1" applyFill="1" applyAlignment="1">
      <alignment horizontal="center" vertical="center" wrapText="1"/>
    </xf>
    <xf numFmtId="0" fontId="36" fillId="3" borderId="24" xfId="15" applyFont="1" applyFill="1" applyBorder="1" applyAlignment="1">
      <alignment horizontal="center" vertical="center" wrapText="1"/>
    </xf>
    <xf numFmtId="0" fontId="36" fillId="3" borderId="22" xfId="15" applyFont="1" applyFill="1" applyBorder="1" applyAlignment="1">
      <alignment horizontal="center" vertical="center" wrapText="1"/>
    </xf>
    <xf numFmtId="0" fontId="36" fillId="3" borderId="31" xfId="15" applyFont="1" applyFill="1" applyBorder="1" applyAlignment="1">
      <alignment horizontal="center" vertical="center" wrapText="1"/>
    </xf>
    <xf numFmtId="0" fontId="36" fillId="3" borderId="25" xfId="15" applyFont="1" applyFill="1" applyBorder="1" applyAlignment="1">
      <alignment horizontal="center" vertical="center" wrapText="1"/>
    </xf>
    <xf numFmtId="0" fontId="39" fillId="0" borderId="253" xfId="15" applyFont="1" applyBorder="1" applyAlignment="1">
      <alignment horizontal="left" vertical="center" wrapText="1" indent="1"/>
    </xf>
    <xf numFmtId="0" fontId="14" fillId="0" borderId="0" xfId="15" applyFont="1" applyAlignment="1">
      <alignment horizontal="left" vertical="center" wrapText="1" indent="1"/>
    </xf>
    <xf numFmtId="0" fontId="14" fillId="0" borderId="24" xfId="15" applyFont="1" applyBorder="1" applyAlignment="1">
      <alignment horizontal="left" vertical="center" wrapText="1" indent="1"/>
    </xf>
    <xf numFmtId="0" fontId="14" fillId="0" borderId="31" xfId="15" applyFont="1" applyBorder="1" applyAlignment="1">
      <alignment horizontal="left" vertical="center" indent="1"/>
    </xf>
    <xf numFmtId="0" fontId="14" fillId="0" borderId="25" xfId="15" applyFont="1" applyBorder="1" applyAlignment="1">
      <alignment horizontal="left" vertical="center" indent="1"/>
    </xf>
    <xf numFmtId="181" fontId="47" fillId="2" borderId="196" xfId="15" applyNumberFormat="1" applyFont="1" applyFill="1" applyBorder="1" applyAlignment="1">
      <alignment horizontal="center" vertical="center"/>
    </xf>
    <xf numFmtId="181" fontId="47" fillId="2" borderId="197" xfId="15" applyNumberFormat="1" applyFont="1" applyFill="1" applyBorder="1" applyAlignment="1">
      <alignment horizontal="center" vertical="center"/>
    </xf>
    <xf numFmtId="181" fontId="47" fillId="2" borderId="198" xfId="15" applyNumberFormat="1" applyFont="1" applyFill="1" applyBorder="1" applyAlignment="1">
      <alignment horizontal="center" vertical="center"/>
    </xf>
    <xf numFmtId="0" fontId="36" fillId="3" borderId="202" xfId="15" applyFont="1" applyFill="1" applyBorder="1" applyAlignment="1">
      <alignment horizontal="center" vertical="center"/>
    </xf>
    <xf numFmtId="0" fontId="36" fillId="3" borderId="203" xfId="15" applyFont="1" applyFill="1" applyBorder="1" applyAlignment="1">
      <alignment horizontal="center" vertical="center"/>
    </xf>
    <xf numFmtId="0" fontId="36" fillId="3" borderId="204" xfId="15" applyFont="1" applyFill="1" applyBorder="1" applyAlignment="1">
      <alignment horizontal="center" vertical="center"/>
    </xf>
    <xf numFmtId="0" fontId="36" fillId="3" borderId="253" xfId="15" applyFont="1" applyFill="1" applyBorder="1" applyAlignment="1">
      <alignment horizontal="center" vertical="center"/>
    </xf>
    <xf numFmtId="0" fontId="36" fillId="3" borderId="0" xfId="15" applyFont="1" applyFill="1" applyAlignment="1">
      <alignment horizontal="center" vertical="center"/>
    </xf>
    <xf numFmtId="0" fontId="36" fillId="3" borderId="24" xfId="15" applyFont="1" applyFill="1" applyBorder="1" applyAlignment="1">
      <alignment horizontal="center" vertical="center"/>
    </xf>
    <xf numFmtId="0" fontId="23" fillId="0" borderId="0" xfId="15" applyFont="1" applyAlignment="1">
      <alignment horizontal="left" vertical="center" wrapText="1" indent="1"/>
    </xf>
    <xf numFmtId="0" fontId="23" fillId="0" borderId="0" xfId="15" applyFont="1" applyAlignment="1">
      <alignment horizontal="left" vertical="center" indent="1"/>
    </xf>
    <xf numFmtId="0" fontId="23" fillId="0" borderId="24" xfId="15" applyFont="1" applyBorder="1" applyAlignment="1">
      <alignment horizontal="left" vertical="center" indent="1"/>
    </xf>
    <xf numFmtId="0" fontId="14" fillId="0" borderId="203" xfId="15" applyFont="1" applyBorder="1" applyAlignment="1">
      <alignment horizontal="left" vertical="center" indent="1"/>
    </xf>
    <xf numFmtId="0" fontId="14" fillId="0" borderId="204" xfId="15" applyFont="1" applyBorder="1" applyAlignment="1">
      <alignment horizontal="left" vertical="center" indent="1"/>
    </xf>
    <xf numFmtId="0" fontId="36" fillId="3" borderId="205" xfId="15" applyFont="1" applyFill="1" applyBorder="1" applyAlignment="1">
      <alignment horizontal="center" vertical="center"/>
    </xf>
    <xf numFmtId="0" fontId="36" fillId="3" borderId="206" xfId="15" applyFont="1" applyFill="1" applyBorder="1" applyAlignment="1">
      <alignment horizontal="center" vertical="center"/>
    </xf>
    <xf numFmtId="0" fontId="36" fillId="3" borderId="207" xfId="15" applyFont="1" applyFill="1" applyBorder="1" applyAlignment="1">
      <alignment horizontal="center" vertical="center"/>
    </xf>
    <xf numFmtId="0" fontId="14" fillId="0" borderId="206" xfId="15" applyFont="1" applyBorder="1" applyAlignment="1">
      <alignment horizontal="left" vertical="center" indent="1"/>
    </xf>
    <xf numFmtId="0" fontId="14" fillId="0" borderId="207" xfId="15" applyFont="1" applyBorder="1" applyAlignment="1">
      <alignment horizontal="left" vertical="center" indent="1"/>
    </xf>
    <xf numFmtId="0" fontId="51" fillId="3" borderId="193" xfId="15" applyFont="1" applyFill="1" applyBorder="1" applyAlignment="1">
      <alignment horizontal="center" vertical="center"/>
    </xf>
    <xf numFmtId="0" fontId="51" fillId="3" borderId="194" xfId="15" applyFont="1" applyFill="1" applyBorder="1" applyAlignment="1">
      <alignment horizontal="center" vertical="center"/>
    </xf>
    <xf numFmtId="0" fontId="51" fillId="3" borderId="195" xfId="15" applyFont="1" applyFill="1" applyBorder="1" applyAlignment="1">
      <alignment horizontal="center" vertical="center"/>
    </xf>
    <xf numFmtId="0" fontId="14" fillId="0" borderId="32" xfId="15" applyFont="1" applyBorder="1" applyAlignment="1">
      <alignment horizontal="left" vertical="center" wrapText="1" indent="1"/>
    </xf>
    <xf numFmtId="0" fontId="14" fillId="0" borderId="37" xfId="15" applyFont="1" applyBorder="1" applyAlignment="1">
      <alignment horizontal="left" vertical="center" indent="1"/>
    </xf>
    <xf numFmtId="0" fontId="14" fillId="0" borderId="192" xfId="15" applyFont="1" applyBorder="1" applyAlignment="1">
      <alignment horizontal="left" vertical="center" indent="1"/>
    </xf>
    <xf numFmtId="0" fontId="14" fillId="0" borderId="32" xfId="15" applyFont="1" applyBorder="1" applyAlignment="1">
      <alignment horizontal="left" vertical="center" indent="1"/>
    </xf>
    <xf numFmtId="176" fontId="54" fillId="6" borderId="178" xfId="27" applyNumberFormat="1" applyFont="1" applyFill="1" applyBorder="1" applyAlignment="1">
      <alignment horizontal="center" vertical="center"/>
    </xf>
    <xf numFmtId="176" fontId="54" fillId="6" borderId="179" xfId="27" applyNumberFormat="1" applyFont="1" applyFill="1" applyBorder="1" applyAlignment="1">
      <alignment horizontal="center" vertical="center"/>
    </xf>
    <xf numFmtId="176" fontId="54" fillId="6" borderId="170" xfId="27" applyNumberFormat="1" applyFont="1" applyFill="1" applyBorder="1" applyAlignment="1">
      <alignment horizontal="center" vertical="center"/>
    </xf>
    <xf numFmtId="176" fontId="54" fillId="0" borderId="0" xfId="27" applyNumberFormat="1" applyFont="1" applyAlignment="1">
      <alignment horizontal="center" vertical="center"/>
    </xf>
    <xf numFmtId="176" fontId="54" fillId="0" borderId="24" xfId="27" applyNumberFormat="1" applyFont="1" applyBorder="1" applyAlignment="1">
      <alignment horizontal="center" vertical="center"/>
    </xf>
    <xf numFmtId="0" fontId="51" fillId="0" borderId="22" xfId="15" applyFont="1" applyBorder="1" applyAlignment="1">
      <alignment horizontal="center" vertical="center"/>
    </xf>
    <xf numFmtId="0" fontId="51" fillId="0" borderId="31" xfId="15" applyFont="1" applyBorder="1" applyAlignment="1">
      <alignment horizontal="center" vertical="center"/>
    </xf>
    <xf numFmtId="0" fontId="52" fillId="6" borderId="22" xfId="15" applyFont="1" applyFill="1" applyBorder="1" applyAlignment="1">
      <alignment horizontal="center" vertical="center"/>
    </xf>
    <xf numFmtId="0" fontId="52" fillId="6" borderId="31" xfId="15" applyFont="1" applyFill="1" applyBorder="1" applyAlignment="1">
      <alignment horizontal="center" vertical="center"/>
    </xf>
    <xf numFmtId="0" fontId="52" fillId="6" borderId="25" xfId="15" applyFont="1" applyFill="1" applyBorder="1" applyAlignment="1">
      <alignment horizontal="center" vertical="center"/>
    </xf>
    <xf numFmtId="0" fontId="52" fillId="0" borderId="31" xfId="15" applyFont="1" applyBorder="1" applyAlignment="1">
      <alignment horizontal="center" vertical="center"/>
    </xf>
    <xf numFmtId="0" fontId="52" fillId="0" borderId="25" xfId="15" applyFont="1" applyBorder="1" applyAlignment="1">
      <alignment horizontal="center" vertical="center"/>
    </xf>
    <xf numFmtId="0" fontId="51" fillId="3" borderId="178" xfId="15" applyFont="1" applyFill="1" applyBorder="1" applyAlignment="1">
      <alignment horizontal="center" vertical="center" wrapText="1"/>
    </xf>
    <xf numFmtId="0" fontId="51" fillId="3" borderId="179" xfId="15" applyFont="1" applyFill="1" applyBorder="1" applyAlignment="1">
      <alignment horizontal="center" vertical="center"/>
    </xf>
    <xf numFmtId="0" fontId="51" fillId="3" borderId="170" xfId="15" applyFont="1" applyFill="1" applyBorder="1" applyAlignment="1">
      <alignment horizontal="center" vertical="center"/>
    </xf>
    <xf numFmtId="0" fontId="51" fillId="3" borderId="253" xfId="15" applyFont="1" applyFill="1" applyBorder="1" applyAlignment="1">
      <alignment horizontal="center" vertical="center"/>
    </xf>
    <xf numFmtId="0" fontId="51" fillId="3" borderId="0" xfId="15" applyFont="1" applyFill="1" applyAlignment="1">
      <alignment horizontal="center" vertical="center"/>
    </xf>
    <xf numFmtId="0" fontId="51" fillId="3" borderId="24" xfId="15" applyFont="1" applyFill="1" applyBorder="1" applyAlignment="1">
      <alignment horizontal="center" vertical="center"/>
    </xf>
    <xf numFmtId="0" fontId="51" fillId="3" borderId="22" xfId="15" applyFont="1" applyFill="1" applyBorder="1" applyAlignment="1">
      <alignment horizontal="center" vertical="center"/>
    </xf>
    <xf numFmtId="0" fontId="51" fillId="3" borderId="31" xfId="15" applyFont="1" applyFill="1" applyBorder="1" applyAlignment="1">
      <alignment horizontal="center" vertical="center"/>
    </xf>
    <xf numFmtId="0" fontId="51" fillId="3" borderId="25" xfId="15" applyFont="1" applyFill="1" applyBorder="1" applyAlignment="1">
      <alignment horizontal="center" vertical="center"/>
    </xf>
    <xf numFmtId="0" fontId="51" fillId="3" borderId="32" xfId="15" applyFont="1" applyFill="1" applyBorder="1" applyAlignment="1">
      <alignment horizontal="center" vertical="center"/>
    </xf>
    <xf numFmtId="0" fontId="51" fillId="3" borderId="37" xfId="15" applyFont="1" applyFill="1" applyBorder="1" applyAlignment="1">
      <alignment horizontal="center" vertical="center"/>
    </xf>
    <xf numFmtId="0" fontId="51" fillId="6" borderId="32" xfId="15" applyFont="1" applyFill="1" applyBorder="1" applyAlignment="1">
      <alignment horizontal="center" vertical="center"/>
    </xf>
    <xf numFmtId="0" fontId="51" fillId="6" borderId="37" xfId="15" applyFont="1" applyFill="1" applyBorder="1" applyAlignment="1">
      <alignment horizontal="center" vertical="center"/>
    </xf>
    <xf numFmtId="0" fontId="51" fillId="6" borderId="192" xfId="15" applyFont="1" applyFill="1" applyBorder="1" applyAlignment="1">
      <alignment horizontal="center" vertical="center"/>
    </xf>
    <xf numFmtId="0" fontId="51" fillId="3" borderId="192" xfId="15" applyFont="1" applyFill="1" applyBorder="1" applyAlignment="1">
      <alignment horizontal="center" vertical="center"/>
    </xf>
    <xf numFmtId="176" fontId="51" fillId="0" borderId="178" xfId="27" applyNumberFormat="1" applyFont="1" applyBorder="1" applyAlignment="1">
      <alignment horizontal="center" vertical="center"/>
    </xf>
    <xf numFmtId="176" fontId="51" fillId="0" borderId="179" xfId="27" applyNumberFormat="1" applyFont="1" applyBorder="1" applyAlignment="1">
      <alignment horizontal="center" vertical="center"/>
    </xf>
    <xf numFmtId="176" fontId="51" fillId="0" borderId="170" xfId="27" applyNumberFormat="1" applyFont="1" applyBorder="1" applyAlignment="1">
      <alignment horizontal="center" vertical="center"/>
    </xf>
    <xf numFmtId="0" fontId="79" fillId="0" borderId="0" xfId="12" applyFont="1" applyAlignment="1">
      <alignment horizontal="center" vertical="center" wrapText="1"/>
    </xf>
    <xf numFmtId="49" fontId="88" fillId="0" borderId="250" xfId="12" applyNumberFormat="1" applyFont="1" applyBorder="1" applyAlignment="1">
      <alignment horizontal="center" vertical="center"/>
    </xf>
    <xf numFmtId="49" fontId="88" fillId="0" borderId="251" xfId="12" applyNumberFormat="1" applyFont="1" applyBorder="1" applyAlignment="1">
      <alignment horizontal="center" vertical="center"/>
    </xf>
    <xf numFmtId="49" fontId="88" fillId="0" borderId="252" xfId="12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 wrapText="1"/>
    </xf>
    <xf numFmtId="0" fontId="14" fillId="0" borderId="178" xfId="0" applyFont="1" applyBorder="1" applyAlignment="1">
      <alignment horizontal="left" vertical="center" indent="1"/>
    </xf>
    <xf numFmtId="0" fontId="14" fillId="0" borderId="179" xfId="0" applyFont="1" applyBorder="1" applyAlignment="1">
      <alignment horizontal="left" vertical="center" indent="1"/>
    </xf>
    <xf numFmtId="0" fontId="14" fillId="0" borderId="170" xfId="0" applyFont="1" applyBorder="1" applyAlignment="1">
      <alignment horizontal="left" vertical="center" indent="1"/>
    </xf>
    <xf numFmtId="0" fontId="21" fillId="4" borderId="261" xfId="0" applyFont="1" applyFill="1" applyBorder="1" applyAlignment="1">
      <alignment horizontal="left" vertical="center" indent="1"/>
    </xf>
    <xf numFmtId="0" fontId="21" fillId="4" borderId="0" xfId="0" applyFont="1" applyFill="1" applyAlignment="1">
      <alignment horizontal="left" vertical="center" indent="1"/>
    </xf>
    <xf numFmtId="0" fontId="21" fillId="4" borderId="24" xfId="0" applyFont="1" applyFill="1" applyBorder="1" applyAlignment="1">
      <alignment horizontal="left" vertical="center" indent="1"/>
    </xf>
    <xf numFmtId="0" fontId="14" fillId="0" borderId="173" xfId="0" applyFont="1" applyBorder="1" applyAlignment="1">
      <alignment horizontal="left" vertical="center" indent="1"/>
    </xf>
    <xf numFmtId="0" fontId="14" fillId="0" borderId="174" xfId="0" applyFont="1" applyBorder="1" applyAlignment="1">
      <alignment horizontal="left" vertical="center" indent="1"/>
    </xf>
    <xf numFmtId="0" fontId="14" fillId="0" borderId="175" xfId="0" applyFont="1" applyBorder="1" applyAlignment="1">
      <alignment horizontal="left" vertical="center" indent="1"/>
    </xf>
    <xf numFmtId="0" fontId="21" fillId="5" borderId="177" xfId="1" applyFont="1" applyFill="1" applyBorder="1" applyAlignment="1">
      <alignment horizontal="left" vertical="center" wrapText="1"/>
    </xf>
    <xf numFmtId="0" fontId="21" fillId="0" borderId="181" xfId="1" applyFont="1" applyBorder="1" applyAlignment="1">
      <alignment horizontal="left" vertical="center" wrapText="1"/>
    </xf>
    <xf numFmtId="0" fontId="21" fillId="0" borderId="182" xfId="1" applyFont="1" applyBorder="1" applyAlignment="1">
      <alignment horizontal="left" vertical="center" wrapText="1"/>
    </xf>
    <xf numFmtId="0" fontId="37" fillId="0" borderId="0" xfId="0" applyFont="1" applyAlignment="1">
      <alignment horizontal="center" vertical="center"/>
    </xf>
    <xf numFmtId="0" fontId="36" fillId="3" borderId="172" xfId="1" applyFont="1" applyFill="1" applyBorder="1" applyAlignment="1">
      <alignment horizontal="center" wrapText="1"/>
    </xf>
    <xf numFmtId="0" fontId="28" fillId="0" borderId="210" xfId="1" applyFont="1" applyBorder="1" applyAlignment="1">
      <alignment horizontal="center" vertical="center" wrapText="1"/>
    </xf>
    <xf numFmtId="0" fontId="28" fillId="0" borderId="262" xfId="1" applyFont="1" applyBorder="1" applyAlignment="1">
      <alignment horizontal="center" vertical="center" wrapText="1"/>
    </xf>
    <xf numFmtId="0" fontId="14" fillId="0" borderId="261" xfId="0" applyFont="1" applyBorder="1" applyAlignment="1">
      <alignment horizontal="left" vertical="center" indent="1"/>
    </xf>
    <xf numFmtId="0" fontId="14" fillId="0" borderId="0" xfId="0" applyFont="1" applyAlignment="1">
      <alignment horizontal="left" vertical="center" indent="1"/>
    </xf>
  </cellXfs>
  <cellStyles count="29">
    <cellStyle name="쉼표 [0] 2" xfId="16" xr:uid="{00000000-0005-0000-0000-000001000000}"/>
    <cellStyle name="쉼표 2" xfId="19" xr:uid="{00000000-0005-0000-0000-000002000000}"/>
    <cellStyle name="통화" xfId="27" builtinId="4"/>
    <cellStyle name="표준" xfId="0" builtinId="0"/>
    <cellStyle name="표준 10" xfId="1" xr:uid="{00000000-0005-0000-0000-000004000000}"/>
    <cellStyle name="표준 10 2 3" xfId="26" xr:uid="{967BB73B-B4E5-492F-A7F5-4604BAEF1412}"/>
    <cellStyle name="표준 11 31 2" xfId="10" xr:uid="{00000000-0005-0000-0000-000005000000}"/>
    <cellStyle name="표준 2" xfId="6" xr:uid="{00000000-0005-0000-0000-000006000000}"/>
    <cellStyle name="표준 2 2" xfId="11" xr:uid="{00000000-0005-0000-0000-000007000000}"/>
    <cellStyle name="표준 2 2 2" xfId="2" xr:uid="{00000000-0005-0000-0000-000008000000}"/>
    <cellStyle name="표준 2 2 2 2" xfId="21" xr:uid="{4B76374F-A5D6-409E-9FCF-6C3D057D671D}"/>
    <cellStyle name="표준 2 2 3" xfId="25" xr:uid="{FBC19EB6-AF13-483C-8E71-5B17F8367287}"/>
    <cellStyle name="표준 2 2 4" xfId="23" xr:uid="{3058CB41-51E7-4FDB-A797-797CA331553E}"/>
    <cellStyle name="표준 2 2 5" xfId="12" xr:uid="{00000000-0005-0000-0000-000009000000}"/>
    <cellStyle name="표준 2 3" xfId="24" xr:uid="{A544A9F5-3A9D-45C1-96C2-0F97EA43054D}"/>
    <cellStyle name="표준 2 4" xfId="22" xr:uid="{233AE372-1A6F-47EF-8340-0ECAEB17AD39}"/>
    <cellStyle name="표준 3" xfId="5" xr:uid="{00000000-0005-0000-0000-00000A000000}"/>
    <cellStyle name="표준 3 14" xfId="9" xr:uid="{00000000-0005-0000-0000-00000B000000}"/>
    <cellStyle name="표준 3 2" xfId="15" xr:uid="{00000000-0005-0000-0000-00000C000000}"/>
    <cellStyle name="표준 3 2 15" xfId="14" xr:uid="{00000000-0005-0000-0000-00000D000000}"/>
    <cellStyle name="표준 3 2 2" xfId="8" xr:uid="{00000000-0005-0000-0000-00000E000000}"/>
    <cellStyle name="표준 4" xfId="18" xr:uid="{00000000-0005-0000-0000-00000F000000}"/>
    <cellStyle name="표준 4 2" xfId="17" xr:uid="{00000000-0005-0000-0000-000010000000}"/>
    <cellStyle name="표준 4 3" xfId="4" xr:uid="{00000000-0005-0000-0000-000011000000}"/>
    <cellStyle name="표준 4 4" xfId="28" xr:uid="{9C21A03D-7732-4C82-B1E1-FF3325E7EBA9}"/>
    <cellStyle name="표준 5" xfId="20" xr:uid="{00000000-0005-0000-0000-000012000000}"/>
    <cellStyle name="표준 5 17" xfId="13" xr:uid="{00000000-0005-0000-0000-000013000000}"/>
    <cellStyle name="하이퍼링크" xfId="7" builtinId="8"/>
    <cellStyle name="Normal 12" xfId="3" xr:uid="{00000000-0005-0000-0000-000000000000}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A3990"/>
        <name val="Roboto"/>
        <scheme val="none"/>
      </font>
      <numFmt numFmtId="176" formatCode="&quot;$&quot;#,##0.00_);[Red]\(&quot;$&quot;#,##0.00\)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A3990"/>
        <name val="Roboto"/>
        <scheme val="none"/>
      </font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A3990"/>
        <name val="Roboto"/>
        <scheme val="none"/>
      </font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A3990"/>
        <name val="Roboto"/>
        <scheme val="none"/>
      </font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A3990"/>
        <name val="Roboto"/>
        <scheme val="none"/>
      </font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A3990"/>
        <name val="Roboto"/>
        <scheme val="none"/>
      </font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A3990"/>
        <name val="Roboto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A3990"/>
        <name val="Roboto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A3990"/>
        <name val="Roboto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A3990"/>
        <name val="Roboto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A3990"/>
        <name val="Roboto"/>
        <scheme val="none"/>
      </font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A3990"/>
        <name val="Roboto"/>
        <scheme val="none"/>
      </font>
      <alignment horizontal="right" vertical="bottom" textRotation="0" wrapText="1" indent="0" justifyLastLine="0" shrinkToFit="0" readingOrder="0"/>
    </dxf>
  </dxfs>
  <tableStyles count="0" defaultTableStyle="TableStyleMedium9" defaultPivotStyle="PivotStyleLight16"/>
  <colors>
    <mruColors>
      <color rgb="FFFFFFCC"/>
      <color rgb="FFCCFFCC"/>
      <color rgb="FF0000FF"/>
      <color rgb="FFFFFF66"/>
      <color rgb="FF333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2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8.xml"/><Relationship Id="rId84" Type="http://schemas.openxmlformats.org/officeDocument/2006/relationships/externalLink" Target="externalLinks/externalLink79.xml"/><Relationship Id="rId138" Type="http://schemas.openxmlformats.org/officeDocument/2006/relationships/externalLink" Target="externalLinks/externalLink133.xml"/><Relationship Id="rId159" Type="http://schemas.openxmlformats.org/officeDocument/2006/relationships/externalLink" Target="externalLinks/externalLink154.xml"/><Relationship Id="rId170" Type="http://schemas.openxmlformats.org/officeDocument/2006/relationships/externalLink" Target="externalLinks/externalLink165.xml"/><Relationship Id="rId191" Type="http://schemas.openxmlformats.org/officeDocument/2006/relationships/customXml" Target="../customXml/item3.xml"/><Relationship Id="rId107" Type="http://schemas.openxmlformats.org/officeDocument/2006/relationships/externalLink" Target="externalLinks/externalLink102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48.xml"/><Relationship Id="rId74" Type="http://schemas.openxmlformats.org/officeDocument/2006/relationships/externalLink" Target="externalLinks/externalLink69.xml"/><Relationship Id="rId128" Type="http://schemas.openxmlformats.org/officeDocument/2006/relationships/externalLink" Target="externalLinks/externalLink123.xml"/><Relationship Id="rId149" Type="http://schemas.openxmlformats.org/officeDocument/2006/relationships/externalLink" Target="externalLinks/externalLink144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90.xml"/><Relationship Id="rId160" Type="http://schemas.openxmlformats.org/officeDocument/2006/relationships/externalLink" Target="externalLinks/externalLink155.xml"/><Relationship Id="rId181" Type="http://schemas.openxmlformats.org/officeDocument/2006/relationships/externalLink" Target="externalLinks/externalLink176.xml"/><Relationship Id="rId22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38.xml"/><Relationship Id="rId64" Type="http://schemas.openxmlformats.org/officeDocument/2006/relationships/externalLink" Target="externalLinks/externalLink59.xml"/><Relationship Id="rId118" Type="http://schemas.openxmlformats.org/officeDocument/2006/relationships/externalLink" Target="externalLinks/externalLink113.xml"/><Relationship Id="rId139" Type="http://schemas.openxmlformats.org/officeDocument/2006/relationships/externalLink" Target="externalLinks/externalLink134.xml"/><Relationship Id="rId85" Type="http://schemas.openxmlformats.org/officeDocument/2006/relationships/externalLink" Target="externalLinks/externalLink80.xml"/><Relationship Id="rId150" Type="http://schemas.openxmlformats.org/officeDocument/2006/relationships/externalLink" Target="externalLinks/externalLink145.xml"/><Relationship Id="rId171" Type="http://schemas.openxmlformats.org/officeDocument/2006/relationships/externalLink" Target="externalLinks/externalLink166.xml"/><Relationship Id="rId12" Type="http://schemas.openxmlformats.org/officeDocument/2006/relationships/externalLink" Target="externalLinks/externalLink7.xml"/><Relationship Id="rId33" Type="http://schemas.openxmlformats.org/officeDocument/2006/relationships/externalLink" Target="externalLinks/externalLink28.xml"/><Relationship Id="rId108" Type="http://schemas.openxmlformats.org/officeDocument/2006/relationships/externalLink" Target="externalLinks/externalLink103.xml"/><Relationship Id="rId129" Type="http://schemas.openxmlformats.org/officeDocument/2006/relationships/externalLink" Target="externalLinks/externalLink124.xml"/><Relationship Id="rId54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70.xml"/><Relationship Id="rId96" Type="http://schemas.openxmlformats.org/officeDocument/2006/relationships/externalLink" Target="externalLinks/externalLink91.xml"/><Relationship Id="rId140" Type="http://schemas.openxmlformats.org/officeDocument/2006/relationships/externalLink" Target="externalLinks/externalLink135.xml"/><Relationship Id="rId161" Type="http://schemas.openxmlformats.org/officeDocument/2006/relationships/externalLink" Target="externalLinks/externalLink156.xml"/><Relationship Id="rId182" Type="http://schemas.openxmlformats.org/officeDocument/2006/relationships/externalLink" Target="externalLinks/externalLink177.xml"/><Relationship Id="rId6" Type="http://schemas.openxmlformats.org/officeDocument/2006/relationships/externalLink" Target="externalLinks/externalLink1.xml"/><Relationship Id="rId23" Type="http://schemas.openxmlformats.org/officeDocument/2006/relationships/externalLink" Target="externalLinks/externalLink18.xml"/><Relationship Id="rId119" Type="http://schemas.openxmlformats.org/officeDocument/2006/relationships/externalLink" Target="externalLinks/externalLink114.xml"/><Relationship Id="rId44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81.xml"/><Relationship Id="rId130" Type="http://schemas.openxmlformats.org/officeDocument/2006/relationships/externalLink" Target="externalLinks/externalLink125.xml"/><Relationship Id="rId151" Type="http://schemas.openxmlformats.org/officeDocument/2006/relationships/externalLink" Target="externalLinks/externalLink146.xml"/><Relationship Id="rId172" Type="http://schemas.openxmlformats.org/officeDocument/2006/relationships/externalLink" Target="externalLinks/externalLink167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109" Type="http://schemas.openxmlformats.org/officeDocument/2006/relationships/externalLink" Target="externalLinks/externalLink10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97" Type="http://schemas.openxmlformats.org/officeDocument/2006/relationships/externalLink" Target="externalLinks/externalLink92.xml"/><Relationship Id="rId104" Type="http://schemas.openxmlformats.org/officeDocument/2006/relationships/externalLink" Target="externalLinks/externalLink99.xml"/><Relationship Id="rId120" Type="http://schemas.openxmlformats.org/officeDocument/2006/relationships/externalLink" Target="externalLinks/externalLink115.xml"/><Relationship Id="rId125" Type="http://schemas.openxmlformats.org/officeDocument/2006/relationships/externalLink" Target="externalLinks/externalLink120.xml"/><Relationship Id="rId141" Type="http://schemas.openxmlformats.org/officeDocument/2006/relationships/externalLink" Target="externalLinks/externalLink136.xml"/><Relationship Id="rId146" Type="http://schemas.openxmlformats.org/officeDocument/2006/relationships/externalLink" Target="externalLinks/externalLink141.xml"/><Relationship Id="rId167" Type="http://schemas.openxmlformats.org/officeDocument/2006/relationships/externalLink" Target="externalLinks/externalLink162.xml"/><Relationship Id="rId188" Type="http://schemas.openxmlformats.org/officeDocument/2006/relationships/calcChain" Target="calcChain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92" Type="http://schemas.openxmlformats.org/officeDocument/2006/relationships/externalLink" Target="externalLinks/externalLink87.xml"/><Relationship Id="rId162" Type="http://schemas.openxmlformats.org/officeDocument/2006/relationships/externalLink" Target="externalLinks/externalLink157.xml"/><Relationship Id="rId183" Type="http://schemas.openxmlformats.org/officeDocument/2006/relationships/externalLink" Target="externalLinks/externalLink17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externalLink" Target="externalLinks/externalLink82.xml"/><Relationship Id="rId110" Type="http://schemas.openxmlformats.org/officeDocument/2006/relationships/externalLink" Target="externalLinks/externalLink105.xml"/><Relationship Id="rId115" Type="http://schemas.openxmlformats.org/officeDocument/2006/relationships/externalLink" Target="externalLinks/externalLink110.xml"/><Relationship Id="rId131" Type="http://schemas.openxmlformats.org/officeDocument/2006/relationships/externalLink" Target="externalLinks/externalLink126.xml"/><Relationship Id="rId136" Type="http://schemas.openxmlformats.org/officeDocument/2006/relationships/externalLink" Target="externalLinks/externalLink131.xml"/><Relationship Id="rId157" Type="http://schemas.openxmlformats.org/officeDocument/2006/relationships/externalLink" Target="externalLinks/externalLink152.xml"/><Relationship Id="rId178" Type="http://schemas.openxmlformats.org/officeDocument/2006/relationships/externalLink" Target="externalLinks/externalLink173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52" Type="http://schemas.openxmlformats.org/officeDocument/2006/relationships/externalLink" Target="externalLinks/externalLink147.xml"/><Relationship Id="rId173" Type="http://schemas.openxmlformats.org/officeDocument/2006/relationships/externalLink" Target="externalLinks/externalLink168.xml"/><Relationship Id="rId19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9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51.xml"/><Relationship Id="rId77" Type="http://schemas.openxmlformats.org/officeDocument/2006/relationships/externalLink" Target="externalLinks/externalLink72.xml"/><Relationship Id="rId100" Type="http://schemas.openxmlformats.org/officeDocument/2006/relationships/externalLink" Target="externalLinks/externalLink95.xml"/><Relationship Id="rId105" Type="http://schemas.openxmlformats.org/officeDocument/2006/relationships/externalLink" Target="externalLinks/externalLink100.xml"/><Relationship Id="rId126" Type="http://schemas.openxmlformats.org/officeDocument/2006/relationships/externalLink" Target="externalLinks/externalLink121.xml"/><Relationship Id="rId147" Type="http://schemas.openxmlformats.org/officeDocument/2006/relationships/externalLink" Target="externalLinks/externalLink142.xml"/><Relationship Id="rId168" Type="http://schemas.openxmlformats.org/officeDocument/2006/relationships/externalLink" Target="externalLinks/externalLink163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93" Type="http://schemas.openxmlformats.org/officeDocument/2006/relationships/externalLink" Target="externalLinks/externalLink88.xml"/><Relationship Id="rId98" Type="http://schemas.openxmlformats.org/officeDocument/2006/relationships/externalLink" Target="externalLinks/externalLink93.xml"/><Relationship Id="rId121" Type="http://schemas.openxmlformats.org/officeDocument/2006/relationships/externalLink" Target="externalLinks/externalLink116.xml"/><Relationship Id="rId142" Type="http://schemas.openxmlformats.org/officeDocument/2006/relationships/externalLink" Target="externalLinks/externalLink137.xml"/><Relationship Id="rId163" Type="http://schemas.openxmlformats.org/officeDocument/2006/relationships/externalLink" Target="externalLinks/externalLink158.xml"/><Relationship Id="rId184" Type="http://schemas.openxmlformats.org/officeDocument/2006/relationships/externalLink" Target="externalLinks/externalLink179.xml"/><Relationship Id="rId189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41.xml"/><Relationship Id="rId67" Type="http://schemas.openxmlformats.org/officeDocument/2006/relationships/externalLink" Target="externalLinks/externalLink62.xml"/><Relationship Id="rId116" Type="http://schemas.openxmlformats.org/officeDocument/2006/relationships/externalLink" Target="externalLinks/externalLink111.xml"/><Relationship Id="rId137" Type="http://schemas.openxmlformats.org/officeDocument/2006/relationships/externalLink" Target="externalLinks/externalLink132.xml"/><Relationship Id="rId158" Type="http://schemas.openxmlformats.org/officeDocument/2006/relationships/externalLink" Target="externalLinks/externalLink153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57.xml"/><Relationship Id="rId83" Type="http://schemas.openxmlformats.org/officeDocument/2006/relationships/externalLink" Target="externalLinks/externalLink78.xml"/><Relationship Id="rId88" Type="http://schemas.openxmlformats.org/officeDocument/2006/relationships/externalLink" Target="externalLinks/externalLink83.xml"/><Relationship Id="rId111" Type="http://schemas.openxmlformats.org/officeDocument/2006/relationships/externalLink" Target="externalLinks/externalLink106.xml"/><Relationship Id="rId132" Type="http://schemas.openxmlformats.org/officeDocument/2006/relationships/externalLink" Target="externalLinks/externalLink127.xml"/><Relationship Id="rId153" Type="http://schemas.openxmlformats.org/officeDocument/2006/relationships/externalLink" Target="externalLinks/externalLink148.xml"/><Relationship Id="rId174" Type="http://schemas.openxmlformats.org/officeDocument/2006/relationships/externalLink" Target="externalLinks/externalLink169.xml"/><Relationship Id="rId179" Type="http://schemas.openxmlformats.org/officeDocument/2006/relationships/externalLink" Target="externalLinks/externalLink174.xml"/><Relationship Id="rId190" Type="http://schemas.openxmlformats.org/officeDocument/2006/relationships/customXml" Target="../customXml/item2.xml"/><Relationship Id="rId15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52.xml"/><Relationship Id="rId106" Type="http://schemas.openxmlformats.org/officeDocument/2006/relationships/externalLink" Target="externalLinks/externalLink101.xml"/><Relationship Id="rId127" Type="http://schemas.openxmlformats.org/officeDocument/2006/relationships/externalLink" Target="externalLinks/externalLink12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47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94" Type="http://schemas.openxmlformats.org/officeDocument/2006/relationships/externalLink" Target="externalLinks/externalLink89.xml"/><Relationship Id="rId99" Type="http://schemas.openxmlformats.org/officeDocument/2006/relationships/externalLink" Target="externalLinks/externalLink94.xml"/><Relationship Id="rId101" Type="http://schemas.openxmlformats.org/officeDocument/2006/relationships/externalLink" Target="externalLinks/externalLink96.xml"/><Relationship Id="rId122" Type="http://schemas.openxmlformats.org/officeDocument/2006/relationships/externalLink" Target="externalLinks/externalLink117.xml"/><Relationship Id="rId143" Type="http://schemas.openxmlformats.org/officeDocument/2006/relationships/externalLink" Target="externalLinks/externalLink138.xml"/><Relationship Id="rId148" Type="http://schemas.openxmlformats.org/officeDocument/2006/relationships/externalLink" Target="externalLinks/externalLink143.xml"/><Relationship Id="rId164" Type="http://schemas.openxmlformats.org/officeDocument/2006/relationships/externalLink" Target="externalLinks/externalLink159.xml"/><Relationship Id="rId169" Type="http://schemas.openxmlformats.org/officeDocument/2006/relationships/externalLink" Target="externalLinks/externalLink164.xml"/><Relationship Id="rId18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80" Type="http://schemas.openxmlformats.org/officeDocument/2006/relationships/externalLink" Target="externalLinks/externalLink175.xml"/><Relationship Id="rId26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84.xml"/><Relationship Id="rId112" Type="http://schemas.openxmlformats.org/officeDocument/2006/relationships/externalLink" Target="externalLinks/externalLink107.xml"/><Relationship Id="rId133" Type="http://schemas.openxmlformats.org/officeDocument/2006/relationships/externalLink" Target="externalLinks/externalLink128.xml"/><Relationship Id="rId154" Type="http://schemas.openxmlformats.org/officeDocument/2006/relationships/externalLink" Target="externalLinks/externalLink149.xml"/><Relationship Id="rId175" Type="http://schemas.openxmlformats.org/officeDocument/2006/relationships/externalLink" Target="externalLinks/externalLink170.xml"/><Relationship Id="rId16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74.xml"/><Relationship Id="rId102" Type="http://schemas.openxmlformats.org/officeDocument/2006/relationships/externalLink" Target="externalLinks/externalLink97.xml"/><Relationship Id="rId123" Type="http://schemas.openxmlformats.org/officeDocument/2006/relationships/externalLink" Target="externalLinks/externalLink118.xml"/><Relationship Id="rId144" Type="http://schemas.openxmlformats.org/officeDocument/2006/relationships/externalLink" Target="externalLinks/externalLink139.xml"/><Relationship Id="rId90" Type="http://schemas.openxmlformats.org/officeDocument/2006/relationships/externalLink" Target="externalLinks/externalLink85.xml"/><Relationship Id="rId165" Type="http://schemas.openxmlformats.org/officeDocument/2006/relationships/externalLink" Target="externalLinks/externalLink160.xml"/><Relationship Id="rId186" Type="http://schemas.openxmlformats.org/officeDocument/2006/relationships/styles" Target="styles.xml"/><Relationship Id="rId27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64.xml"/><Relationship Id="rId113" Type="http://schemas.openxmlformats.org/officeDocument/2006/relationships/externalLink" Target="externalLinks/externalLink108.xml"/><Relationship Id="rId134" Type="http://schemas.openxmlformats.org/officeDocument/2006/relationships/externalLink" Target="externalLinks/externalLink129.xml"/><Relationship Id="rId80" Type="http://schemas.openxmlformats.org/officeDocument/2006/relationships/externalLink" Target="externalLinks/externalLink75.xml"/><Relationship Id="rId155" Type="http://schemas.openxmlformats.org/officeDocument/2006/relationships/externalLink" Target="externalLinks/externalLink150.xml"/><Relationship Id="rId176" Type="http://schemas.openxmlformats.org/officeDocument/2006/relationships/externalLink" Target="externalLinks/externalLink171.xml"/><Relationship Id="rId17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54.xml"/><Relationship Id="rId103" Type="http://schemas.openxmlformats.org/officeDocument/2006/relationships/externalLink" Target="externalLinks/externalLink98.xml"/><Relationship Id="rId124" Type="http://schemas.openxmlformats.org/officeDocument/2006/relationships/externalLink" Target="externalLinks/externalLink119.xml"/><Relationship Id="rId70" Type="http://schemas.openxmlformats.org/officeDocument/2006/relationships/externalLink" Target="externalLinks/externalLink65.xml"/><Relationship Id="rId91" Type="http://schemas.openxmlformats.org/officeDocument/2006/relationships/externalLink" Target="externalLinks/externalLink86.xml"/><Relationship Id="rId145" Type="http://schemas.openxmlformats.org/officeDocument/2006/relationships/externalLink" Target="externalLinks/externalLink140.xml"/><Relationship Id="rId166" Type="http://schemas.openxmlformats.org/officeDocument/2006/relationships/externalLink" Target="externalLinks/externalLink161.xml"/><Relationship Id="rId18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44.xml"/><Relationship Id="rId114" Type="http://schemas.openxmlformats.org/officeDocument/2006/relationships/externalLink" Target="externalLinks/externalLink109.xml"/><Relationship Id="rId60" Type="http://schemas.openxmlformats.org/officeDocument/2006/relationships/externalLink" Target="externalLinks/externalLink55.xml"/><Relationship Id="rId81" Type="http://schemas.openxmlformats.org/officeDocument/2006/relationships/externalLink" Target="externalLinks/externalLink76.xml"/><Relationship Id="rId135" Type="http://schemas.openxmlformats.org/officeDocument/2006/relationships/externalLink" Target="externalLinks/externalLink130.xml"/><Relationship Id="rId156" Type="http://schemas.openxmlformats.org/officeDocument/2006/relationships/externalLink" Target="externalLinks/externalLink151.xml"/><Relationship Id="rId177" Type="http://schemas.openxmlformats.org/officeDocument/2006/relationships/externalLink" Target="externalLinks/externalLink17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720090</xdr:colOff>
      <xdr:row>1</xdr:row>
      <xdr:rowOff>137160</xdr:rowOff>
    </xdr:from>
    <xdr:ext cx="1875790" cy="556260"/>
    <xdr:pic>
      <xdr:nvPicPr>
        <xdr:cNvPr id="2" name="그림 1">
          <a:extLst>
            <a:ext uri="{FF2B5EF4-FFF2-40B4-BE49-F238E27FC236}">
              <a16:creationId xmlns:a16="http://schemas.microsoft.com/office/drawing/2014/main" id="{27FB4BCE-557C-491F-B3F8-638B3778E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8170" y="182880"/>
          <a:ext cx="1875790" cy="556260"/>
        </a:xfrm>
        <a:prstGeom prst="rect">
          <a:avLst/>
        </a:prstGeom>
      </xdr:spPr>
    </xdr:pic>
    <xdr:clientData/>
  </xdr:oneCellAnchor>
  <xdr:oneCellAnchor>
    <xdr:from>
      <xdr:col>3</xdr:col>
      <xdr:colOff>840740</xdr:colOff>
      <xdr:row>26</xdr:row>
      <xdr:rowOff>34174</xdr:rowOff>
    </xdr:from>
    <xdr:ext cx="1777365" cy="643784"/>
    <xdr:pic>
      <xdr:nvPicPr>
        <xdr:cNvPr id="3" name="그림 2">
          <a:extLst>
            <a:ext uri="{FF2B5EF4-FFF2-40B4-BE49-F238E27FC236}">
              <a16:creationId xmlns:a16="http://schemas.microsoft.com/office/drawing/2014/main" id="{3C834FC0-5F05-48D7-B1CD-28B0BD5CC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8820" y="5825374"/>
          <a:ext cx="1777365" cy="64378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99060</xdr:rowOff>
    </xdr:from>
    <xdr:to>
      <xdr:col>6</xdr:col>
      <xdr:colOff>228600</xdr:colOff>
      <xdr:row>4</xdr:row>
      <xdr:rowOff>30480</xdr:rowOff>
    </xdr:to>
    <xdr:pic>
      <xdr:nvPicPr>
        <xdr:cNvPr id="2" name="그림 38">
          <a:extLst>
            <a:ext uri="{FF2B5EF4-FFF2-40B4-BE49-F238E27FC236}">
              <a16:creationId xmlns:a16="http://schemas.microsoft.com/office/drawing/2014/main" id="{FEE61BC8-6E2B-4540-A595-0D94B2F55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4780"/>
          <a:ext cx="172212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36</xdr:row>
      <xdr:rowOff>0</xdr:rowOff>
    </xdr:from>
    <xdr:to>
      <xdr:col>5</xdr:col>
      <xdr:colOff>304800</xdr:colOff>
      <xdr:row>37</xdr:row>
      <xdr:rowOff>11430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56900F04-D9B8-4516-BE21-D397EA1F3113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224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2750AA71-0655-43B3-8DF4-D78AB2B49AFC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560E702-75ED-40F3-BB28-209EA3FEE438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2457450</xdr:colOff>
      <xdr:row>36</xdr:row>
      <xdr:rowOff>0</xdr:rowOff>
    </xdr:from>
    <xdr:ext cx="304800" cy="304800"/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66512D43-9B30-4B7E-BF2E-EA7C3EE3D374}"/>
            </a:ext>
          </a:extLst>
        </xdr:cNvPr>
        <xdr:cNvSpPr>
          <a:spLocks noChangeAspect="1" noChangeArrowheads="1"/>
        </xdr:cNvSpPr>
      </xdr:nvSpPr>
      <xdr:spPr bwMode="auto">
        <a:xfrm>
          <a:off x="530161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45</xdr:row>
      <xdr:rowOff>0</xdr:rowOff>
    </xdr:from>
    <xdr:ext cx="304800" cy="304800"/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FAE22762-D05E-42BF-873A-70793832218E}"/>
            </a:ext>
          </a:extLst>
        </xdr:cNvPr>
        <xdr:cNvSpPr>
          <a:spLocks noChangeAspect="1" noChangeArrowheads="1"/>
        </xdr:cNvSpPr>
      </xdr:nvSpPr>
      <xdr:spPr bwMode="auto">
        <a:xfrm>
          <a:off x="2847975" y="9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45</xdr:row>
      <xdr:rowOff>0</xdr:rowOff>
    </xdr:from>
    <xdr:ext cx="304800" cy="304800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D542DFA0-7E9B-4CB8-B872-BD8E0B322F00}"/>
            </a:ext>
          </a:extLst>
        </xdr:cNvPr>
        <xdr:cNvSpPr>
          <a:spLocks noChangeAspect="1" noChangeArrowheads="1"/>
        </xdr:cNvSpPr>
      </xdr:nvSpPr>
      <xdr:spPr bwMode="auto">
        <a:xfrm>
          <a:off x="2847975" y="9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45</xdr:row>
      <xdr:rowOff>0</xdr:rowOff>
    </xdr:from>
    <xdr:ext cx="304800" cy="304800"/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AF883620-8C76-4969-9678-C1B2BC874C60}"/>
            </a:ext>
          </a:extLst>
        </xdr:cNvPr>
        <xdr:cNvSpPr>
          <a:spLocks noChangeAspect="1" noChangeArrowheads="1"/>
        </xdr:cNvSpPr>
      </xdr:nvSpPr>
      <xdr:spPr bwMode="auto">
        <a:xfrm>
          <a:off x="2847975" y="9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61</xdr:row>
      <xdr:rowOff>0</xdr:rowOff>
    </xdr:from>
    <xdr:ext cx="304800" cy="304800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05CBD539-E67A-43F4-A068-75980A380257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28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61</xdr:row>
      <xdr:rowOff>0</xdr:rowOff>
    </xdr:from>
    <xdr:ext cx="304800" cy="304800"/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5CB9239D-ADDE-4076-AED0-0D3856D40F6C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28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61</xdr:row>
      <xdr:rowOff>0</xdr:rowOff>
    </xdr:from>
    <xdr:ext cx="304800" cy="304800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D4EC8F39-23EC-4A6A-AD4A-E8A79ADCE933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28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62</xdr:row>
      <xdr:rowOff>0</xdr:rowOff>
    </xdr:from>
    <xdr:ext cx="304800" cy="304800"/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64973708-3828-4F3C-8DA6-587EBECD1B8E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31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62</xdr:row>
      <xdr:rowOff>0</xdr:rowOff>
    </xdr:from>
    <xdr:ext cx="304800" cy="304800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CCEC844D-07D0-4480-9C46-F0BB265B79FA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31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62</xdr:row>
      <xdr:rowOff>0</xdr:rowOff>
    </xdr:from>
    <xdr:ext cx="304800" cy="304800"/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ECBF9E9E-4F98-4A0B-939D-86011DDC75F8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31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45</xdr:row>
      <xdr:rowOff>0</xdr:rowOff>
    </xdr:from>
    <xdr:ext cx="304800" cy="304800"/>
    <xdr:sp macro="" textlink="">
      <xdr:nvSpPr>
        <xdr:cNvPr id="15" name="AutoShape 3">
          <a:extLst>
            <a:ext uri="{FF2B5EF4-FFF2-40B4-BE49-F238E27FC236}">
              <a16:creationId xmlns:a16="http://schemas.microsoft.com/office/drawing/2014/main" id="{4FECC22B-3575-47E9-8D0E-78125D56E262}"/>
            </a:ext>
          </a:extLst>
        </xdr:cNvPr>
        <xdr:cNvSpPr>
          <a:spLocks noChangeAspect="1" noChangeArrowheads="1"/>
        </xdr:cNvSpPr>
      </xdr:nvSpPr>
      <xdr:spPr bwMode="auto">
        <a:xfrm>
          <a:off x="2847975" y="9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45</xdr:row>
      <xdr:rowOff>0</xdr:rowOff>
    </xdr:from>
    <xdr:ext cx="304800" cy="304800"/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7D9F2F36-7C2C-4562-B0DC-29D340DE2830}"/>
            </a:ext>
          </a:extLst>
        </xdr:cNvPr>
        <xdr:cNvSpPr>
          <a:spLocks noChangeAspect="1" noChangeArrowheads="1"/>
        </xdr:cNvSpPr>
      </xdr:nvSpPr>
      <xdr:spPr bwMode="auto">
        <a:xfrm>
          <a:off x="2847975" y="9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45</xdr:row>
      <xdr:rowOff>0</xdr:rowOff>
    </xdr:from>
    <xdr:ext cx="304800" cy="304800"/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9B9EE233-D9B3-4126-BA24-6952E19CEED9}"/>
            </a:ext>
          </a:extLst>
        </xdr:cNvPr>
        <xdr:cNvSpPr>
          <a:spLocks noChangeAspect="1" noChangeArrowheads="1"/>
        </xdr:cNvSpPr>
      </xdr:nvSpPr>
      <xdr:spPr bwMode="auto">
        <a:xfrm>
          <a:off x="2847975" y="9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2457450</xdr:colOff>
      <xdr:row>45</xdr:row>
      <xdr:rowOff>0</xdr:rowOff>
    </xdr:from>
    <xdr:ext cx="304800" cy="304800"/>
    <xdr:sp macro="" textlink="">
      <xdr:nvSpPr>
        <xdr:cNvPr id="18" name="AutoShape 3">
          <a:extLst>
            <a:ext uri="{FF2B5EF4-FFF2-40B4-BE49-F238E27FC236}">
              <a16:creationId xmlns:a16="http://schemas.microsoft.com/office/drawing/2014/main" id="{788E4998-154A-4377-A745-4737B03315C3}"/>
            </a:ext>
          </a:extLst>
        </xdr:cNvPr>
        <xdr:cNvSpPr>
          <a:spLocks noChangeAspect="1" noChangeArrowheads="1"/>
        </xdr:cNvSpPr>
      </xdr:nvSpPr>
      <xdr:spPr bwMode="auto">
        <a:xfrm>
          <a:off x="5301615" y="9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61</xdr:row>
      <xdr:rowOff>0</xdr:rowOff>
    </xdr:from>
    <xdr:ext cx="304800" cy="304800"/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FCCA5450-75B3-4B4D-A9EA-42280D28029E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28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61</xdr:row>
      <xdr:rowOff>0</xdr:rowOff>
    </xdr:from>
    <xdr:ext cx="304800" cy="304800"/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FFCC12E2-2FBC-4E06-BACA-9265C12F942D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28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61</xdr:row>
      <xdr:rowOff>0</xdr:rowOff>
    </xdr:from>
    <xdr:ext cx="304800" cy="304800"/>
    <xdr:sp macro="" textlink="">
      <xdr:nvSpPr>
        <xdr:cNvPr id="21" name="AutoShape 3">
          <a:extLst>
            <a:ext uri="{FF2B5EF4-FFF2-40B4-BE49-F238E27FC236}">
              <a16:creationId xmlns:a16="http://schemas.microsoft.com/office/drawing/2014/main" id="{F364613A-0E57-4080-9DA0-7376BEA034B7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28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2457450</xdr:colOff>
      <xdr:row>61</xdr:row>
      <xdr:rowOff>0</xdr:rowOff>
    </xdr:from>
    <xdr:ext cx="304800" cy="304800"/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412ADD50-039C-4901-B96E-77F54F84F453}"/>
            </a:ext>
          </a:extLst>
        </xdr:cNvPr>
        <xdr:cNvSpPr>
          <a:spLocks noChangeAspect="1" noChangeArrowheads="1"/>
        </xdr:cNvSpPr>
      </xdr:nvSpPr>
      <xdr:spPr bwMode="auto">
        <a:xfrm>
          <a:off x="5301615" y="128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62</xdr:row>
      <xdr:rowOff>0</xdr:rowOff>
    </xdr:from>
    <xdr:ext cx="304800" cy="304800"/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D49B5864-01B4-4FA5-9BFE-E7B19175AFEA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31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62</xdr:row>
      <xdr:rowOff>0</xdr:rowOff>
    </xdr:from>
    <xdr:ext cx="304800" cy="304800"/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98C23F51-1630-40E5-8D62-0A5BD43EB208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31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62</xdr:row>
      <xdr:rowOff>0</xdr:rowOff>
    </xdr:from>
    <xdr:ext cx="304800" cy="304800"/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E9B02687-B1B9-47C1-BA12-0778EB8B0E83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31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0</xdr:colOff>
      <xdr:row>35</xdr:row>
      <xdr:rowOff>0</xdr:rowOff>
    </xdr:from>
    <xdr:to>
      <xdr:col>5</xdr:col>
      <xdr:colOff>304800</xdr:colOff>
      <xdr:row>36</xdr:row>
      <xdr:rowOff>11430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D7987BE7-3445-4556-8B06-C2BBE8D4A1A1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362825"/>
          <a:ext cx="304800" cy="224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27" name="AutoShape 3">
          <a:extLst>
            <a:ext uri="{FF2B5EF4-FFF2-40B4-BE49-F238E27FC236}">
              <a16:creationId xmlns:a16="http://schemas.microsoft.com/office/drawing/2014/main" id="{BC75D1F6-F525-46DB-B7FB-E334929759A5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3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158F59EB-00E6-4BB5-9597-6F4B28355AA5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3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82A6046C-7784-449E-AADE-9A129DC2CCB1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30" name="AutoShape 3">
          <a:extLst>
            <a:ext uri="{FF2B5EF4-FFF2-40B4-BE49-F238E27FC236}">
              <a16:creationId xmlns:a16="http://schemas.microsoft.com/office/drawing/2014/main" id="{12F4F2B0-DC60-47CB-A899-3E70F1E6D9AD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8DA08F07-71AC-4761-A9A6-73F88A803A4A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1E7E4055-B766-49C5-ABC4-59A3805055BB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33" name="AutoShape 3">
          <a:extLst>
            <a:ext uri="{FF2B5EF4-FFF2-40B4-BE49-F238E27FC236}">
              <a16:creationId xmlns:a16="http://schemas.microsoft.com/office/drawing/2014/main" id="{3754E0B7-E61F-449C-A801-5A4A130AF9EA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060284B5-6898-4FBD-81D5-971F9B4A6AE2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304800" cy="304800"/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C5673FC6-3495-429B-AAB9-C8083CC3A0FA}"/>
            </a:ext>
          </a:extLst>
        </xdr:cNvPr>
        <xdr:cNvSpPr>
          <a:spLocks noChangeAspect="1" noChangeArrowheads="1"/>
        </xdr:cNvSpPr>
      </xdr:nvSpPr>
      <xdr:spPr bwMode="auto">
        <a:xfrm>
          <a:off x="2847975" y="903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304800" cy="304800"/>
    <xdr:sp macro="" textlink="">
      <xdr:nvSpPr>
        <xdr:cNvPr id="36" name="AutoShape 3">
          <a:extLst>
            <a:ext uri="{FF2B5EF4-FFF2-40B4-BE49-F238E27FC236}">
              <a16:creationId xmlns:a16="http://schemas.microsoft.com/office/drawing/2014/main" id="{081F1C5C-FC53-4725-AF4D-18C232D82E0B}"/>
            </a:ext>
          </a:extLst>
        </xdr:cNvPr>
        <xdr:cNvSpPr>
          <a:spLocks noChangeAspect="1" noChangeArrowheads="1"/>
        </xdr:cNvSpPr>
      </xdr:nvSpPr>
      <xdr:spPr bwMode="auto">
        <a:xfrm>
          <a:off x="2847975" y="903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304800" cy="304800"/>
    <xdr:sp macro="" textlink="">
      <xdr:nvSpPr>
        <xdr:cNvPr id="37" name="AutoShape 3">
          <a:extLst>
            <a:ext uri="{FF2B5EF4-FFF2-40B4-BE49-F238E27FC236}">
              <a16:creationId xmlns:a16="http://schemas.microsoft.com/office/drawing/2014/main" id="{9B1362E1-06CC-4BD9-8C2F-17342A278251}"/>
            </a:ext>
          </a:extLst>
        </xdr:cNvPr>
        <xdr:cNvSpPr>
          <a:spLocks noChangeAspect="1" noChangeArrowheads="1"/>
        </xdr:cNvSpPr>
      </xdr:nvSpPr>
      <xdr:spPr bwMode="auto">
        <a:xfrm>
          <a:off x="2847975" y="903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C46F4A38-CF4C-4F4D-8A26-8A238F6F40BB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39" name="AutoShape 3">
          <a:extLst>
            <a:ext uri="{FF2B5EF4-FFF2-40B4-BE49-F238E27FC236}">
              <a16:creationId xmlns:a16="http://schemas.microsoft.com/office/drawing/2014/main" id="{1042F3F0-881D-4050-83A4-2ED8F1087AAC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7B215E55-85E8-451F-966E-BB439A47EDA2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2457450</xdr:colOff>
      <xdr:row>36</xdr:row>
      <xdr:rowOff>0</xdr:rowOff>
    </xdr:from>
    <xdr:ext cx="304800" cy="304800"/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2360C276-2759-4265-9481-6AE0514F6A20}"/>
            </a:ext>
          </a:extLst>
        </xdr:cNvPr>
        <xdr:cNvSpPr>
          <a:spLocks noChangeAspect="1" noChangeArrowheads="1"/>
        </xdr:cNvSpPr>
      </xdr:nvSpPr>
      <xdr:spPr bwMode="auto">
        <a:xfrm>
          <a:off x="530161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42" name="AutoShape 3">
          <a:extLst>
            <a:ext uri="{FF2B5EF4-FFF2-40B4-BE49-F238E27FC236}">
              <a16:creationId xmlns:a16="http://schemas.microsoft.com/office/drawing/2014/main" id="{7D3921E3-4A1F-4446-8377-5F0CA492F797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73DBB20D-DC33-4245-9A23-E28530E80F7F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E8D786D5-E6FE-47ED-A0F7-350539B976D2}"/>
            </a:ext>
          </a:extLst>
        </xdr:cNvPr>
        <xdr:cNvSpPr>
          <a:spLocks noChangeAspect="1" noChangeArrowheads="1"/>
        </xdr:cNvSpPr>
      </xdr:nvSpPr>
      <xdr:spPr bwMode="auto">
        <a:xfrm>
          <a:off x="284797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2457450</xdr:colOff>
      <xdr:row>36</xdr:row>
      <xdr:rowOff>0</xdr:rowOff>
    </xdr:from>
    <xdr:ext cx="304800" cy="304800"/>
    <xdr:sp macro="" textlink="">
      <xdr:nvSpPr>
        <xdr:cNvPr id="45" name="AutoShape 3">
          <a:extLst>
            <a:ext uri="{FF2B5EF4-FFF2-40B4-BE49-F238E27FC236}">
              <a16:creationId xmlns:a16="http://schemas.microsoft.com/office/drawing/2014/main" id="{EBF9840F-C4FE-4BB1-8D28-1B7E1B4E59CD}"/>
            </a:ext>
          </a:extLst>
        </xdr:cNvPr>
        <xdr:cNvSpPr>
          <a:spLocks noChangeAspect="1" noChangeArrowheads="1"/>
        </xdr:cNvSpPr>
      </xdr:nvSpPr>
      <xdr:spPr bwMode="auto">
        <a:xfrm>
          <a:off x="5301615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53</xdr:row>
      <xdr:rowOff>0</xdr:rowOff>
    </xdr:from>
    <xdr:ext cx="304800" cy="304800"/>
    <xdr:sp macro="" textlink="">
      <xdr:nvSpPr>
        <xdr:cNvPr id="46" name="AutoShape 3">
          <a:extLst>
            <a:ext uri="{FF2B5EF4-FFF2-40B4-BE49-F238E27FC236}">
              <a16:creationId xmlns:a16="http://schemas.microsoft.com/office/drawing/2014/main" id="{9845CE34-EA90-4FE1-8A46-FEE22811E4DE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11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53</xdr:row>
      <xdr:rowOff>0</xdr:rowOff>
    </xdr:from>
    <xdr:ext cx="304800" cy="304800"/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7A5DD0CE-6C6F-41A1-841E-C4EA30C07796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11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53</xdr:row>
      <xdr:rowOff>0</xdr:rowOff>
    </xdr:from>
    <xdr:ext cx="304800" cy="304800"/>
    <xdr:sp macro="" textlink="">
      <xdr:nvSpPr>
        <xdr:cNvPr id="48" name="AutoShape 3">
          <a:extLst>
            <a:ext uri="{FF2B5EF4-FFF2-40B4-BE49-F238E27FC236}">
              <a16:creationId xmlns:a16="http://schemas.microsoft.com/office/drawing/2014/main" id="{4C4D1A9D-CF17-41AE-8A98-70074242FF4F}"/>
            </a:ext>
          </a:extLst>
        </xdr:cNvPr>
        <xdr:cNvSpPr>
          <a:spLocks noChangeAspect="1" noChangeArrowheads="1"/>
        </xdr:cNvSpPr>
      </xdr:nvSpPr>
      <xdr:spPr bwMode="auto">
        <a:xfrm>
          <a:off x="2847975" y="111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238125"/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2B221E56-24C7-4C9E-92B1-5CEEE0DB4662}"/>
            </a:ext>
          </a:extLst>
        </xdr:cNvPr>
        <xdr:cNvSpPr>
          <a:spLocks noChangeAspect="1" noChangeArrowheads="1"/>
        </xdr:cNvSpPr>
      </xdr:nvSpPr>
      <xdr:spPr bwMode="auto">
        <a:xfrm>
          <a:off x="2847975" y="5267325"/>
          <a:ext cx="3048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50" name="AutoShape 3">
          <a:extLst>
            <a:ext uri="{FF2B5EF4-FFF2-40B4-BE49-F238E27FC236}">
              <a16:creationId xmlns:a16="http://schemas.microsoft.com/office/drawing/2014/main" id="{18A5AA45-7EC8-4C99-B5E9-844377271B03}"/>
            </a:ext>
          </a:extLst>
        </xdr:cNvPr>
        <xdr:cNvSpPr>
          <a:spLocks noChangeAspect="1" noChangeArrowheads="1"/>
        </xdr:cNvSpPr>
      </xdr:nvSpPr>
      <xdr:spPr bwMode="auto">
        <a:xfrm>
          <a:off x="2847975" y="526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51" name="AutoShape 3">
          <a:extLst>
            <a:ext uri="{FF2B5EF4-FFF2-40B4-BE49-F238E27FC236}">
              <a16:creationId xmlns:a16="http://schemas.microsoft.com/office/drawing/2014/main" id="{8FDD3675-7BF7-4299-8F97-38DE8D85E6BB}"/>
            </a:ext>
          </a:extLst>
        </xdr:cNvPr>
        <xdr:cNvSpPr>
          <a:spLocks noChangeAspect="1" noChangeArrowheads="1"/>
        </xdr:cNvSpPr>
      </xdr:nvSpPr>
      <xdr:spPr bwMode="auto">
        <a:xfrm>
          <a:off x="2847975" y="526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238125"/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202022E1-240A-45EC-B7A0-21282A75BDD0}"/>
            </a:ext>
          </a:extLst>
        </xdr:cNvPr>
        <xdr:cNvSpPr>
          <a:spLocks noChangeAspect="1" noChangeArrowheads="1"/>
        </xdr:cNvSpPr>
      </xdr:nvSpPr>
      <xdr:spPr bwMode="auto">
        <a:xfrm>
          <a:off x="2847975" y="5267325"/>
          <a:ext cx="3048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53" name="AutoShape 3">
          <a:extLst>
            <a:ext uri="{FF2B5EF4-FFF2-40B4-BE49-F238E27FC236}">
              <a16:creationId xmlns:a16="http://schemas.microsoft.com/office/drawing/2014/main" id="{EDAA7257-D8D8-4636-9479-C91ED54746FE}"/>
            </a:ext>
          </a:extLst>
        </xdr:cNvPr>
        <xdr:cNvSpPr>
          <a:spLocks noChangeAspect="1" noChangeArrowheads="1"/>
        </xdr:cNvSpPr>
      </xdr:nvSpPr>
      <xdr:spPr bwMode="auto">
        <a:xfrm>
          <a:off x="2847975" y="526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54" name="AutoShape 3">
          <a:extLst>
            <a:ext uri="{FF2B5EF4-FFF2-40B4-BE49-F238E27FC236}">
              <a16:creationId xmlns:a16="http://schemas.microsoft.com/office/drawing/2014/main" id="{27291AE5-6C50-4D18-AACC-671C56C1CDFF}"/>
            </a:ext>
          </a:extLst>
        </xdr:cNvPr>
        <xdr:cNvSpPr>
          <a:spLocks noChangeAspect="1" noChangeArrowheads="1"/>
        </xdr:cNvSpPr>
      </xdr:nvSpPr>
      <xdr:spPr bwMode="auto">
        <a:xfrm>
          <a:off x="2847975" y="526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44277;&#50976;/&#48376;&#48512;&#51064;&#49324;/&#51068;&#48152;&#44288;&#47532;/&#44288;&#47532;&#44284;&#51109;&#50629;&#47924;/&#49324;&#50629;&#44228;&#54925;/yskim/&#50629;&#47924;/&#50629;&#47924;&#48372;&#44256;/CKD/&#45824;&#47564;/MASTER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473615/ygk/&#48120;&#44397;/CKD/&#45824;&#47564;/MASTER1.XLS" TargetMode="External"/><Relationship Id="rId1" Type="http://schemas.openxmlformats.org/officeDocument/2006/relationships/externalLinkPath" Target="/9473615/ygk/&#48120;&#44397;/CKD/&#45824;&#47564;/MAST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LEE/&#49324;&#50629;&#44228;&#54925;/&#54788;&#44552;&#50696;&#49328;/&#51217;&#45824;4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&#45824;&#50808;&#44277;&#47928;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7768141/c/my-ducu/Book1.xls" TargetMode="External"/><Relationship Id="rId1" Type="http://schemas.openxmlformats.org/officeDocument/2006/relationships/externalLinkPath" Target="/7768141/c/my-ducu/Book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Administrator/Local%20Settings/Temporary%20Internet%20Files/Content.IE5/2N6Y372B/&#54644;&#50808;&#50672;&#49688;/2002%20&#54644;&#50808;&#50672;&#49688;/DOCUME~1/ADMINI~1/LOCALS~1/Temp/&#51204;&#49884;&#51109;&#44288;&#46988;&#53076;&#49828;&#49569;&#48512;&#50857;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2300721/&#44032;TFT/WINDOWS/TEMP/&#51116;&#54200;&#44396;&#46020;&#49688;&#47549;%20&#52628;&#44032;(991015).xls" TargetMode="External"/><Relationship Id="rId1" Type="http://schemas.openxmlformats.org/officeDocument/2006/relationships/externalLinkPath" Target="/2300721/&#44032;TFT/WINDOWS/TEMP/&#51116;&#54200;&#44396;&#46020;&#49688;&#47549;%20&#52628;&#44032;(991015)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ida305/c/&#44608;&#45209;&#54872;/&#44592;&#50500;&#51088;&#46041;&#52264;/&#51064;&#49688;&#45800;(&#44608;&#45209;&#54872;GJ)/dmpro/DOWN/&#48149;&#46041;&#54616;/&#49892;&#53468;/My%20Documents/&#50808;&#51452;&#54788;&#54889;.WQ1" TargetMode="External"/><Relationship Id="rId1" Type="http://schemas.openxmlformats.org/officeDocument/2006/relationships/externalLinkPath" Target="/Sida305/c/&#44608;&#45209;&#54872;/&#44592;&#50500;&#51088;&#46041;&#52264;/&#51064;&#49688;&#45800;(&#44608;&#45209;&#54872;GJ)/dmpro/DOWN/&#48149;&#46041;&#54616;/&#49892;&#53468;/My%20Documents/&#50808;&#51452;&#54788;&#54889;.WQ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HAXLS/H4A11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TDUJ10/&#47928;&#49436;&#44277;&#50976;/BAE/JOJIC/&#50629;&#47924;.XLS" TargetMode="External"/><Relationship Id="rId1" Type="http://schemas.openxmlformats.org/officeDocument/2006/relationships/externalLinkPath" Target="/TDUJ10/&#47928;&#49436;&#44277;&#50976;/BAE/JOJIC/&#50629;&#4792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LJH/97&#44221;&#50689;&#49892;&#51201;/&#47588;&#52636;/LJH/&#44221;&#50689;&#49892;&#51201;/&#47588;&#52636;/CSTANA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4333679/&#44053;&#49457;&#54840;/&#49345;&#50857;PROJECT/&#48120;&#44397;BTC/CH/EF/CMK/XLSRULE/&#44060;&#51221;&#44508;&#51221;/&#50756;&#49345;.XLS" TargetMode="External"/><Relationship Id="rId1" Type="http://schemas.openxmlformats.org/officeDocument/2006/relationships/externalLinkPath" Target="/4333679/&#44053;&#49457;&#54840;/&#49345;&#50857;PROJECT/&#48120;&#44397;BTC/CH/EF/CMK/XLSRULE/&#44060;&#51221;&#44508;&#51221;/&#50756;&#4934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KV2C074/My%20Documents/&#20013;&#23614;&#20316;&#25104;/&#27770;&#31639;&#20966;&#29702;/&#21697;&#30446;&#21029;&#20107;&#26989;&#35336;&#3001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65331;&#65331;&#21029;1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CH/MA&#51452;&#5466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51060;&#55148;&#51452;(2009)/NH/0916&#45453;&#54801;&#45824;&#54617;&#44221;&#50689;&#45824;&#54617;&#50896;(&#46041;&#48512;)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2624097/&#44036;&#51217;&#47581;&#44208;&#54408;&#51204;/HAREP/MONTH/H4A11.XLS" TargetMode="External"/><Relationship Id="rId1" Type="http://schemas.openxmlformats.org/officeDocument/2006/relationships/externalLinkPath" Target="/2624097/&#44036;&#51217;&#47581;&#44208;&#54408;&#51204;/HAREP/MONTH/H4A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windows/TEMP/&#49888;&#50689;&#53468;/&#51088;&#47308;&#49688;&#51665;/&#54788;&#54889;&#51088;&#47308;/2005%20&#51473;&#51109;&#44592;%20&#44228;&#54925;/Book2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2624097/&#44036;&#51217;&#47581;&#44208;&#54408;&#51204;/HAREP/H6REPFM2.XLS" TargetMode="External"/><Relationship Id="rId1" Type="http://schemas.openxmlformats.org/officeDocument/2006/relationships/externalLinkPath" Target="/2624097/&#44036;&#51217;&#47581;&#44208;&#54408;&#51204;/HAREP/H6REPFM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44277;&#50976;/&#48376;&#48512;&#51064;&#49324;/&#50629;&#47924;&#51064;&#44228;&#51088;&#47308;/&#44288;&#47532;&#50629;&#47924;/&#51064;&#49324;/&#51068;&#48152;&#44288;&#47532;/&#44288;&#47532;&#44284;&#51109;&#50629;&#47924;/&#51064;&#49324;/&#51064;&#49324;/&#50629;&#47924;&#44288;&#47144;&#51088;&#47308;/&#54788;&#54889;PROJ/PROJ&#54788;&#54889;/NOTES/DATA/&#44060;&#48156;961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54644;&#50808;&#50672;&#49688;/2002%20&#54644;&#50808;&#50672;&#49688;/windows/TEMP/&#51076;&#49884;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49345;&#50857;/&#51109;&#48708;/ODSS/HE/GRD&#48169;&#47928;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5012712/tour/My%20Documents/&#50629;&#47924;/TOUR/hmi/AHN/5&#45824;&#44536;&#47353;/&#49440;&#44221;95.XLS" TargetMode="External"/><Relationship Id="rId1" Type="http://schemas.openxmlformats.org/officeDocument/2006/relationships/externalLinkPath" Target="/5012712/tour/My%20Documents/&#50629;&#47924;/TOUR/hmi/AHN/5&#45824;&#44536;&#47353;/&#49440;&#44221;95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76;&#49849;&#51116;/&#44277;&#50976;/&#51312;&#49324;DATA/&#51221;&#48708;&#47564;&#51313;&#46020;&#51312;&#49324;DATA(9908).xls" TargetMode="External"/><Relationship Id="rId1" Type="http://schemas.openxmlformats.org/officeDocument/2006/relationships/externalLinkPath" Target="/&#51076;&#49849;&#51116;/&#44277;&#50976;/&#51312;&#49324;DATA/&#51221;&#48708;&#47564;&#51313;&#46020;&#51312;&#49324;DATA(9908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44277;&#50976;/&#48376;&#48512;&#51064;&#49324;/&#51068;&#48152;&#44288;&#47532;/&#44288;&#47532;&#44284;&#51109;&#50629;&#47924;/&#49324;&#50629;&#44228;&#54925;/yskim/&#50629;&#47924;/&#50629;&#47924;&#48372;&#44256;/&#52392;&#4851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Startup" Target="DOCSXL50.XLA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192.168.0.100/&#50629;&#47924;&#44277;&#50976;/Documents%20and%20Settings/aha332/Local%20Settings/Temporary%20Internet%20Files/OLK3C/Documents%20and%20Settings/iisdjm8/Local%20Settings/Temporary%20Internet%20Files/OLK8/ACQBR1997.xls" TargetMode="External"/><Relationship Id="rId1" Type="http://schemas.openxmlformats.org/officeDocument/2006/relationships/externalLinkPath" Target="/192.168.0.100/&#50629;&#47924;&#44277;&#50976;/Documents%20and%20Settings/aha332/Local%20Settings/Temporary%20Internet%20Files/OLK3C/Documents%20and%20Settings/iisdjm8/Local%20Settings/Temporary%20Internet%20Files/OLK8/ACQBR1997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3278541-1/my%20documents/WINDOWS/TEMP/&#44033;&#49436;&#49885;.XLS" TargetMode="External"/><Relationship Id="rId1" Type="http://schemas.openxmlformats.org/officeDocument/2006/relationships/externalLinkPath" Target="/3278541-1/my%20documents/WINDOWS/TEMP/&#44033;&#49436;&#49885;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9888;&#49892;&#51109;&#45784;/2010-2/&#50500;&#47704;&#53804;&#50612;.xlsm" TargetMode="External"/><Relationship Id="rId1" Type="http://schemas.openxmlformats.org/officeDocument/2006/relationships/externalLinkPath" Target="/&#49888;&#49892;&#51109;&#45784;/2010-2/&#50500;&#47704;&#53804;&#50612;.xlsm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4428;&#50689;&#48124;/&#48176;&#51456;&#50864;/2&#54016;&#50900;&#45380;/1TEAM/&#49436;&#49885;&#47448;&#54632;/&#45824;&#50808;&#44277;&#47928;.XLS" TargetMode="External"/><Relationship Id="rId1" Type="http://schemas.openxmlformats.org/officeDocument/2006/relationships/externalLinkPath" Target="/&#44428;&#50689;&#48124;/&#48176;&#51456;&#50864;/2&#54016;&#50900;&#45380;/1TEAM/&#49436;&#49885;&#47448;&#54632;/&#45824;&#50808;&#44277;&#47928;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661097/&#54616;&#49464;&#44508;/My%20Documents/LCT%20SCHEDULE/HAOSLC/WINDOWS/TEMP/AHM/&#47784;&#45944;&#49849;&#51064;/LC&#54200;&#49457;&#54364;/F&#47784;&#45944;.XLS" TargetMode="External"/><Relationship Id="rId1" Type="http://schemas.openxmlformats.org/officeDocument/2006/relationships/externalLinkPath" Target="/9661097/&#54616;&#49464;&#44508;/My%20Documents/LCT%20SCHEDULE/HAOSLC/WINDOWS/TEMP/AHM/&#47784;&#45944;&#49849;&#51064;/LC&#54200;&#49457;&#54364;/F&#47784;&#45944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My%20Documents/&#54889;&#50976;&#47196;dr/&#50900;&#48372;&#54408;&#51032;200001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60;&#48337;&#46024;/C/windows/TEMP/00&#45380;&#49688;&#47549;&#52280;&#44256;.xls" TargetMode="External"/><Relationship Id="rId1" Type="http://schemas.openxmlformats.org/officeDocument/2006/relationships/externalLinkPath" Target="/&#51060;&#48337;&#46024;/C/windows/TEMP/00&#45380;&#49688;&#47549;&#52280;&#4425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TAKAO/&#47504;&#45906;&#48441;&#47979;&#46646;&#46122;A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2572;&#49464;&#54872;/&#47560;&#50640;&#49828;&#53944;&#47196;%20&#51089;&#50629;&#54260;&#45908;/&#54869;&#51221;&#49436;/08%20-%20AUG%20-%2004/01%20-%20MT060601%20&#48149;&#49345;&#51652;%20&#54924;&#51109;%20VIP.xls" TargetMode="External"/><Relationship Id="rId1" Type="http://schemas.openxmlformats.org/officeDocument/2006/relationships/externalLinkPath" Target="/&#52572;&#49464;&#54872;/&#47560;&#50640;&#49828;&#53944;&#47196;%20&#51089;&#50629;&#54260;&#45908;/&#54869;&#51221;&#49436;/08%20-%20AUG%20-%2004/01%20-%20MT060601%20&#48149;&#49345;&#51652;%20&#54924;&#51109;%20VIP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0864;&#47928;&#47564;/MY%20DOCUMENTS/&#44305;LC/&#49688;&#51061;&#49457;3/&#48372;&#44256;/&#49552;&#51061;&#44160;&#53664;/&#54924;&#49688;1.XLS" TargetMode="External"/><Relationship Id="rId1" Type="http://schemas.openxmlformats.org/officeDocument/2006/relationships/externalLinkPath" Target="/&#50864;&#47928;&#47564;/MY%20DOCUMENTS/&#44305;LC/&#49688;&#51061;&#49457;3/&#48372;&#44256;/&#49552;&#51061;&#44160;&#53664;/&#54924;&#49688;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hana/Desktop/CES/&#50629;&#52404;&#50857;/171114_&#50629;&#52404;&#44277;&#50976;&#50857;/CES-Delegate_Personnel_Sample_Template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2572;&#49464;&#54872;/&#47560;&#50640;&#49828;&#53944;&#47196;%20&#51089;&#50629;&#54260;&#45908;/02%20-%20&#54869;&#51221;&#49436;/10%20-%20OCT%20-%2004/01%20-%20MT060601%20&#48149;&#49345;&#51652;%20&#54924;&#51109;%20VIP.xls" TargetMode="External"/><Relationship Id="rId1" Type="http://schemas.openxmlformats.org/officeDocument/2006/relationships/externalLinkPath" Target="/&#52572;&#49464;&#54872;/&#47560;&#50640;&#49828;&#53944;&#47196;%20&#51089;&#50629;&#54260;&#45908;/02%20-%20&#54869;&#51221;&#49436;/10%20-%20OCT%20-%2004/01%20-%20MT060601%20&#48149;&#49345;&#51652;%20&#54924;&#51109;%20VIP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mw1/bmw/Documents%20and%20Settings/aha332/Local%20Settings/Temporary%20Internet%20Files/OLK3C/Documents%20and%20Settings/iisdjm8/Local%20Settings/Temporary%20Internet%20Files/OLK8/ACQBR1997.xls" TargetMode="External"/><Relationship Id="rId1" Type="http://schemas.openxmlformats.org/officeDocument/2006/relationships/externalLinkPath" Target="/Bmw1/bmw/Documents%20and%20Settings/aha332/Local%20Settings/Temporary%20Internet%20Files/OLK3C/Documents%20and%20Settings/iisdjm8/Local%20Settings/Temporary%20Internet%20Files/OLK8/ACQBR1997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aha332/Local%20Settings/Temporary%20Internet%20Files/OLK3C/Documents%20and%20Settings/iisdjm8/Local%20Settings/Temporary%20Internet%20Files/OLK8/ACQBR1997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473615/ygk/&#48120;&#44397;/&#54408;&#51032;&#50577;&#49885;.XLS" TargetMode="External"/><Relationship Id="rId1" Type="http://schemas.openxmlformats.org/officeDocument/2006/relationships/externalLinkPath" Target="/9473615/ygk/&#48120;&#44397;/&#54408;&#51032;&#50577;&#49885;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2572;&#49464;&#54872;/&#47560;&#50640;&#49828;&#53944;&#47196;%20&#51089;&#50629;&#54260;&#45908;/&#54869;&#51221;&#49436;/07%20-%20JUL%20-%2004/01%20-%20MT060601%20&#48149;&#49345;&#51652;%20&#54924;&#51109;%20VIP.xls" TargetMode="External"/><Relationship Id="rId1" Type="http://schemas.openxmlformats.org/officeDocument/2006/relationships/externalLinkPath" Target="/&#52572;&#49464;&#54872;/&#47560;&#50640;&#49828;&#53944;&#47196;%20&#51089;&#50629;&#54260;&#45908;/&#54869;&#51221;&#49436;/07%20-%20JUL%20-%2004/01%20-%20MT060601%20&#48149;&#49345;&#51652;%20&#54924;&#51109;%20VIP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51221;&#51068;%20Office/&#54644;&#50808;&#51452;&#51116;&#50896;/NET&#54644;&#50808;&#49688;&#45817;(&#51333;&#49345;)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FI2/FI2F/AAA97/&#49345;&#48152;&#44592;/&#44277;&#52292;/&#48176;&#52824;&#44277;&#47928;.XLS" TargetMode="External"/><Relationship Id="rId1" Type="http://schemas.openxmlformats.org/officeDocument/2006/relationships/externalLinkPath" Target="/FI2/FI2F/AAA97/&#49345;&#48152;&#44592;/&#44277;&#52292;/&#48176;&#52824;&#44277;&#4792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pankorea.co.kr/My%20Documents/&#45824;&#47532;&#51216;/02&#45380;/&#51221;&#52293;%20&#48143;%20&#51204;&#47029;/02&#45380;%20&#51064;&#49468;&#54000;&#48652;/WINDOWS/TEMP/&#44048;&#44032;9607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5012712/tour/My%20Documents/&#50629;&#47924;/TOUR/hmi/LJY/JAGUM/98&#45380;&#51088;/97&#51333;&#44592;.XLS" TargetMode="External"/><Relationship Id="rId1" Type="http://schemas.openxmlformats.org/officeDocument/2006/relationships/externalLinkPath" Target="/5012712/tour/My%20Documents/&#50629;&#47924;/TOUR/hmi/LJY/JAGUM/98&#45380;&#51088;/97&#51333;&#44592;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Imessj/shareddocs/Documents%20and%20Settings/All%20Users/Documents/IMES%20EUROPE/OFFER%20&amp;%20ITY/2006/2006-MAY/&#45824;&#51204;%20&#54620;&#48731;%20-%20(KE)%20&#51060;&#51665;&#53944;%20&#51060;&#49828;&#46972;&#50648;%20&#49457;&#51648;&#49692;&#47168;%2010&#51068;.xls" TargetMode="External"/><Relationship Id="rId1" Type="http://schemas.openxmlformats.org/officeDocument/2006/relationships/externalLinkPath" Target="/Imessj/shareddocs/Documents%20and%20Settings/All%20Users/Documents/IMES%20EUROPE/OFFER%20&amp;%20ITY/2006/2006-MAY/&#45824;&#51204;%20&#54620;&#48731;%20-%20(KE)%20&#51060;&#51665;&#53944;%20&#51060;&#49828;&#46972;&#50648;%20&#49457;&#51648;&#49692;&#47168;%2010&#5106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MYDOCU~1/&#51064;&#50896;/LKS/ODSS/WORK/96&#45380;&#49324;&#50629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44228;&#52769;/ACHKSHT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MYDOCU~1/&#51064;&#50896;/LKS/&#51088;&#51116;&#51312;&#51649;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967031/youngkuk/HMC%20&#44060;&#48156;&#44592;&#54925;&#54016;/&#48376;&#48512;&#51064;&#49324;/OD/TEAM.XLS" TargetMode="External"/><Relationship Id="rId1" Type="http://schemas.openxmlformats.org/officeDocument/2006/relationships/externalLinkPath" Target="/9967031/youngkuk/HMC%20&#44060;&#48156;&#44592;&#54925;&#54016;/&#48376;&#48512;&#51064;&#49324;/OD/TEAM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7416758/&#45236;%20&#49436;&#47448;%20&#44032;&#48169;/WINDOWS/TEMP/kyh/SM/ALSHC/&#51452;&#51312;.XLS" TargetMode="External"/><Relationship Id="rId1" Type="http://schemas.openxmlformats.org/officeDocument/2006/relationships/externalLinkPath" Target="/7416758/&#45236;%20&#49436;&#47448;%20&#44032;&#48169;/WINDOWS/TEMP/kyh/SM/ALSHC/&#51452;&#51312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Trim%20Shop/snha/WINDOWS/TEMP/&#54540;&#47116;/9711/&#51312;&#51649;&#46020;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GDA209/CCC&#44277;&#50976;/ccc/HP-1/&#48372;&#44256;&#51088;&#47308;/&#52572;&#44540;&#48372;&#44256;/ccc/HP-1/&#54924;&#51032;&#51088;&#47308;/My%20Documents/HP-1/DNKIM/HP-1/MLIST/PJH/HP-1/MAST/Hp1ml.xls" TargetMode="External"/><Relationship Id="rId1" Type="http://schemas.openxmlformats.org/officeDocument/2006/relationships/externalLinkPath" Target="/UGDA209/CCC&#44277;&#50976;/ccc/HP-1/&#48372;&#44256;&#51088;&#47308;/&#52572;&#44540;&#48372;&#44256;/ccc/HP-1/&#54924;&#51032;&#51088;&#47308;/My%20Documents/HP-1/DNKIM/HP-1/MLIST/PJH/HP-1/MAST/Hp1ml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2572;&#49464;&#54872;/&#47560;&#50640;&#49828;&#53944;&#47196;%20&#51089;&#50629;&#54260;&#45908;/&#54869;&#51221;&#49436;/10%20-%20OCT%20-%2004/01%20-%20MT060601%20&#48149;&#49345;&#51652;%20&#54924;&#51109;%20VIP.xls" TargetMode="External"/><Relationship Id="rId1" Type="http://schemas.openxmlformats.org/officeDocument/2006/relationships/externalLinkPath" Target="/&#52572;&#49464;&#54872;/&#47560;&#50640;&#49828;&#53944;&#47196;%20&#51089;&#50629;&#54260;&#45908;/&#54869;&#51221;&#49436;/10%20-%20OCT%20-%2004/01%20-%20MT060601%20&#48149;&#49345;&#51652;%20&#54924;&#51109;%20VIP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9440;&#50864;&#51064;&#53469;/&#49341;&#51077;/My%20Documents/&#51076;&#49884;3(&#54616;Dr)/My%20Documents/JES/&#49552;&#51061;956.XLS" TargetMode="External"/><Relationship Id="rId1" Type="http://schemas.openxmlformats.org/officeDocument/2006/relationships/externalLinkPath" Target="/&#49440;&#50864;&#51064;&#53469;/&#49341;&#51077;/My%20Documents/&#51076;&#49884;3(&#54616;Dr)/My%20Documents/JES/&#49552;&#51061;956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amho_server/samho/&#44060;&#51064;/GC05/&#44040;&#47588;&#44592;/&#49324;&#48376;%20-%202005%20&#52968;&#48292;&#49496;%20&#49888;&#52397;&#45824;&#51109;.xls" TargetMode="External"/><Relationship Id="rId1" Type="http://schemas.openxmlformats.org/officeDocument/2006/relationships/externalLinkPath" Target="/Samho_server/samho/&#44060;&#51064;/GC05/&#44040;&#47588;&#44592;/&#49324;&#48376;%20-%202005%20&#52968;&#48292;&#49496;%20&#49888;&#52397;&#45824;&#51109;.x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076343/c/kjy/0&#47932;&#47049;/&#49324;&#50629;/00&#45380;/&#47932;&#47049;&#50696;&#49328;&#50836;&#52397;&#50577;&#49885;9906.xls" TargetMode="External"/><Relationship Id="rId1" Type="http://schemas.openxmlformats.org/officeDocument/2006/relationships/externalLinkPath" Target="/9076343/c/kjy/0&#47932;&#47049;/&#49324;&#50629;/00&#45380;/&#47932;&#47049;&#50696;&#49328;&#50836;&#52397;&#50577;&#49885;9906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mw1/bmw/Documents%20and%20Settings/Administrator/Local%20Settings/Temporary%20Internet%20Files/OLK26/&#44536;&#47088;&#54252;&#49828;%20&#54665;&#49324;_&#48372;&#44256;&#49436;.xls" TargetMode="External"/><Relationship Id="rId1" Type="http://schemas.openxmlformats.org/officeDocument/2006/relationships/externalLinkPath" Target="/Bmw1/bmw/Documents%20and%20Settings/Administrator/Local%20Settings/Temporary%20Internet%20Files/OLK26/&#44536;&#47088;&#54252;&#49828;%20&#54665;&#49324;_&#48372;&#44256;&#4943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Administrator/Local%20Settings/Temporary%20Internet%20Files/OLK26/&#44536;&#47088;&#54252;&#49828;%20&#54665;&#49324;_&#48372;&#44256;&#4943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Administrator/Local%20Settings/Temporary%20Internet%20Files/OLK26/&#44536;&#47088;&#54252;&#49828;%20&#54665;&#49324;_&#48372;&#44256;&#4943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&#44288;&#47532;96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oce202/xls97/j-1%20&#50896;&#44032;&#51208;&#44048;&#44228;&#54925;/My%20Documents/project/qa4/EXCEL/EXCELDAT/BHIL&#51089;&#50629;/&#51452;&#49548;&#47197;1.XLS" TargetMode="External"/><Relationship Id="rId1" Type="http://schemas.openxmlformats.org/officeDocument/2006/relationships/externalLinkPath" Target="/Soce202/xls97/j-1%20&#50896;&#44032;&#51208;&#44048;&#44228;&#54925;/My%20Documents/project/qa4/EXCEL/EXCELDAT/BHIL&#51089;&#50629;/&#51452;&#49548;&#47197;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Ini%20project/Schedule/&#54364;&#51648;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Computer/c/&#44608;&#53468;&#54980;/&#44592;&#50500;&#51088;&#46041;&#52264;/&#49548;&#49345;&#54032;&#52489;.xls" TargetMode="External"/><Relationship Id="rId1" Type="http://schemas.openxmlformats.org/officeDocument/2006/relationships/externalLinkPath" Target="/Computer/c/&#44608;&#53468;&#54980;/&#44592;&#50500;&#51088;&#46041;&#52264;/&#49548;&#49345;&#54032;&#52489;.xls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109;&#54788;&#49688;/11&#50900;/data/&#48177;&#50629;&#50857;/&#44608;&#49457;&#51061;/2002&#45380;/LG&#51064;&#53580;&#47532;&#50612;&#53364;&#47101;/&#44032;&#47609;&#51216;&#49892;&#51201;/2002&#45380;/9&#50900;/9&#50900;&#47560;&#51068;&#47532;&#51648;.xls" TargetMode="External"/><Relationship Id="rId1" Type="http://schemas.openxmlformats.org/officeDocument/2006/relationships/externalLinkPath" Target="/&#51109;&#54788;&#49688;/11&#50900;/data/&#48177;&#50629;&#50857;/&#44608;&#49457;&#51061;/2002&#45380;/LG&#51064;&#53580;&#47532;&#50612;&#53364;&#47101;/&#44032;&#47609;&#51216;&#49892;&#51201;/2002&#45380;/9&#50900;/9&#50900;&#47560;&#51068;&#47532;&#51648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lgw/&#51312;&#51649;/WINDOWS/TEMP/&#51316;4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gda209/ds-2/DS-2/ccc/HP-1/&#54924;&#51032;&#51088;&#47308;/&#51204;&#51109;LIST.XLS" TargetMode="External"/><Relationship Id="rId1" Type="http://schemas.openxmlformats.org/officeDocument/2006/relationships/externalLinkPath" Target="/Ugda209/ds-2/DS-2/ccc/HP-1/&#54924;&#51032;&#51088;&#47308;/&#51204;&#51109;LIST.XLS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gda209/ds-2/DS-2/ccc/HP-1/&#54924;&#51032;&#51088;&#47308;/LIMSS/&#49688;&#52636;&#48512;&#54408;.xls" TargetMode="External"/><Relationship Id="rId1" Type="http://schemas.openxmlformats.org/officeDocument/2006/relationships/externalLinkPath" Target="/Ugda209/ds-2/DS-2/ccc/HP-1/&#54924;&#51032;&#51088;&#47308;/LIMSS/&#49688;&#52636;&#48512;&#54408;.xls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gdg413/1kth/hdpic/DOCUMENT/HDPIC/DOCUMENT/PJH/HP-1/&#50896;&#44032;/&#53804;&#51088;&#48516;&#48176;.XLS" TargetMode="External"/><Relationship Id="rId1" Type="http://schemas.openxmlformats.org/officeDocument/2006/relationships/externalLinkPath" Target="/Ugdg413/1kth/hdpic/DOCUMENT/HDPIC/DOCUMENT/PJH/HP-1/&#50896;&#44032;/&#53804;&#51088;&#48516;&#48176;.XLS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4608;&#51060;&#54788;/&#51060;&#49457;&#55148;/WINDOWS/TEMP/&#48288;&#52636;&#48372;1/CKD/&#45824;&#47564;/MASTER1.XLS" TargetMode="External"/><Relationship Id="rId1" Type="http://schemas.openxmlformats.org/officeDocument/2006/relationships/externalLinkPath" Target="/&#44608;&#51060;&#54788;/&#51060;&#49457;&#55148;/WINDOWS/TEMP/&#48288;&#52636;&#48372;1/CKD/&#45824;&#47564;/MASTER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7538733/&#50980;&#44221;&#50689;&#51204;&#47029;/KJS/&#51473;&#44592;&#51204;&#47029;/&#47785;&#54364;&#51333;&#54633;/&#51064;&#50896;&#44228;&#54925;.xls" TargetMode="External"/><Relationship Id="rId1" Type="http://schemas.openxmlformats.org/officeDocument/2006/relationships/externalLinkPath" Target="/7538733/&#50980;&#44221;&#50689;&#51204;&#47029;/KJS/&#51473;&#44592;&#51204;&#47029;/&#47785;&#54364;&#51333;&#54633;/&#51064;&#50896;&#44228;&#54925;.xls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gdg413/1kth/&#45236;/HDPIC/DOCUMENT/PJH/HP-1/&#50896;&#44032;/&#53804;&#51088;&#48516;&#48176;.XLS" TargetMode="External"/><Relationship Id="rId1" Type="http://schemas.openxmlformats.org/officeDocument/2006/relationships/externalLinkPath" Target="/Ugdg413/1kth/&#45236;/HDPIC/DOCUMENT/PJH/HP-1/&#50896;&#44032;/&#53804;&#51088;&#48516;&#48176;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285666/c/USER/LSG/EXCEL/4&#45380;&#48372;&#44256;.XLS" TargetMode="External"/><Relationship Id="rId1" Type="http://schemas.openxmlformats.org/officeDocument/2006/relationships/externalLinkPath" Target="/9285666/c/USER/LSG/EXCEL/4&#45380;&#48372;&#44256;.XLS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4608;&#46020;&#50980;/C/HEE-DONG/&#49688;&#48520;&#49552;&#51061;/9614/&#49688;&#48520;&#45236;&#49688;.14" TargetMode="External"/><Relationship Id="rId1" Type="http://schemas.openxmlformats.org/officeDocument/2006/relationships/externalLinkPath" Target="/&#44608;&#46020;&#50980;/C/HEE-DONG/&#49688;&#48520;&#49552;&#51061;/9614/&#49688;&#48520;&#45236;&#49688;.14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oce504/net-open/hdpic/document/HDPIC/document/HDPIC/DOCUMENT/TEMP/&#54016;&#48324;&#53804;&#51088;.xls" TargetMode="External"/><Relationship Id="rId1" Type="http://schemas.openxmlformats.org/officeDocument/2006/relationships/externalLinkPath" Target="/Soce504/net-open/hdpic/document/HDPIC/document/HDPIC/DOCUMENT/TEMP/&#54016;&#48324;&#53804;&#51088;.xls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5012712/tour/My%20Documents/&#50629;&#47924;/TOUR/hmi/&#44221;&#51137;&#49324;/&#44397;&#45236;&#44221;&#51137;/DW96.XLS" TargetMode="External"/><Relationship Id="rId1" Type="http://schemas.openxmlformats.org/officeDocument/2006/relationships/externalLinkPath" Target="/5012712/tour/My%20Documents/&#50629;&#47924;/TOUR/hmi/&#44221;&#51137;&#49324;/&#44397;&#45236;&#44221;&#51137;/DW96.XLS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60;&#44592;&#52380;/LGC/www/&#49324;&#50629;&#44228;&#54925;/97&#49324;&#50629;.xls" TargetMode="External"/><Relationship Id="rId1" Type="http://schemas.openxmlformats.org/officeDocument/2006/relationships/externalLinkPath" Target="/&#51060;&#44592;&#52380;/LGC/www/&#49324;&#50629;&#44228;&#54925;/97&#49324;&#50629;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4428;&#49457;&#47168;/&#47560;&#50640;&#49828;&#53944;&#47196;%20&#51089;&#50629;&#54260;&#45908;/02%20-%20&#54869;&#51221;&#49436;/2005&#45380;/06%20-%20JUN%20-%2005/MT0413%20&#50672;&#54616;&#45208;&#47196;%20&#44592;&#54925;%20-%20&#54840;&#53588;.xls" TargetMode="External"/><Relationship Id="rId1" Type="http://schemas.openxmlformats.org/officeDocument/2006/relationships/externalLinkPath" Target="/&#44428;&#49457;&#47168;/&#47560;&#50640;&#49828;&#53944;&#47196;%20&#51089;&#50629;&#54260;&#45908;/02%20-%20&#54869;&#51221;&#49436;/2005&#45380;/06%20-%20JUN%20-%2005/MT0413%20&#50672;&#54616;&#45208;&#47196;%20&#44592;&#54925;%20-%20&#54840;&#53588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54644;&#50808;&#50672;&#49688;/2002%20&#54644;&#50808;&#50672;&#49688;/WINDOWS/Temporary%20Internet%20Files/Content.IE5/XNHKNHDQ/&#48149;&#50689;&#52632;/&#47784;&#53552;&#49660;/'99%20Frankfurt/&#54924;&#51109;&#45784;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gbe217/c/SHIN/97&#45380;&#49892;&#51201;&#48143;98&#45380;&#52628;&#51652;&#44228;&#54925;/&#51109;.XLS" TargetMode="External"/><Relationship Id="rId1" Type="http://schemas.openxmlformats.org/officeDocument/2006/relationships/externalLinkPath" Target="/Ugbe217/c/SHIN/97&#45380;&#49892;&#51201;&#48143;98&#45380;&#52628;&#51652;&#44228;&#54925;/&#51109;.XLS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24890/c/SOJUNG/&#49892;&#54665;&#44228;&#54925;/&#51221;&#44508;&#50577;&#49457;/&#49548;&#50836;&#44221;&#48708;.XLS" TargetMode="External"/><Relationship Id="rId1" Type="http://schemas.openxmlformats.org/officeDocument/2006/relationships/externalLinkPath" Target="/24890/c/SOJUNG/&#49892;&#54665;&#44228;&#54925;/&#51221;&#44508;&#50577;&#49457;/&#49548;&#50836;&#44221;&#48708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krkimjh5/Local%20Settings/Temporary%20Internet%20Files/OLK9F/listofcustomers-&#46976;&#53804;&#49828;%20&#53596;&#54540;&#47551;_FINAL_0917(&#48512;&#49328;).xls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0864;&#47928;&#47564;/MY%20DOCUMENTS/WINDOWS/TEMP/SIS/EF/A&#49552;&#51061;1.XLS" TargetMode="External"/><Relationship Id="rId1" Type="http://schemas.openxmlformats.org/officeDocument/2006/relationships/externalLinkPath" Target="/&#50864;&#47928;&#47564;/MY%20DOCUMENTS/WINDOWS/TEMP/SIS/EF/A&#49552;&#51061;1.XLS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071037/c/WINDOWS/TEMP/WSHOP/1&#52264;/&#51649;&#51333;&#54408;981.xls" TargetMode="External"/><Relationship Id="rId1" Type="http://schemas.openxmlformats.org/officeDocument/2006/relationships/externalLinkPath" Target="/9071037/c/WINDOWS/TEMP/WSHOP/1&#52264;/&#51649;&#51333;&#54408;981.xls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3278541-1/my%20documents/WINDOWS/TEMP/A&#51204;&#47029;/CUMMINS/ENGLINE0.XLS" TargetMode="External"/><Relationship Id="rId1" Type="http://schemas.openxmlformats.org/officeDocument/2006/relationships/externalLinkPath" Target="/3278541-1/my%20documents/WINDOWS/TEMP/A&#51204;&#47029;/CUMMINS/ENGLINE0.XLS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4608;&#54861;&#47148;/UNZIPPED/TONY/&#47928;&#49436;&#50577;&#49885;.XLS" TargetMode="External"/><Relationship Id="rId1" Type="http://schemas.openxmlformats.org/officeDocument/2006/relationships/externalLinkPath" Target="/&#44608;&#54861;&#47148;/UNZIPPED/TONY/&#47928;&#49436;&#50577;&#49885;.XLS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gda212/ldk/PJH/HP-1/&#50896;&#44032;/NIX/&#50896;&#45800;&#50948;.xls" TargetMode="External"/><Relationship Id="rId1" Type="http://schemas.openxmlformats.org/officeDocument/2006/relationships/externalLinkPath" Target="/Ugda212/ldk/PJH/HP-1/&#50896;&#44032;/NIX/&#50896;&#45800;&#50948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Trim%20Shop/snha/WINDOWS/TEMP/&#54540;&#47116;/9711/&#54924;&#51109;/&#54924;&#51109;2/&#52404;&#54788;&#54889;.XLS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263617/c/My%20Documents/HYD/&#51068;&#48152;/BOX&#44277;&#47928;.XLS" TargetMode="External"/><Relationship Id="rId1" Type="http://schemas.openxmlformats.org/officeDocument/2006/relationships/externalLinkPath" Target="/9263617/c/My%20Documents/HYD/&#51068;&#48152;/BOX&#44277;&#47928;.XLS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071037/c/LMS/oa&#44053;&#49324;/oa&#44368;&#50977;/oa&#44053;&#49324;/oa&#44368;&#50977;/oa&#44053;&#49324;/&#46020;&#49436;&#54408;.XLS" TargetMode="External"/><Relationship Id="rId1" Type="http://schemas.openxmlformats.org/officeDocument/2006/relationships/externalLinkPath" Target="/9071037/c/LMS/oa&#44053;&#49324;/oa&#44368;&#50977;/oa&#44053;&#49324;/oa&#44368;&#50977;/oa&#44053;&#49324;/&#46020;&#49436;&#54408;.XLS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666023/CM.&#49457;/WINDOWS/TEMP/FO.xls" TargetMode="External"/><Relationship Id="rId1" Type="http://schemas.openxmlformats.org/officeDocument/2006/relationships/externalLinkPath" Target="/9666023/CM.&#49457;/WINDOWS/TEMP/FO.xls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078068/gobong/&#51060;&#44305;&#44592;/INVEST/CCC/97&#45380;/97&#45380;&#49892;&#51201;.xls" TargetMode="External"/><Relationship Id="rId1" Type="http://schemas.openxmlformats.org/officeDocument/2006/relationships/externalLinkPath" Target="/9078068/gobong/&#51060;&#44305;&#44592;/INVEST/CCC/97&#45380;/97&#45380;&#49892;&#51201;.xls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5012712/tour/My%20Documents/2000&#45380;%20IR/&#44592;&#50629;&#49444;&#47749;&#54924;-&#45817;&#49324;&#51452;&#44288;/&#45432;&#47924;&#46972;%20Roadshow(0007)/&#51068;&#51221;/DATAJUNG/DATA1/&#54032;&#44288;&#48708;/98&#45380;&#50696;&#49328;/&#51204;&#52404;&#50696;&#49328;/98&#54032;&#44288;&#48708;1&#52264;.xls" TargetMode="External"/><Relationship Id="rId1" Type="http://schemas.openxmlformats.org/officeDocument/2006/relationships/externalLinkPath" Target="/5012712/tour/My%20Documents/2000&#45380;%20IR/&#44592;&#50629;&#49444;&#47749;&#54924;-&#45817;&#49324;&#51452;&#44288;/&#45432;&#47924;&#46972;%20Roadshow(0007)/&#51068;&#51221;/DATAJUNG/DATA1/&#54032;&#44288;&#48708;/98&#45380;&#50696;&#49328;/&#51204;&#52404;&#50696;&#49328;/98&#54032;&#44288;&#48708;1&#5226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/&#54620;&#50864;&#49437;/2007con/2007%20&#50668;&#54665;%20&#45824;&#49345;&#51088;%20List_070317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aha332/Local%20Settings/Temporary%20Internet%20Files/OLK3C/Documents%20and%20Settings/iisdjm8/Local%20Settings/Temporary%20Internet%20Files/OLK8/ACQBR1997.xls" TargetMode="External"/></Relationships>
</file>

<file path=xl/externalLinks/_rels/externalLink9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5012712/tour/My%20Documents/&#50629;&#47924;/TOUR/hmi/Bogodata/&#52264;&#51077;&#44552;&#54788;/&#50900;&#48324;&#52264;&#51077;/&#52264;&#51077;9806.xls" TargetMode="External"/><Relationship Id="rId1" Type="http://schemas.openxmlformats.org/officeDocument/2006/relationships/externalLinkPath" Target="/5012712/tour/My%20Documents/&#50629;&#47924;/TOUR/hmi/Bogodata/&#52264;&#51077;&#44552;&#54788;/&#50900;&#48324;&#52264;&#51077;/&#52264;&#51077;9806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50980;&#54805;&#49885;/YHS64/&#50980;&#54805;&#49885;/YHS52/&#49324;&#50577;&#49436;/TEST&#50868;&#50689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45236;&#47928;&#49436;/&#50629;&#47924;/&#49324;&#50629;&#44228;&#54925;/&#50976;&#52992;&#51060;&#52880;&#48120;&#54044;/&#52880;&#48120;&#54044;&#49324;&#50629;&#44228;&#54925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5236;&#47928;&#49436;/&#50629;&#47924;/&#49324;&#50629;&#44228;&#54925;/&#50976;&#52992;&#51060;&#52880;&#48120;&#54044;/&#52880;&#48120;&#54044;&#49324;&#50629;&#44228;&#54925;.xls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Ws1741/My%20Documents/My%20Documents/0_reservation/co-ordinate/0_organizer/1_tokyo/iwatu/&#23721;&#36890;%20main%20file.xls" TargetMode="External"/><Relationship Id="rId1" Type="http://schemas.openxmlformats.org/officeDocument/2006/relationships/externalLinkPath" Target="/Ws1741/My%20Documents/My%20Documents/0_reservation/co-ordinate/0_organizer/1_tokyo/iwatu/&#23721;&#36890;%20main%20file.xls" TargetMode="External"/></Relationships>
</file>

<file path=xl/externalLinks/_rels/externalLink10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666284/&#52572;&#51333;&#51064;&#50896;&#47564;/WINDOWS/TEMP/&#51064;&#49324;&#44592;&#54925;.xls" TargetMode="External"/><Relationship Id="rId1" Type="http://schemas.openxmlformats.org/officeDocument/2006/relationships/externalLinkPath" Target="/9666284/&#52572;&#51333;&#51064;&#50896;&#47564;/WINDOWS/TEMP/&#51064;&#49324;&#44592;&#54925;.xls" TargetMode="External"/></Relationships>
</file>

<file path=xl/externalLinks/_rels/externalLink10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285666/c/My%20Documents/&#44608;&#50689;&#51068;/98&#51652;&#54665;&#44284;&#51221;/98&#54788;&#51109;&#44048;&#46021;&#51088;/98&#48152;&#51109;&#54693;&#49345;/My%20Documents/KMH/FORM/&#44053;&#49324;&#54217;&#44032;.XLS" TargetMode="External"/><Relationship Id="rId1" Type="http://schemas.openxmlformats.org/officeDocument/2006/relationships/externalLinkPath" Target="/9285666/c/My%20Documents/&#44608;&#50689;&#51068;/98&#51652;&#54665;&#44284;&#51221;/98&#54788;&#51109;&#44048;&#46021;&#51088;/98&#48152;&#51109;&#54693;&#49345;/My%20Documents/KMH/FORM/&#44053;&#49324;&#54217;&#44032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45824;&#44396;&#45224;&#48512;(&#50836;&#50557;)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T&#44228;&#54925;/AT&#44228;&#54925;B.XLS" TargetMode="External"/></Relationships>
</file>

<file path=xl/externalLinks/_rels/externalLink10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60;&#44592;&#52380;/LGC/LGC/&#49345;&#50857;/&#49345;&#44596;&#48393;&#50504;.XLS" TargetMode="External"/><Relationship Id="rId1" Type="http://schemas.openxmlformats.org/officeDocument/2006/relationships/externalLinkPath" Target="/&#51060;&#44592;&#52380;/LGC/LGC/&#49345;&#50857;/&#49345;&#44596;&#48393;&#50504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WINDOWS/TEMP/&#44368;&#50977;&#49373;&#51060;&#47141;&#44288;&#47532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PROGRA~1/TEAMWARE/OFFICE/TEMP/LIBRARY/VWR4/VWR3/MSOFFICE/EXCEL/JUN/99&#49324;&#50629;/&#54408;&#47785;&#52509;&#44292;.XLS" TargetMode="External"/></Relationships>
</file>

<file path=xl/externalLinks/_rels/externalLink10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8;&#46041;&#54868;/C/WINDOWS/TEMP/notes/data/&#49345;&#48152;&#48372;&#44256;.xls" TargetMode="External"/><Relationship Id="rId1" Type="http://schemas.openxmlformats.org/officeDocument/2006/relationships/externalLinkPath" Target="/&#51088;&#46041;&#54868;/C/WINDOWS/TEMP/notes/data/&#49345;&#48152;&#48372;&#44256;.xls" TargetMode="External"/></Relationships>
</file>

<file path=xl/externalLinks/_rels/externalLink1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8;&#46041;&#54868;/C/WINDOWS/TEMP/My%20Documents/AKKP/&#44368;&#50977;&#50696;&#49328;/&#50900;&#50696;&#49328;/HEE-DONG/&#44592;&#53440;/&#54801;&#51312;&#51204;.XLS" TargetMode="External"/><Relationship Id="rId1" Type="http://schemas.openxmlformats.org/officeDocument/2006/relationships/externalLinkPath" Target="/&#51088;&#46041;&#54868;/C/WINDOWS/TEMP/My%20Documents/AKKP/&#44368;&#50977;&#50696;&#49328;/&#50900;&#50696;&#49328;/HEE-DONG/&#44592;&#53440;/&#54801;&#51312;&#51204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51221;&#44508;&#44221;/KPI&#44277;&#51648;2.xls" TargetMode="External"/></Relationships>
</file>

<file path=xl/externalLinks/_rels/externalLink1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4889;&#53468;&#50676;/&#44277;&#44060;&#51088;&#47308;/HTY/MEET/&#50900;&#48372;&#44256;/PT&#44277;&#51109;&#50868;&#50689;&#49892;&#51201;-99&#49345;&#48152;&#44592;.xls" TargetMode="External"/><Relationship Id="rId1" Type="http://schemas.openxmlformats.org/officeDocument/2006/relationships/externalLinkPath" Target="/&#54889;&#53468;&#50676;/&#44277;&#44060;&#51088;&#47308;/HTY/MEET/&#50900;&#48372;&#44256;/PT&#44277;&#51109;&#50868;&#50689;&#49892;&#51201;-99&#49345;&#48152;&#44592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50868;&#50689;&#54260;&#45908;/&#49888;&#51076;&#49849;&#44201;/&#49849;&#51652;&#51088;&#44368;&#50977;1/&#44208;&#44284;&#48372;&#44256;/&#51064;&#50896;&#54788;&#54889;/WINDOWS/TEMP/WINDOWS/TEMP/DOS/96&#49892;&#51201;/MSOFFICE/HEXCEL/ISO/&#44592;&#47197;&#54364;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ABB111/~98&#51088;&#47308;/~98&#51088;&#47308;/1&#51333;&#54633;pl/&#54364;&#51648;&#52509;&#44292;.XLS" TargetMode="External"/><Relationship Id="rId1" Type="http://schemas.openxmlformats.org/officeDocument/2006/relationships/externalLinkPath" Target="/SABB111/~98&#51088;&#47308;/~98&#51088;&#47308;/1&#51333;&#54633;pl/&#54364;&#51648;&#52509;&#44292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47532;&#48708;&#50500;(980609)/&#51333;&#54633;/&#44552;kos/&#44277;&#51109;&#54364;&#51456;/&#47448;&#49457;&#54616;/&#48372;&#52768;&#50752;&#45208;%20&#44368;&#50977;/TEMP/HKHA/PLAN/960104/&#52264;&#51060;&#45236;&#50669;.XLS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GDA209/CCC&#44277;&#50976;/DS-2/&#50577;&#49885;.XLS" TargetMode="External"/><Relationship Id="rId1" Type="http://schemas.openxmlformats.org/officeDocument/2006/relationships/externalLinkPath" Target="/UGDA209/CCC&#44277;&#50976;/DS-2/&#50577;&#49885;.XLS" TargetMode="External"/></Relationships>
</file>

<file path=xl/externalLinks/_rels/externalLink1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gda212/ldk/DS-2/DNKIM/HP-1/MLIST/PJH/HP-1/MAST/Hp1ml.xls" TargetMode="External"/><Relationship Id="rId1" Type="http://schemas.openxmlformats.org/officeDocument/2006/relationships/externalLinkPath" Target="/Ugda212/ldk/DS-2/DNKIM/HP-1/MLIST/PJH/HP-1/MAST/Hp1ml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48516;&#49437;/&#49892;&#51201;&#48516;&#49437;.xls" TargetMode="External"/></Relationships>
</file>

<file path=xl/externalLinks/_rels/externalLink1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7254482a/c/Data/'99&#54032;&#52489;/&#49569;&#47924;&#52264;&#47049;/&#51064;&#52380;&#44277;&#44552;.&#50501;&#49457;.xls" TargetMode="External"/><Relationship Id="rId1" Type="http://schemas.openxmlformats.org/officeDocument/2006/relationships/externalLinkPath" Target="/7254482a/c/Data/'99&#54032;&#52489;/&#49569;&#47924;&#52264;&#47049;/&#51064;&#52380;&#44277;&#44552;.&#50501;&#49457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WINDOWS/TEMP/98&#50629;&#47924;&#49892;&#51201;(&#49892;).xls" TargetMode="External"/></Relationships>
</file>

<file path=xl/externalLinks/_rels/externalLink1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5012712/tour/My%20Documents/&#50629;&#47924;/TOUR/hmi/&#44221;&#51137;&#49324;/&#44397;&#45236;&#44221;&#51137;/95&#48372;&#44256;/&#45824;&#50864;&#53804;&#51088;.xls" TargetMode="External"/><Relationship Id="rId1" Type="http://schemas.openxmlformats.org/officeDocument/2006/relationships/externalLinkPath" Target="/5012712/tour/My%20Documents/&#50629;&#47924;/TOUR/hmi/&#44221;&#51137;&#49324;/&#44397;&#45236;&#44221;&#51137;/95&#48372;&#44256;/&#45824;&#50864;&#53804;&#51088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windows/TEMP/BONG/&#44592;&#53440;/&#47928;&#49436;&#50577;.XLS" TargetMode="External"/></Relationships>
</file>

<file path=xl/externalLinks/_rels/externalLink1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2624097/&#44036;&#51217;&#47581;&#44208;&#54408;&#51204;/WINDOWS/TEMP/&#48149;&#54812;&#46972;/&#47560;&#51012;AS/My%20Documents/&#50696;&#49345;/6&#50900;&#51473;&#44036;.XLS" TargetMode="External"/><Relationship Id="rId1" Type="http://schemas.openxmlformats.org/officeDocument/2006/relationships/externalLinkPath" Target="/2624097/&#44036;&#51217;&#47581;&#44208;&#54408;&#51204;/WINDOWS/TEMP/&#48149;&#54812;&#46972;/&#47560;&#51012;AS/My%20Documents/&#50696;&#49345;/6&#50900;&#51473;&#44036;.XLS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749912501/&#52509;&#44292;&#48376;&#48512;/My%20Documents/&#48149;&#50689;&#52632;/&#47784;&#53552;&#49660;/'99%20Frankfurt/OVERSEAS/INDIA/BP&#51109;&#48708;&#51060;&#49444;/&#51068;&#51221;(&#46020;&#54364;).xls" TargetMode="External"/><Relationship Id="rId1" Type="http://schemas.openxmlformats.org/officeDocument/2006/relationships/externalLinkPath" Target="/749912501/&#52509;&#44292;&#48376;&#48512;/My%20Documents/&#48149;&#50689;&#52632;/&#47784;&#53552;&#49660;/'99%20Frankfurt/OVERSEAS/INDIA/BP&#51109;&#48708;&#51060;&#49444;/&#51068;&#51221;(&#46020;&#54364;).xls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mw1/bmw/Documents%20and%20Settings/aha332/Local%20Settings/Temporary%20Internet%20Files/OLK3C/Documents%20and%20Settings/iisdjm8/Local%20Settings/Temporary%20Internet%20Files/OLK8/forMRGMtg.xls" TargetMode="External"/><Relationship Id="rId1" Type="http://schemas.openxmlformats.org/officeDocument/2006/relationships/externalLinkPath" Target="/Bmw1/bmw/Documents%20and%20Settings/aha332/Local%20Settings/Temporary%20Internet%20Files/OLK3C/Documents%20and%20Settings/iisdjm8/Local%20Settings/Temporary%20Internet%20Files/OLK8/forMRGMtg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~1/TEAMWARE/OFFICE/TEMP/LIBRARY/VWR4/VWR3/MSOFFICE/EXCEL/JUN/99&#49324;&#50629;/&#54408;&#47785;&#52509;&#44292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aha332/Local%20Settings/Temporary%20Internet%20Files/OLK3C/Documents%20and%20Settings/iisdjm8/Local%20Settings/Temporary%20Internet%20Files/OLK8/forMRGMtg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aha332/Local%20Settings/Temporary%20Internet%20Files/OLK3C/Documents%20and%20Settings/iisdjm8/Local%20Settings/Temporary%20Internet%20Files/OLK8/forMRGMtg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6665;&#48810;/&#26446;&#47296;&#47700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&#46665;&#48810;/&#26446;&#47296;&#47700;.xls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561734/010105%20IR&#54016;/WINDOWS/TEMP/&#44608;&#54952;&#50689;/&#50900;&#54788;&#54889;/&#54364;&#51456;&#47928;&#49436;.xls" TargetMode="External"/><Relationship Id="rId1" Type="http://schemas.openxmlformats.org/officeDocument/2006/relationships/externalLinkPath" Target="/9561734/010105%20IR&#54016;/WINDOWS/TEMP/&#44608;&#54952;&#50689;/&#50900;&#54788;&#54889;/&#54364;&#51456;&#47928;&#49436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user1/My%20Documents/&#51652;&#47928;&#49436;/&#54924;&#50808;&#52636;&#51109;&#50629;&#47924;/&#54637;&#44277;&#44592;&#44288;&#47144;/&#51204;&#49464;&#44592;&#51088;&#47308;/04&#45380;BBJ&#44277;&#46041;&#44396;&#47588;&#44148;/&#51204;&#49464;&#44592;&#48372;&#44256;&#51088;&#47308;&#52572;&#51333;/2001&#45380;/01order/&#51312;&#51649;&#46020;(4.18)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95&#54616;U$&#44032;&#44201;" TargetMode="External"/></Relationships>
</file>

<file path=xl/externalLinks/_rels/externalLink1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49;&#49688;&#50672;/&#48388;/My%20Documents/2002&#45380;%20&#54056;&#53412;&#51648;/&#44200;&#50872;(1&#50900;)/&#45800;&#46021;/&#44608;&#53468;&#54980;/&#44592;&#50500;&#51088;&#46041;&#52264;/&#49548;&#49345;&#54032;&#52489;.xls" TargetMode="External"/><Relationship Id="rId1" Type="http://schemas.openxmlformats.org/officeDocument/2006/relationships/externalLinkPath" Target="/&#48149;&#49688;&#50672;/&#48388;/My%20Documents/2002&#45380;%20&#54056;&#53412;&#51648;/&#44200;&#50872;(1&#50900;)/&#45800;&#46021;/&#44608;&#53468;&#54980;/&#44592;&#50500;&#51088;&#46041;&#52264;/&#49548;&#49345;&#54032;&#52489;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lgw/&#51064;&#49324;.&#51312;&#51649;/97STD/&#47928;&#49436;&#50577;&#49885;.XLS" TargetMode="External"/></Relationships>
</file>

<file path=xl/externalLinks/_rels/externalLink1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4053;&#48337;&#51652;/&#44277;&#50976;/YOON/www/A6&#52293;&#51088;/&#48512;&#49436;&#49548;&#44060;.XLS" TargetMode="External"/><Relationship Id="rId1" Type="http://schemas.openxmlformats.org/officeDocument/2006/relationships/externalLinkPath" Target="/&#44053;&#48337;&#51652;/&#44277;&#50976;/YOON/www/A6&#52293;&#51088;/&#48512;&#49436;&#49548;&#44060;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54016;&#48324;8.xls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473615/ygk/&#48120;&#44397;/PYS/PM&#54924;&#51032;1.XLS" TargetMode="External"/><Relationship Id="rId1" Type="http://schemas.openxmlformats.org/officeDocument/2006/relationships/externalLinkPath" Target="/9473615/ygk/&#48120;&#44397;/PYS/PM&#54924;&#51032;1.XLS" TargetMode="External"/></Relationships>
</file>

<file path=xl/externalLinks/_rels/externalLink1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gda209/ds-2/DS-2/ccc/HP-1/MAST/My%20Documents/project/qa4/&#50896;&#45800;&#50948;/&#50896;&#45800;&#50948;.XLS" TargetMode="External"/><Relationship Id="rId1" Type="http://schemas.openxmlformats.org/officeDocument/2006/relationships/externalLinkPath" Target="/Ugda209/ds-2/DS-2/ccc/HP-1/MAST/My%20Documents/project/qa4/&#50896;&#45800;&#50948;/&#50896;&#45800;&#50948;.XLS" TargetMode="External"/></Relationships>
</file>

<file path=xl/externalLinks/_rels/externalLink1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inglfile/Sales/Documents%20and%20Settings/wshan/My%20Documents/&#50689;&#50629;&#48512;/2003con/Trip/&#45824;&#49345;&#51088;&#51313;&#48372;-1.xls" TargetMode="External"/><Relationship Id="rId1" Type="http://schemas.openxmlformats.org/officeDocument/2006/relationships/externalLinkPath" Target="/inglfile/Sales/Documents%20and%20Settings/wshan/My%20Documents/&#50689;&#50629;&#48512;/2003con/Trip/&#45824;&#49345;&#51088;&#51313;&#48372;-1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1.xls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0976;&#49440;&#49437;/SHIN/&#51060;&#51008;&#50864;/&#51064;&#49324;/JP/&#44592;&#53440;/&#47928;&#49436;&#50577;.XLS" TargetMode="External"/><Relationship Id="rId1" Type="http://schemas.openxmlformats.org/officeDocument/2006/relationships/externalLinkPath" Target="/&#50976;&#49440;&#49437;/SHIN/&#51060;&#51008;&#50864;/&#51064;&#49324;/JP/&#44592;&#53440;/&#47928;&#49436;&#50577;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HYD/&#51068;&#48152;/BOX&#44277;&#47928;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12469;&#12540;&#12496;&#12540;&#38283;&#30330;/&#946;1.4&#25913;&#36896;.xls" TargetMode="External"/></Relationships>
</file>

<file path=xl/externalLinks/_rels/externalLink1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270315/c/&#51060;&#50689;&#54840;2/WIN-21/&#51593;&#49884;&#44060;&#49440;&#49892;&#49324;&#54364;.xls" TargetMode="External"/><Relationship Id="rId1" Type="http://schemas.openxmlformats.org/officeDocument/2006/relationships/externalLinkPath" Target="/9270315/c/&#51060;&#50689;&#54840;2/WIN-21/&#51593;&#49884;&#44060;&#49440;&#49892;&#49324;&#54364;.xls" TargetMode="External"/></Relationships>
</file>

<file path=xl/externalLinks/_rels/externalLink1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4608;&#51456;&#54805;/&#44608;&#51060;&#54788;(LYA)/&#51333;&#54633;2.xls" TargetMode="External"/><Relationship Id="rId1" Type="http://schemas.openxmlformats.org/officeDocument/2006/relationships/externalLinkPath" Target="/&#44608;&#51456;&#54805;/&#44608;&#51060;&#54788;(LYA)/&#51333;&#54633;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My%20Documents/Y-&#44592;&#53440;&#54665;&#49324;/&#50976;&#47101;&#51064;&#50896;&#51221;&#47532;(0601)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lgw/&#51312;&#51649;/YONGWON/SALARY/KYW1/&#54364;&#51456;&#47928;&#49436;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~1/TEAMWARE/OFFICE/TEMP/MAIL/MV5/PROGRA~1/TEAMWARE/OFFICE/TEMP/LIBRARY/VWR4/VWR3/MSOFFICE/EXCEL/JUN/99&#49324;&#50629;/&#54408;&#47785;&#52509;&#44292;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lgw/&#51312;&#51649;/LARM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01&#49324;&#50629;&#44228;&#54925;-&#50696;&#49328;&#49328;&#52636;&#45236;&#50669;.xls" TargetMode="External"/></Relationships>
</file>

<file path=xl/externalLinks/_rels/externalLink1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ABB110/&#44277;&#50976;/&#51068;&#48152;&#52509;&#44292;.97" TargetMode="External"/><Relationship Id="rId1" Type="http://schemas.openxmlformats.org/officeDocument/2006/relationships/externalLinkPath" Target="/SABB110/&#44277;&#50976;/&#51068;&#48152;&#52509;&#44292;.97" TargetMode="External"/></Relationships>
</file>

<file path=xl/externalLinks/_rels/externalLink1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4060;&#48156;1/C/LGB/&#49888;&#51221;&#54984;/&#50577;&#49885;/MSOFFICE/EXCEL/INVEST/&#51204;&#49328;&#54868;/BRIEFING/INVEST/&#44228;&#54925;/MSOFFICE/EXCEL/INVEST/&#44228;&#54925;/&#51109;&#44592;&#53804;&#51088;.XLS" TargetMode="External"/><Relationship Id="rId1" Type="http://schemas.openxmlformats.org/officeDocument/2006/relationships/externalLinkPath" Target="/&#44060;&#48156;1/C/LGB/&#49888;&#51221;&#54984;/&#50577;&#49885;/MSOFFICE/EXCEL/INVEST/&#51204;&#49328;&#54868;/BRIEFING/INVEST/&#44228;&#54925;/MSOFFICE/EXCEL/INVEST/&#44228;&#54925;/&#51109;&#44592;&#53804;&#51088;.XLS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Tourfile/&#47196;&#52972;%20&#46356;&#49828;&#53356;%20(d)/&#44060;&#51064;/GC05/&#44040;&#47588;&#44592;/&#49324;&#48376;%20-%202005%20&#52968;&#48292;&#49496;%20&#49888;&#52397;&#45824;&#51109;.xls" TargetMode="External"/><Relationship Id="rId1" Type="http://schemas.openxmlformats.org/officeDocument/2006/relationships/externalLinkPath" Target="/Tourfile/&#47196;&#52972;%20&#46356;&#49828;&#53356;%20(d)/&#44060;&#51064;/GC05/&#44040;&#47588;&#44592;/&#49324;&#48376;%20-%202005%20&#52968;&#48292;&#49496;%20&#49888;&#52397;&#45824;&#51109;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ilhong/&#44608;&#51068;&#54861;/&#49440;&#47932;/2001&#52628;&#49437;/My%20Documents/My%20Documents/&#52509;&#47924;&#51068;&#48152;/&#51648;&#50896;&#50629;&#47924;/&#51228;&#50577;&#49885;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44277;&#50976;/&#48376;&#48512;&#51064;&#49324;/WINDOWS/TEMP/&#44277;&#51089;&#54016;&#51312;&#51649;&#46020;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Trim%20Shop/snha/WINDOWS/TEMP/MEETING/96&#54924;&#47197;&#54364;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~1/TEAMWARE/OFFICE/TEMP/MAIL/MV5/1_9&#50900;&#49888;&#50896;&#44032;&#53580;&#49828;&#53944;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/SM/SPP%20Team/10%20Convention(&#50629;&#51201;)/2010Con&#50629;&#51201;/GoWithVA%202009.9&#50900;&#50629;&#51201;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WINDOWS/Temporary%20Internet%20Files/Content.IE5/C52Z89UN/NAMWON/&#51088;&#51116;&#44592;&#54925;/&#51064;&#49324;&#44288;&#47144;/&#51064;&#50896;MASTER/&#48376;&#48512;&#51064;&#50896;MASTER.xls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idc201/c$/HDPIC/VIEWTMP/&#52292;&#44428;.xls" TargetMode="External"/><Relationship Id="rId1" Type="http://schemas.openxmlformats.org/officeDocument/2006/relationships/externalLinkPath" Target="/Sidc201/c$/HDPIC/VIEWTMP/&#52292;&#44428;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~1/TEAMWARE/OFFICE/TEMP/MAIL/MV5/PROGRA~1/TEAMWARE/OFFICE/TEMP/MAIL/MV5/PROGRA~1/TEAMWARE/OFFICE/TEMP/LIBRARY/VWR4/VWR3/MSOFFICE/EXCEL/JUN/99&#49324;&#50629;/&#54408;&#47785;&#52509;&#44292;.XLS" TargetMode="External"/></Relationships>
</file>

<file path=xl/externalLinks/_rels/externalLink1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inglfile/Sales/SB/SM/&#54620;&#50864;&#49437;/2007con/2007%20&#50668;&#54665;%20&#45824;&#49345;&#51088;%20List_070315-1.xls" TargetMode="External"/><Relationship Id="rId1" Type="http://schemas.openxmlformats.org/officeDocument/2006/relationships/externalLinkPath" Target="/inglfile/Sales/SB/SM/&#54620;&#50864;&#49437;/2007con/2007%20&#50668;&#54665;%20&#45824;&#49345;&#51088;%20List_070315-1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My%20Documents/Incentive%20Trip(Summer)/2006%20Summer/&#51313;&#48372;/%23%20Bali%20&#51313;&#48372;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BOGO&#51088;&#47308;/&#49324;&#50629;&#48372;&#44256;/1997/97&#54924;&#48372;&#52572;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54644;&#50808;&#50672;&#49688;/2002%20&#54644;&#50808;&#50672;&#49688;/windows/TEMP/&#52292;&#50857;/2000&#44277;&#52292;/&#49436;&#47448;&#54633;&#44201;&#51064;&#50896;.xls" TargetMode="External"/></Relationships>
</file>

<file path=xl/externalLinks/_rels/externalLink1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GDA209/CCC&#44277;&#50976;/My%20Documents/HP-1/DHP/HPMLGJN.XLS" TargetMode="External"/><Relationship Id="rId1" Type="http://schemas.openxmlformats.org/officeDocument/2006/relationships/externalLinkPath" Target="/UGDA209/CCC&#44277;&#50976;/My%20Documents/HP-1/DHP/HPMLGJN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wshan/My%20Documents/&#50689;&#50629;&#48512;/2003con/Trip/&#45824;&#49345;&#51088;&#51313;&#48372;-1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54644;&#50808;&#50672;&#49688;/2002%20&#54644;&#50808;&#50672;&#49688;/WINDOWS/Temporary%20Internet%20Files/Content.IE5/XNHKNHDQ/&#48149;&#50689;&#52632;/&#47784;&#53552;&#49660;/'99%20Frankfurt/OVERSEAS/INDIA/BP&#51109;&#48708;&#51060;&#49444;/&#51068;&#51221;(&#46020;&#54364;)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JJs%20Documents/Incentive%20Trip(Summer)/2007%20Sydney/2007Summer&#50668;&#54665;&#54869;&#51064;_&#51204;&#52404;_071105-01.xls" TargetMode="External"/></Relationships>
</file>

<file path=xl/externalLinks/_rels/externalLink17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oce504/net-open/hdpic/document/&#44277;&#51109;&#44160;&#53664;/HDPIC/DOCUMENT/PJH/HP-1/&#50896;&#44032;/&#53804;&#51088;&#48516;&#48176;.XLS" TargetMode="External"/><Relationship Id="rId1" Type="http://schemas.openxmlformats.org/officeDocument/2006/relationships/externalLinkPath" Target="/Soce504/net-open/hdpic/document/&#44277;&#51109;&#44160;&#53664;/HDPIC/DOCUMENT/PJH/HP-1/&#50896;&#44032;/&#53804;&#51088;&#48516;&#48176;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ilhong/&#44608;&#51068;&#54861;/&#49440;&#47932;/2001&#52628;&#49437;/My%20Documents/&#52509;&#47924;&#51068;&#48152;/&#51648;&#50896;&#50629;&#47924;/&#51228;&#50577;&#49885;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CNC&#44368;&#50977;/CNC%20&#51333;&#54633;&#44208;&#44284;&#48372;&#44256;.xls" TargetMode="External"/></Relationships>
</file>

<file path=xl/externalLinks/_rels/externalLink1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ABG401/&#50157;/&#51076;/&#48149;&#52264;&#51109;&#45784;&#48155;&#51004;&#49464;&#50836;.xls" TargetMode="External"/><Relationship Id="rId1" Type="http://schemas.openxmlformats.org/officeDocument/2006/relationships/externalLinkPath" Target="/SABG401/&#50157;/&#51076;/&#48149;&#52264;&#51109;&#45784;&#48155;&#51004;&#49464;&#50836;.xls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5012712/tour/My%20Documents/&#50629;&#47924;/TOUR/hmi/LJY/JAGUM/98&#45380;&#51088;/OWARE/CACHE/&#49688;&#51221;&#50577;&#49885;.XLS" TargetMode="External"/><Relationship Id="rId1" Type="http://schemas.openxmlformats.org/officeDocument/2006/relationships/externalLinkPath" Target="/5012712/tour/My%20Documents/&#50629;&#47924;/TOUR/hmi/LJY/JAGUM/98&#45380;&#51088;/OWARE/CACHE/&#49688;&#51221;&#50577;&#49885;.XLS" TargetMode="External"/></Relationships>
</file>

<file path=xl/externalLinks/_rels/externalLink1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377054/&#51060;&#49457;&#55148;/&#54889;&#52824;&#51456;/&#51060;&#46976;/WINDOWS/TEMP/&#44608;&#49464;&#50857;/&#51064;&#45768;RD/&#44228;&#54925;&#49436;/members/&#44608;&#49464;&#50857;/&#51064;&#45768;rd/Book1.xls" TargetMode="External"/><Relationship Id="rId1" Type="http://schemas.openxmlformats.org/officeDocument/2006/relationships/externalLinkPath" Target="/9377054/&#51060;&#49457;&#55148;/&#54889;&#52824;&#51456;/&#51060;&#46976;/WINDOWS/TEMP/&#44608;&#49464;&#50857;/&#51064;&#45768;RD/&#44228;&#54925;&#49436;/members/&#44608;&#49464;&#50857;/&#51064;&#45768;rd/Book1.xls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gda209/ds-2/&#49884;&#51089;&#44032;/KSB/DS2/PM4-7.xls" TargetMode="External"/><Relationship Id="rId1" Type="http://schemas.openxmlformats.org/officeDocument/2006/relationships/externalLinkPath" Target="/Ugda209/ds-2/&#49884;&#51089;&#44032;/KSB/DS2/PM4-7.xls" TargetMode="External"/></Relationships>
</file>

<file path=xl/externalLinks/_rels/externalLink17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9661097/&#54616;&#49464;&#44508;/CM.&#49457;/&#50629;&#47924;&#48516;&#49437;&#51088;&#47308;/98&#49345;&#48152;&#44592;%20&#50629;&#47924;&#49892;&#51201;.xls" TargetMode="External"/><Relationship Id="rId1" Type="http://schemas.openxmlformats.org/officeDocument/2006/relationships/externalLinkPath" Target="/9661097/&#54616;&#49464;&#44508;/CM.&#49457;/&#50629;&#47924;&#48516;&#49437;&#51088;&#47308;/98&#49345;&#48152;&#44592;%20&#50629;&#47924;&#49892;&#51201;.xls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749912501/&#52509;&#44292;&#48376;&#48512;/WINDOWS/&#48148;&#53461;%20&#54868;&#47732;/&#51204;&#49884;&#51109;map.xls" TargetMode="External"/><Relationship Id="rId1" Type="http://schemas.openxmlformats.org/officeDocument/2006/relationships/externalLinkPath" Target="/749912501/&#52509;&#44292;&#48376;&#48512;/WINDOWS/&#48148;&#53461;%20&#54868;&#47732;/&#51204;&#49884;&#51109;ma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  <sheetName val="2.대외공문"/>
      <sheetName val="3.3검토국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jor"/>
      <sheetName val="FULL"/>
      <sheetName val="FULL 중"/>
      <sheetName val="2.대외공문"/>
      <sheetName val="세부추진"/>
      <sheetName val="engline"/>
      <sheetName val="11"/>
      <sheetName val="MASTER_IPL"/>
      <sheetName val="ITINERARY"/>
      <sheetName val="구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기안"/>
      <sheetName val="종합"/>
      <sheetName val="MH"/>
      <sheetName val="경비계정"/>
      <sheetName val="표지"/>
      <sheetName val="총괄"/>
      <sheetName val="유형별총괄"/>
      <sheetName val="일반편성표"/>
      <sheetName val="세부내역"/>
      <sheetName val="IT편성표"/>
      <sheetName val="IT예산 상세내역"/>
      <sheetName val="______"/>
      <sheetName val="실적"/>
      <sheetName val="S1"/>
      <sheetName val="S2"/>
      <sheetName val="S3"/>
      <sheetName val="S4"/>
      <sheetName val="추이그래프"/>
      <sheetName val="추이그래프 (2)"/>
      <sheetName val="조직도"/>
      <sheetName val="Sheet1"/>
      <sheetName val="PTR台손익"/>
      <sheetName val="의장34반"/>
      <sheetName val="의장2반 "/>
      <sheetName val="소유주(원)"/>
      <sheetName val="#REF"/>
      <sheetName val="품의플로"/>
      <sheetName val="R&amp;D"/>
      <sheetName val="GRACE"/>
      <sheetName val="완성차"/>
      <sheetName val="INPUT"/>
      <sheetName val="주소(한문)"/>
      <sheetName val="2.대외공문"/>
      <sheetName val="항목(1)"/>
      <sheetName val="차종분석2차"/>
      <sheetName val="TCA"/>
      <sheetName val="TOT"/>
      <sheetName val="대외공문"/>
      <sheetName val="TMMAN"/>
      <sheetName val="협조전"/>
      <sheetName val="가격표"/>
      <sheetName val="계산내역"/>
      <sheetName val="49455"/>
      <sheetName val="major"/>
      <sheetName val="세부추진"/>
      <sheetName val="품의서"/>
      <sheetName val="자체실적1Q"/>
      <sheetName val="C"/>
      <sheetName val="●목차"/>
      <sheetName val="외주현황.wq1"/>
      <sheetName val="보고서"/>
      <sheetName val="Sheet2"/>
      <sheetName val="Sheet3"/>
      <sheetName val="RD제품개발투자비(매가)"/>
      <sheetName val="세목별"/>
      <sheetName val="노임단가표"/>
      <sheetName val="자금집행내역"/>
      <sheetName val="운행일지"/>
      <sheetName val="신1"/>
      <sheetName val="94B"/>
      <sheetName val="2010년 재료비 및부산물(09.10)"/>
      <sheetName val="2010년 제조경비 집계(09.10)"/>
      <sheetName val="2010년 판관비 집계(09.10)"/>
      <sheetName val="2010년 인건비(관리직,기능직,110%인상) "/>
      <sheetName val="임금 "/>
      <sheetName val="2010 수선비(총무,구매,공무)"/>
      <sheetName val="2010소모품비(총무,구매,공무)"/>
      <sheetName val="월별산출금액적용(09.10)"/>
      <sheetName val="2010추정손익(09.10)-변경후"/>
      <sheetName val="2010 추정손익(09.10)-변경전"/>
      <sheetName val="변동사유"/>
      <sheetName val="HIS"/>
      <sheetName val="끝"/>
      <sheetName val="2008년 제조경비 집계(07.10)"/>
      <sheetName val="2008년 판관비 집계(07.10) "/>
      <sheetName val="월별산출금액적용"/>
      <sheetName val="2008 수선비집계(총무,구매,공무)"/>
      <sheetName val="2008소모품비집계(총무,구매,공무)"/>
      <sheetName val="2008추정손익(07.10)"/>
      <sheetName val="카메라"/>
      <sheetName val="2008년 인건비(관리직,기능직,110%인상)"/>
      <sheetName val="사업계획 과목별 수정 (최종)"/>
      <sheetName val="첨부-계정별 원가절감 산출내역"/>
      <sheetName val="사업계획 과목별 수정"/>
      <sheetName val="원가율"/>
      <sheetName val="원가율(09.10)"/>
      <sheetName val="전체현황"/>
      <sheetName val="수리결과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2.대외공문"/>
      <sheetName val="디자인"/>
      <sheetName val="승용"/>
      <sheetName val="엔설"/>
      <sheetName val="전자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기안"/>
      <sheetName val="Sheet1"/>
      <sheetName val="●목차"/>
      <sheetName val="●현황"/>
      <sheetName val="상용"/>
      <sheetName val="BUS제원1"/>
      <sheetName val="1.POSITIONING"/>
      <sheetName val="p2-1"/>
      <sheetName val="MC&amp;다변화"/>
      <sheetName val="#REF"/>
      <sheetName val="major"/>
      <sheetName val="자체실적1Q"/>
      <sheetName val="표지"/>
      <sheetName val="2007"/>
      <sheetName val="항목(1)"/>
      <sheetName val="수입"/>
      <sheetName val="DATA-1"/>
      <sheetName val="불량현상별END"/>
      <sheetName val="PTR台손익"/>
      <sheetName val="국영"/>
      <sheetName val="수지표"/>
      <sheetName val="셀명"/>
      <sheetName val="LD"/>
      <sheetName val="95하U$가격"/>
      <sheetName val="재료율"/>
      <sheetName val="CLM-MP"/>
      <sheetName val="성적갑"/>
      <sheetName val="부품LIST"/>
      <sheetName val="박두익"/>
      <sheetName val="RD제품개발투자비(매가)"/>
      <sheetName val="KD율"/>
      <sheetName val="품의서"/>
      <sheetName val="가동일보"/>
      <sheetName val="아중동 종합"/>
      <sheetName val="신규DEP"/>
      <sheetName val="PS일계획"/>
      <sheetName val="IS_R"/>
      <sheetName val="경영현황"/>
      <sheetName val="2.외공문"/>
      <sheetName val="DAT(목표)"/>
      <sheetName val="ML"/>
      <sheetName val="갑지"/>
      <sheetName val="출금실적"/>
      <sheetName val="인원계획"/>
      <sheetName val="노무비집계"/>
      <sheetName val="노무비월별"/>
      <sheetName val="full (2)"/>
      <sheetName val="소유주(원)"/>
      <sheetName val="효율계획(당월)"/>
      <sheetName val="전체실적"/>
      <sheetName val="협조전"/>
      <sheetName val="카메라-지분"/>
      <sheetName val="득점현황"/>
      <sheetName val="광주"/>
      <sheetName val="교육"/>
      <sheetName val="구로"/>
      <sheetName val="부품월별"/>
      <sheetName val="물류"/>
      <sheetName val="부마"/>
      <sheetName val="부판"/>
      <sheetName val="양산"/>
      <sheetName val="지원"/>
      <sheetName val="신1"/>
      <sheetName val="SPEC1"/>
      <sheetName val="현금경비중역"/>
      <sheetName val="GRACE"/>
      <sheetName val="712"/>
      <sheetName val="95MAKER"/>
      <sheetName val="PPV"/>
      <sheetName val="DATE"/>
      <sheetName val="주차(월별)"/>
      <sheetName val="SC(월별)"/>
      <sheetName val="05년판매계획"/>
      <sheetName val="05년선적계획"/>
      <sheetName val="PILOT품"/>
      <sheetName val="M96현황-동아"/>
      <sheetName val="총괄표"/>
      <sheetName val="1~3월 지시사항"/>
      <sheetName val="차종별"/>
      <sheetName val="계열사현황종합"/>
      <sheetName val="64164"/>
      <sheetName val=" BOOST TV"/>
      <sheetName val="2.____"/>
      <sheetName val="W-현원가"/>
      <sheetName val="24.냉각실용添1"/>
      <sheetName val="자산_종합"/>
      <sheetName val="08년"/>
      <sheetName val="Data"/>
      <sheetName val="M1master"/>
      <sheetName val="RHD"/>
      <sheetName val="A-100전제"/>
      <sheetName val="대외공문"/>
      <sheetName val="QtrComp"/>
      <sheetName val="전공장2"/>
      <sheetName val="DI-ESTI"/>
      <sheetName val="노임단가"/>
      <sheetName val="COVER"/>
      <sheetName val="울산시산표"/>
      <sheetName val="내역서을지"/>
      <sheetName val="BOOK4"/>
      <sheetName val="주행"/>
      <sheetName val="#1"/>
      <sheetName val="2.대왨공문"/>
      <sheetName val="수리결과"/>
      <sheetName val="PC%계산"/>
      <sheetName val="지출계획"/>
      <sheetName val="완성차"/>
      <sheetName val="MASTER"/>
      <sheetName val="지역-가마감"/>
      <sheetName val="TOEIC(최고)"/>
      <sheetName val="DBL LPG시험"/>
      <sheetName val="alc code"/>
      <sheetName val="진행 DATA (2)"/>
      <sheetName val="전체내역 (2)"/>
      <sheetName val="가동_x0002__x0000_"/>
      <sheetName val="CAUDIT"/>
      <sheetName val="업무분장"/>
      <sheetName val="7 (2)"/>
      <sheetName val="정비손익"/>
      <sheetName val="MAIN"/>
      <sheetName val="가동_x0002_?"/>
      <sheetName val="JANG_DOM"/>
      <sheetName val="SANTAMO"/>
      <sheetName val="CNC810M"/>
      <sheetName val="작성양식"/>
      <sheetName val="송전기본"/>
      <sheetName val="종합1"/>
      <sheetName val="공평3"/>
      <sheetName val="공평7"/>
      <sheetName val="첨부6)CAPA분석표"/>
      <sheetName val="PRESUPUESTO VENTAS"/>
      <sheetName val="_REF"/>
      <sheetName val="가동_x0002__"/>
      <sheetName val="총괄내역서"/>
      <sheetName val="월별손익"/>
      <sheetName val="5사남"/>
      <sheetName val="대공종"/>
      <sheetName val="TOT"/>
      <sheetName val="조건 (A)"/>
      <sheetName val="소상 &quot;1&quot;"/>
      <sheetName val="일위(PN)"/>
      <sheetName val="남양시작동자105노65기1.3화1.2"/>
      <sheetName val="파일2"/>
      <sheetName val="파일2 (2)"/>
      <sheetName val="파일2 (3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품의서"/>
      <sheetName val="#REF"/>
      <sheetName val="Macro1"/>
      <sheetName val="11"/>
      <sheetName val="BASE"/>
      <sheetName val="주행"/>
      <sheetName val="표지★"/>
      <sheetName val="MX628EX"/>
      <sheetName val="p2-1"/>
      <sheetName val="2.대외공문"/>
      <sheetName val="85872-82"/>
      <sheetName val="???"/>
      <sheetName val="_REF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Sheet1"/>
      <sheetName val="Sheet2"/>
      <sheetName val="Sheet3"/>
      <sheetName val="외주현황.wq1"/>
      <sheetName val="___"/>
      <sheetName val="문서처리전"/>
      <sheetName val="차수"/>
      <sheetName val="__仛"/>
      <sheetName val="__★"/>
      <sheetName val="2.____"/>
      <sheetName val="Production Plan1"/>
      <sheetName val="CAUDIT"/>
      <sheetName val="협조전"/>
      <sheetName val="Book1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R&amp;D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견적LIST"/>
      <sheetName val="투자계획서"/>
      <sheetName val="Sheet4"/>
      <sheetName val="Sheet5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ㅊ.ㅔㅁㅇ"/>
      <sheetName val="Sheet1_x0000_ˆŒ_x0000__x0004__x0000_ ǅ"/>
      <sheetName val="CD-실적"/>
      <sheetName val="¿ÜÁÖÇöÈ².wq1"/>
      <sheetName val="NBQA"/>
      <sheetName val="FR HR(A-LEA)"/>
      <sheetName val="FR HR(VINYL)"/>
      <sheetName val="PROTECTOR단가"/>
      <sheetName val="bleĤģ"/>
      <sheetName val="??"/>
      <sheetName val="LEASE4"/>
      <sheetName val="DATA"/>
      <sheetName val="MOTO"/>
      <sheetName val="UPH"/>
      <sheetName val="̃_x0000_"/>
      <sheetName val="수출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Sheet1?ˆŒ?_x0004_? ǅ"/>
      <sheetName val="_x0001_?_x0001_?_x0003_?_x0001_?Ô_x0001_?,?¦¦"/>
      <sheetName val="bleĤģ서식을 ĨĥħĦ?률?"/>
      <sheetName val=".mdb,_.htm,_.html,_.pub);웹 페이지("/>
      <sheetName val="bleĤģ서식을 ĨĥħĦ"/>
      <sheetName val="_x0001_"/>
      <sheetName val="Sheet1_x0000__x0000__x0004__x0000_ ǅ_x0000__x0001__x0000_&lt;BOOK1.XLS]Sh"/>
      <sheetName val="bleĤģ_x0000_서식을 Ĩĥ_x0000_ħĦ_x0000_률_x0000_며_x0000_을 변경īĪ_x0000_용_x0000_ĭĬ"/>
      <sheetName val="__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Sheet1_ˆŒ__x0004__ ǅ"/>
      <sheetName val="_x0001___x0001___x0003___x0001__Ô_x0001__,_¦¦"/>
      <sheetName val="bleĤģ서식을 ĨĥħĦ_률_"/>
      <sheetName val="수입"/>
      <sheetName val="A-A"/>
      <sheetName val="재료율"/>
      <sheetName val="작성양식"/>
      <sheetName val="2월"/>
      <sheetName val="계정"/>
      <sheetName val="현피1"/>
      <sheetName val="기타"/>
      <sheetName val="월별매출"/>
      <sheetName val="5.세운W-A"/>
      <sheetName val="100%개인별 (2)"/>
      <sheetName val="결재-1"/>
      <sheetName val="결재-2"/>
      <sheetName val="부전지"/>
      <sheetName val="내역(정지)"/>
      <sheetName val="C3"/>
      <sheetName val="#REF!"/>
      <sheetName val="국내조달(통합-1)"/>
      <sheetName val="교통대책내역"/>
      <sheetName val="_x005f_x0005__x005f_x0003__x005f_x0004_b"/>
      <sheetName val="_x005f_x0000_䅀㿠_x005f_x0000__x005f_x0000__x005f_x0000__"/>
      <sheetName val="Sheet1_x005f_x0000__x005f_x0000__x005f_x0000__x"/>
      <sheetName val="_x005f_x0000__x005f_x0001__x005f_x0000__x005f_x0001__x0"/>
      <sheetName val="_x005f_x001e_.&gt;N^n~®¾ÎÞî"/>
      <sheetName val="bleĤģ_x005f_x0000__x005f_x0000__x005f_x0000__x000"/>
      <sheetName val="Sheet1_x005f_x0000_ˆŒ_x005f_x0004__x005f_x0000_ ǅ"/>
      <sheetName val="_x005f_x001e_.&gt;N^n~Žž®¾ÎÞî"/>
      <sheetName val="bleĤģ서식을 ĨĥħĦ_x005f_x0000_률_x005f_x0000_며_x"/>
      <sheetName val="Sheet1_x005f_x0000_ˆŒ_x005f_x0000__x005f_x0004__x"/>
      <sheetName val="̃_x005f_x0000_"/>
      <sheetName val="?䅀㿠????_x005f_x0001_?????_x005f_x0001_t_x00"/>
      <sheetName val="Sheet1???_x005f_x0004_?????? ǅ?????"/>
      <sheetName val="?_x005f_x0001_?_x005f_x0001_?_x005f_x0003_?_x0001"/>
      <sheetName val="Sheet1?ˆŒ_x005f_x0004_? ǅ_x005f_x0001_?ˆ&lt;BO"/>
      <sheetName val="Sheet1?ˆŒ?_x005f_x0004_? ǅ"/>
      <sheetName val="_x005f_x0001_?_x005f_x0001_?_x005f_x0003_?_x005f_x0001_"/>
      <sheetName val="_x005f_x0001_"/>
      <sheetName val="Sheet1_x005f_x0000__x005f_x0000__x005f_x0004__x"/>
      <sheetName val="bleĤģ_x005f_x0000_서식을 Ĩĥ_x005f_x0000_ħĦ_x00"/>
      <sheetName val="_䅀㿠_____x005f_x0001_______x005f_x0001_t_x00"/>
      <sheetName val="Sheet1____x005f_x0004_______ ǅ_____"/>
      <sheetName val="__x005f_x0001___x005f_x0001___x005f_x0003___x0001"/>
      <sheetName val="Sheet1_ˆŒ_x005f_x0004__ ǅ_x005f_x0001__ˆ&lt;BO"/>
      <sheetName val="Sheet1_ˆŒ__x005f_x0004__ ǅ"/>
      <sheetName val="_x005f_x0001___x005f_x0001___x005f_x0003___x005f_x0001_"/>
      <sheetName val="_mdb___htm___html___pub_______2"/>
      <sheetName val="Sheet1________________________2"/>
      <sheetName val="______________________________2"/>
      <sheetName val="ble___________________________2"/>
      <sheetName val="Sheet1________________________3"/>
      <sheetName val="______________________________3"/>
      <sheetName val="ble___________________________3"/>
      <sheetName val="626TD(COLOR)"/>
      <sheetName val="CAMERA"/>
      <sheetName val="서식등록대장"/>
      <sheetName val=" 계산(&amp;E)                중지(&amp;A)  "/>
      <sheetName val="사용하십시오.인터넷 주소 '|'이(가) 잘못되었습니다. "/>
      <sheetName val="3"/>
      <sheetName val="1의 공정능력"/>
      <sheetName val="되게 합니다.선택한 WordArt 개체의 왼쪽에 텍스트를"/>
      <sheetName val="회색조 이미지로 변환합니다.선택한 그림을 흑백 이미지로 "/>
      <sheetName val="Sheet1 (2)"/>
      <sheetName val="Sheet1 (3)"/>
      <sheetName val="Sheet1_x0000_ˆŒ_x0004__x0000_ ǅ_x0001__x0000_ˆ&lt;BOOK1.XLS"/>
      <sheetName val="Sheet1_x0000_ˆŒ_x0004__x0000_ ǅ_x0001__x0000_ˆ&lt;BOOK1.XLS]Sh"/>
      <sheetName val="헤드불량내용"/>
      <sheetName val="크랑크불량내용"/>
      <sheetName val="1st Gear"/>
      <sheetName val="1st Gear (2)"/>
      <sheetName val="_x0000_p"/>
      <sheetName val="intro"/>
      <sheetName val="표시형식"/>
      <sheetName val="셀간 이동"/>
      <sheetName val="영역선택"/>
      <sheetName val="C"/>
      <sheetName val="bleĤģ서식을 ĨĥħĦ률며을 변경īĪ용ĭĬ 끌어 에서는"/>
      <sheetName val="T255 가격현황"/>
      <sheetName val="2-다-종합의견(1분기)"/>
      <sheetName val="채산"/>
      <sheetName val="omctl32.dll_x0000__x0000_Edit_x0000__x0000__x0018__x0000__x0000__x0000_$_x0000__x0018__x0000__x0018__x0000_ံ_x0000_"/>
      <sheetName val="제조관리"/>
      <sheetName val="ĞĀ_x0008_r_x0005__x0003__x0000_⇠藩떘뱬_x0000__x0000_̀耀¨_x0008__x0002_蒀_x0000_"/>
      <sheetName val="성과지표"/>
      <sheetName val="bleĤģ_x0000__x0000__x0000__x0000__x0000__x0000_서식을 Ĩĥ_x0000__x0000__x0000__x0000_ħĦ_x0000__x0000__x0000__x0000__x0001__x0000_뛸〉"/>
      <sheetName val="_x001e__x0002__x0000__x0000__x0000__x0000__x0000__x0000__x0000__x001d__x0000__x0000__x0000_&amp;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omctl32.dll_x0000_Edit_x0000__x0018__x0000_$_x0000__x0018__x0000__x0018__x0000_ံ6.0.2"/>
      <sheetName val="3D"/>
      <sheetName val="2D"/>
      <sheetName val="되게 합니다.셏택한 WordArt 개체의 왼쪽에 텍스트를"/>
      <sheetName val="직원신상"/>
      <sheetName val="납킈용기개발"/>
      <sheetName val="시작젨문제"/>
      <sheetName val="B)...文字方向(&amp;X)...项目符号和编号(&amp;N)...标"/>
      <sheetName val="-INR BUTN"/>
      <sheetName val="Book1.xls"/>
      <sheetName val="Summa"/>
      <sheetName val="_x0000__x0002__x0000_⁏ꗞ۴_x0000__x001a__x0000_ܐ_x0000_`_x0000__x0002__x0000_⹏─ݰ_x0000__x001a__x0000_ތ_x0000_`_x0000__x0002__x0000_Ꜵ빨߬_x0000_"/>
      <sheetName val="가공라인실적"/>
      <sheetName val="omctl32.dll"/>
      <sheetName val="실적"/>
      <sheetName val="기본계획"/>
      <sheetName val="변경안"/>
      <sheetName val="Documents and Settings\kihoon\M"/>
      <sheetName val="Ɛ_x0000__x0000_䳐믱_x0000__x0000__x0000__x0000__x0009__x000d_Ā_x0008__x0007__x0000__x0006__x0000_狜Ĝ쀤_x0000_"/>
      <sheetName val="Ɛ_x0000__x0000_䳐믱_x0000__x0000__x0000__x0000__x0009__x000d__x0000__x0008_ǀ믥힨믪ꇸ쀫_x0001_"/>
      <sheetName val="()    ()        )_x000d__x000a_            "/>
      <sheetName val="_x0001_¨_x0001__x0000__x0001__x0000__x0001__x0010__x0000_ր_x0001__x0000__x0002__x000d__x0000__x0001__x0000__x0000__x0000_⿰_x0001_⿰_x0001_耀_x0000__x0000__x0000__x0000__x0000__x0000__x0010_"/>
      <sheetName val="Sheet1_x0000__x0000_Œ_x0000__x0004__x0000__x0000__x0000__x0000__x0000__x0000_ ǅ_x0000__x0000__x0000__x0000__x0000__x0000__x0000__x0000__x0000__x0000__x0000_"/>
      <sheetName val="Sheet1_x0000_Œ_x0000__x0004__x0000_ ǅ_x0000__x0001__x0000_&lt;BOOK1.XLS]Sh"/>
      <sheetName val="ĞĀ_x0008_r_x0005__x0003_"/>
      <sheetName val="第26期基础题2-chrisfang.xls"/>
      <sheetName val="8월"/>
      <sheetName val="_x0002__x0000_⁏ꗞ۴_x001a__x0000_ܐ`_x0000__x0002__x0000_⹏─ݰ_x001a__x0000_ތ`_x0000__x0002__x0000_Ꜵ빨߬_x001e__x0000_ࠌd_x0000__x0002_"/>
      <sheetName val="TD쿠페-선재(6월~)"/>
      <sheetName val="OW_x000a_ROW.HEIGHT_x000b_FORMAT.MOVE_x000b_FORMA"/>
      <sheetName val="5_1_설비투螐변경이력"/>
      <sheetName val="NF+CM"/>
      <sheetName val="_x0000_=C:=C:\Documents and Settings\"/>
      <sheetName val="JANG_DOM"/>
      <sheetName val="TOTAL"/>
      <sheetName val="1_x0000__x0012_覨ǧ_x0000__x0000__x0000__x0000__x0000__x0000__x0000__x0000__x0000__x0000__x0000__x0000_裨ǧ_x000a__x0006__x000a__x000a_ဠ_x0000_01_x0000__x0001__x0000_0"/>
      <sheetName val="W-현원가"/>
      <sheetName val="J100"/>
      <sheetName val="MAIN"/>
      <sheetName val="BND"/>
      <sheetName val="ORIGIN"/>
      <sheetName val="FUEL FILLER"/>
      <sheetName val="Tbom-tot"/>
      <sheetName val="LIST"/>
      <sheetName val="EXP-COST"/>
      <sheetName val="MH_생산"/>
      <sheetName val="A-100전제"/>
      <sheetName val="시설투자"/>
      <sheetName val="팀별 합계"/>
      <sheetName val="PILOT APP."/>
      <sheetName val="BRAKE"/>
      <sheetName val="차체"/>
      <sheetName val="T진도"/>
      <sheetName val="J150 승인진도관리 LIST"/>
      <sheetName val="TOTAL LIST"/>
      <sheetName val="FTR MACRo"/>
      <sheetName val="지정공장"/>
      <sheetName val="서울정비"/>
      <sheetName val="전체실적"/>
      <sheetName val="효율계획(당월)"/>
      <sheetName val="Price Range"/>
      <sheetName val="판매대수"/>
      <sheetName val="PAKAGE4362"/>
      <sheetName val="목표재료비"/>
      <sheetName val="ket"/>
      <sheetName val="Documents and Settings_kihoon_M"/>
      <sheetName val="Ɛ"/>
      <sheetName val="_x0001_¨_x0001_"/>
      <sheetName val="_x0000__x001c_*8FTbp~¨¶Ä"/>
      <sheetName val="uments and Settings\원진산업 진천공장 1"/>
      <sheetName val="nd Settings\원진산업 진천공장 1\My Docu"/>
      <sheetName val="CPCـC_x0000__x0000__x0000__x0000__x0000__x0000__x0000__x0000__x0000__x0000__x0000__x0000__x0000__x0000__x0000__x0000__x0000__x0000__x0000__x0000__x0000__x0000__x0000__x0000__x0000__x0000_"/>
      <sheetName val="ts and Settings\MYHOME\바탕 화면_x0000_AL"/>
      <sheetName val="Commodity"/>
      <sheetName val="신뢰성(Ɬ登ᄨ夗"/>
      <sheetName val="=C:=C:\Documents and Settings\이"/>
      <sheetName val="1_x0000__x0012_覨ǧ裨ǧ_x000a__x0006__x000a__x000a_ဠ01_x0000__x0001__x0000_00_x0002__x0008__x0000_01_x000a__x000b_00_x000c__x0012__x0000_"/>
      <sheetName val="_x0001_¨_x0001__x0000__x0001__x0000__x0001__x0010__x0000_ր_x0001__x0000__x0002__x000d__x0001__x0000_⿰_x0001_⿰_x0001_耀_x0000__x0010_欇拶뫱_x0000_礸બ︀"/>
      <sheetName val="2010년판매계획(업체별)"/>
      <sheetName val="검사기준서"/>
      <sheetName val="차체부품 INS REPORT(갑)"/>
      <sheetName val="순위"/>
      <sheetName val="초도발주서"/>
      <sheetName val="업체명"/>
      <sheetName val="(주)와이디피05"/>
      <sheetName val="설비별유실시간분석"/>
      <sheetName val="동명재고"/>
      <sheetName val="기초"/>
      <sheetName val="매출(총액)"/>
      <sheetName val="판관비"/>
      <sheetName val="96PLAN"/>
      <sheetName val="검구사양서"/>
      <sheetName val="11월마감현황"/>
      <sheetName val="_x0000__x0000_矏_x0000__x0000__x0000__x0000__x0000__x0000__x0000__x0000_࿠벒_x0000__x0000__x0000__x0000_М_x000d__x0000__x0009_턈벒릨뱩К_x0002__x0000__x000c_턈"/>
      <sheetName val="원본"/>
      <sheetName val="본문"/>
      <sheetName val="_x0000__x0000__x0000_:_x0000__x0018__x0000__x0018__x0000_̀_x0000_6.0.2600.1891"/>
      <sheetName val="=C:=C:\Documents and Settings\U"/>
      <sheetName val="=C_=C__Documents and Settings_U"/>
      <sheetName val="Y7304 샵밴"/>
      <sheetName val="품의양"/>
      <sheetName val="조립계획"/>
      <sheetName val="동절기"/>
      <sheetName val="_x0000__x0000_矏_x0000__x0000__x0000__x0000__x0000__x0000__x0000__x0000_࿠벒_x0000__x0000__x0000__x0000_М_x000a__x0000__x0009_턈벒릨뱩К_x0002__x0000__x000c_턈"/>
      <sheetName val="검사성적서 (외관)"/>
      <sheetName val="금형개발_"/>
      <sheetName val="CH'K_P(A)"/>
      <sheetName val="CH'K_P(B)"/>
      <sheetName val="FMEA_W_S(HU)"/>
      <sheetName val="FMEA_W_S(S_W)"/>
      <sheetName val="부품특성2_"/>
      <sheetName val="_mdb,*_htm,*_html,*_pub);웹_페이지("/>
      <sheetName val="ㅊ_ㅔㅁㅇ"/>
      <sheetName val="차체부품_INS_REPORT(갑)"/>
      <sheetName val="계산DATA입력"/>
      <sheetName val="_x0000__x0009__x0000_¸"/>
      <sheetName val="Ɛ_x0000__x0000_䳐믱_x0000__x0000__x0000__x0000_ _x000d_Ā_x0008__x0007__x0000__x0006__x0000_狜Ĝ쀤_x0000_"/>
      <sheetName val="Ɛ_x0000__x0000_䳐믱_x0000__x0000__x0000__x0000_ _x000d__x0000__x0008_ǀ믥힨믪ꇸ쀫_x0001_"/>
      <sheetName val="_x0000__x0000_矏_x0000__x0000__x0000__x0000__x0000__x0000__x0000__x0000_࿠벒_x0000__x0000__x0000__x0000_М_x000d__x0000_ 턈벒릨뱩К_x0002__x0000__x000c_턈"/>
      <sheetName val="_x0000__x0000_矏_x0000__x0000__x0000__x0000__x0000__x0000__x0000__x0000_࿠벒_x0000__x0000__x0000__x0000_М_x000a__x0000_ 턈벒릨뱩К_x0002__x0000__x000c_턈"/>
      <sheetName val="_x0000_ _x0000_¸"/>
      <sheetName val="_x0000_䅀㿠_x0000__x0000__x0000__"/>
      <sheetName val="Sheet1_x0000__x0000__x0000__x"/>
      <sheetName val="_x0000__x0001__x0000__x0001__x0"/>
      <sheetName val="bleĤģ_x0000__x0000__x0000__x000"/>
      <sheetName val="bleĤģ서식을 ĨĥħĦ_x0000_률_x0000_며_x"/>
      <sheetName val="Sheet1_x0000_ˆŒ_x0000__x0004__x"/>
      <sheetName val="?䅀㿠????_x0001_?????_x0001_t_x00"/>
      <sheetName val="Sheet1???_x0004_?????? ǅ?????"/>
      <sheetName val="?_x0001_?_x0001_?_x0003_?_x0001"/>
      <sheetName val="Sheet1?ˆŒ_x0004_? ǅ_x0001_?ˆ&lt;BO"/>
      <sheetName val="bleĤģ_x0000_서식을 Ĩĥ_x0000_ħĦ_x00"/>
      <sheetName val="_䅀㿠_____x0001_______x0001_t_x00"/>
      <sheetName val="Sheet1____x0004_______ ǅ_____"/>
      <sheetName val="__x0001___x0001___x0003___x0001"/>
      <sheetName val="Sheet1_ˆŒ_x0004__ ǅ_x0001__ˆ&lt;B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 refreshError="1"/>
      <sheetData sheetId="266" refreshError="1"/>
      <sheetData sheetId="267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 refreshError="1"/>
      <sheetData sheetId="310" refreshError="1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Ⅱ-3관람루트"/>
      <sheetName val="외주현황.wq1"/>
      <sheetName val="Sheet1"/>
      <sheetName val="업무분장"/>
      <sheetName val="#REF"/>
      <sheetName val="수리결과"/>
      <sheetName val="2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부품별 작성 계획"/>
      <sheetName val="2. 전문부품"/>
      <sheetName val="작성양식"/>
      <sheetName val="Sheet1 (2)"/>
      <sheetName val="운영구도(案)"/>
      <sheetName val="2. 전문부품 (2)"/>
      <sheetName val="영업.일1"/>
      <sheetName val="수리결과"/>
      <sheetName val="업무분장"/>
      <sheetName val="#REF"/>
      <sheetName val="95MAKER"/>
      <sheetName val="외주현황.wq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외주현황.wq1"/>
      <sheetName val="p2-1"/>
      <sheetName val="Sheet1"/>
      <sheetName val="#REF"/>
      <sheetName val="항목(1)"/>
      <sheetName val="●현황"/>
      <sheetName val="●목차"/>
      <sheetName val="외주현황_wq1"/>
      <sheetName val="RD제품개발투자비(매가)"/>
      <sheetName val="W-현원가"/>
      <sheetName val="문서처리전"/>
      <sheetName val="2.대외공문"/>
      <sheetName val="ＳＳ別"/>
      <sheetName val="업무분장"/>
      <sheetName val="2월"/>
      <sheetName val="수리결과"/>
      <sheetName val="외주현황"/>
      <sheetName val="주행"/>
      <sheetName val="3월3일(루밍)"/>
      <sheetName val="항목별명세표1월"/>
      <sheetName val="견적서 2안 라스베가스 먼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리결과"/>
      <sheetName val="년종합"/>
      <sheetName val="10월 현황"/>
      <sheetName val="11월현황"/>
      <sheetName val="종합현황"/>
      <sheetName val="종합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major"/>
      <sheetName val="공식방문지"/>
      <sheetName val="H4A11"/>
      <sheetName val="외주현황.wq1"/>
      <sheetName val="p2-1"/>
      <sheetName val="JUM"/>
      <sheetName val="전부인쇄"/>
      <sheetName val="항목(1)"/>
      <sheetName val="TCA"/>
      <sheetName val="1월"/>
      <sheetName val="HISYEARSALE"/>
      <sheetName val="#REF"/>
      <sheetName val="업무계획1"/>
      <sheetName val="캐완일정표 "/>
      <sheetName val="MIJIBI"/>
      <sheetName val="득점현황"/>
      <sheetName val="내역서"/>
      <sheetName val="금액내역서"/>
      <sheetName val="石油類"/>
      <sheetName val="Data"/>
      <sheetName val="단가"/>
      <sheetName val="¼ö¸®°á°ú"/>
      <sheetName val="CAUDIT"/>
      <sheetName val="xxxxxx"/>
      <sheetName val="지점장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울산시산표"/>
      <sheetName val="TABLE DB"/>
      <sheetName val="쌍용 data base"/>
      <sheetName val="3"/>
      <sheetName val="수입"/>
      <sheetName val="소상 &quot;1&quot;"/>
      <sheetName val="업무분장"/>
      <sheetName val="2월"/>
      <sheetName val="주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1"/>
      <sheetName val="Sheet2"/>
      <sheetName val="Sheet3"/>
      <sheetName val="#REF"/>
      <sheetName val="COVER-P"/>
      <sheetName val="수리결과"/>
      <sheetName val="95MAKER"/>
      <sheetName val="계정"/>
      <sheetName val="p2-1"/>
      <sheetName val="외주현황.wq1"/>
      <sheetName val="INPUT"/>
      <sheetName val="견적990322"/>
      <sheetName val="갑지"/>
      <sheetName val="입찰안"/>
      <sheetName val="OUT"/>
      <sheetName val="일위(PN)"/>
      <sheetName val="업무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5.WIRE적용LIST"/>
      <sheetName val="항목(1)"/>
      <sheetName val="THEME CODE"/>
      <sheetName val="CR CODE"/>
      <sheetName val="부서CODE"/>
      <sheetName val="영업.일1"/>
      <sheetName val="갑지1"/>
      <sheetName val="공사명입력"/>
      <sheetName val="근로자자료입력"/>
      <sheetName val="참고자료"/>
      <sheetName val="01"/>
      <sheetName val="石油類"/>
      <sheetName val="임_x0002__x0000_蘠t_x0000__x0000__x0001_"/>
      <sheetName val="임_x0002_"/>
      <sheetName val="캐완일정표 "/>
      <sheetName val="major"/>
      <sheetName val="2.대외공문"/>
      <sheetName val="SG"/>
      <sheetName val="단면 (2)"/>
      <sheetName val="FORM-0"/>
      <sheetName val="분납 2"/>
      <sheetName val="SAM (2)"/>
      <sheetName val="날개벽수량표"/>
      <sheetName val="물가시세"/>
      <sheetName val="수입"/>
      <sheetName val="소개"/>
      <sheetName val="소상 &quot;1&quot;"/>
      <sheetName val="갑지(추정)"/>
      <sheetName val="업무계획1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조건 (A)"/>
      <sheetName val="DATE"/>
      <sheetName val="일괄인쇄"/>
      <sheetName val="CONCRETE"/>
      <sheetName val="임_x005f_x0002__x005f_x0000_蘠t_x005f_x0000__x005f_x0000_"/>
      <sheetName val="시험장S자로가로등공사"/>
      <sheetName val="대비표"/>
      <sheetName val="총괄표"/>
      <sheetName val="임_x005f_x005f_x005f_x0002__x005f_x005f_x005f_x0000_蘠t_x"/>
      <sheetName val="월별수입"/>
      <sheetName val="관람석제출"/>
      <sheetName val="을"/>
      <sheetName val="전체내역 (2)"/>
      <sheetName val="소화실적"/>
      <sheetName val="_REF"/>
      <sheetName val="[업무.XLS塅䕃⹌塅E9월"/>
      <sheetName val="일위대가"/>
      <sheetName val="차수"/>
      <sheetName val="세목별"/>
      <sheetName val="일위대가표"/>
      <sheetName val="차종별"/>
      <sheetName val="임_x005f_x005f_x005f_x005f_x005f_x005f_x005f_x0002__x005"/>
      <sheetName val="임_x005f_x0002_"/>
      <sheetName val="98지급계획"/>
      <sheetName val="임_x0002_?蘠t??_x0001_"/>
      <sheetName val="9"/>
      <sheetName val="10상"/>
      <sheetName val="DRUM"/>
      <sheetName val="예산대비"/>
      <sheetName val="_업무.XLS塅䕃⹌塅E9월"/>
      <sheetName val="임_x0002__蘠t___x0001_"/>
      <sheetName val="부하(성남)"/>
      <sheetName val="남양시작동010313100%"/>
      <sheetName val="SKETCH"/>
      <sheetName val="12월 기타"/>
      <sheetName val="금액내역서"/>
      <sheetName val="배수공"/>
      <sheetName val="간지"/>
      <sheetName val="3분기"/>
      <sheetName val="CAUDIT"/>
      <sheetName val="Ring"/>
      <sheetName val="매립"/>
      <sheetName val="제안서"/>
      <sheetName val="행정표준(1)"/>
      <sheetName val="행정표준(2)"/>
      <sheetName val="금융비용"/>
      <sheetName val="5.단면설계"/>
      <sheetName val="날개벽(시점좌측)"/>
      <sheetName val="설계조건"/>
      <sheetName val="도"/>
      <sheetName val="임_x005f_x005f_x005f_x005f_x005f_x005f_x005f_x005f_x005f"/>
      <sheetName val="임_x005f_x005f_x005f_x0002_"/>
      <sheetName val="임_x005f_x0002__蘠t___x005f_x0001_"/>
      <sheetName val="PE"/>
      <sheetName val="임_x005f_x0002__x005f_x0000_蘠t_x"/>
      <sheetName val="임_x005f_x005f_x005f_x0002__x005"/>
      <sheetName val="임_x005f_x005f_x005f_x005F_x005f"/>
      <sheetName val="참고"/>
      <sheetName val="임_x005f_x0002_?蘠t??_x005f_x0001_"/>
      <sheetName val="임_x005f_x0002__蘠t___x000_x0000__x0000_"/>
      <sheetName val="2월"/>
      <sheetName val="임_x0002__x0000_蘠t_x0000__x0000_"/>
      <sheetName val="M1master"/>
      <sheetName val="내역서"/>
      <sheetName val="96수출"/>
      <sheetName val="집계표"/>
      <sheetName val="간접비"/>
      <sheetName val="대비"/>
      <sheetName val="1공구"/>
      <sheetName val="2공구"/>
      <sheetName val="대공종"/>
      <sheetName val="시행내역서(1공구-참조)"/>
      <sheetName val="2014년 표준단가"/>
      <sheetName val="개시전표"/>
      <sheetName val="공사집계"/>
      <sheetName val="약품공급2"/>
      <sheetName val="2000년1차"/>
      <sheetName val="단가일람"/>
      <sheetName val="조경일람"/>
      <sheetName val="조명율표"/>
      <sheetName val="Variables"/>
      <sheetName val="부속동"/>
      <sheetName val="교각계산"/>
      <sheetName val="토목주소"/>
      <sheetName val="프랜트면허"/>
      <sheetName val="工완성공사율"/>
      <sheetName val="간이연락"/>
      <sheetName val="ARP2"/>
      <sheetName val="CHA REV"/>
      <sheetName val="GAMMA 1"/>
      <sheetName val="FJK 0"/>
      <sheetName val="임_x005f_x0002__蘠t___x0001"/>
      <sheetName val="STAND20"/>
      <sheetName val="PE-KR"/>
      <sheetName val="HISYEARSALE"/>
      <sheetName val="김창균"/>
      <sheetName val="유림골조"/>
      <sheetName val="DESIGN"/>
      <sheetName val="출입구총집계"/>
      <sheetName val="임_x0002__x0000_蘠t_x"/>
      <sheetName val="임_x005f_x0002__x005"/>
      <sheetName val="카렌스센터계량기설치공사"/>
      <sheetName val="_R_x0000__x0000_"/>
      <sheetName val="방음벽기초"/>
      <sheetName val="임_x005f_x005f_x005f_x005f_x005f_x005f_x005f_x0002_"/>
      <sheetName val="임_x005f_x005f_x005f_x0002__蘠t___x005f_x005f_x0001"/>
      <sheetName val="무전표"/>
      <sheetName val="TEST1"/>
      <sheetName val="II손익관리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출퇴근"/>
      <sheetName val="코드정보"/>
      <sheetName val="임_x005f_x0002_?蘠t??_x0栀ṋ㠀"/>
      <sheetName val="임_x005f_x0002_?蘠t??_x0栀ṋ렀̣"/>
      <sheetName val="day"/>
      <sheetName val="Varia_x0000__x0000__x0005__x0000_"/>
      <sheetName val="Varia"/>
      <sheetName val="1.설계조건"/>
      <sheetName val="임_x005f_x0002_?蘠t??_x0럷⩦0_x0000_"/>
      <sheetName val="환율"/>
      <sheetName val="외자배분"/>
      <sheetName val="외자내역"/>
      <sheetName val="부하계산서"/>
      <sheetName val="9GNG운반"/>
      <sheetName val="포장절단"/>
      <sheetName val="__"/>
      <sheetName val="매크로"/>
      <sheetName val="조직도_(6)3"/>
      <sheetName val="경비통장_잔액1월3"/>
      <sheetName val="환전표_1월3"/>
      <sheetName val="경리보고서_1월3"/>
      <sheetName val="일반경비_1월3"/>
      <sheetName val="투자예산_1월3"/>
      <sheetName val="임차보증금_1월3"/>
      <sheetName val="경비통장_잔액2월3"/>
      <sheetName val="환전표_2월3"/>
      <sheetName val="경리보고서__2월3"/>
      <sheetName val="일반경비_2월3"/>
      <sheetName val="투자예산_2월3"/>
      <sheetName val="임차보증금_2월3"/>
      <sheetName val="경비통장_잔액3월3"/>
      <sheetName val="환전표_3월3"/>
      <sheetName val="경리보고서__3월3"/>
      <sheetName val="일반경비_3월3"/>
      <sheetName val="투자예산_3월3"/>
      <sheetName val="임차보증금_3월3"/>
      <sheetName val="경비통장_잔액4월3"/>
      <sheetName val="환전표_4월3"/>
      <sheetName val="경리보고서_4월3"/>
      <sheetName val="일반경비_4월3"/>
      <sheetName val="투자예산_4월3"/>
      <sheetName val="임차보증금_4월3"/>
      <sheetName val="환전표_5월3"/>
      <sheetName val="경비통장_잔액5월3"/>
      <sheetName val="경리보고서__5월3"/>
      <sheetName val="일반경비_5월3"/>
      <sheetName val="투자예산_5월3"/>
      <sheetName val="임차보증금_5월3"/>
      <sheetName val="경비통장_잔액6월3"/>
      <sheetName val="환전표_6월3"/>
      <sheetName val="경리보고서__6월3"/>
      <sheetName val="일반경비_6월3"/>
      <sheetName val="투자예산_6월3"/>
      <sheetName val="임차보증금_6월3"/>
      <sheetName val="경비통장_잔액7월3"/>
      <sheetName val="환전표_7월3"/>
      <sheetName val="경리보고서__7월3"/>
      <sheetName val="일반경비_7월3"/>
      <sheetName val="투자예산_7월3"/>
      <sheetName val="임차보증금_7월3"/>
      <sheetName val="환전표_8월3"/>
      <sheetName val="경비통장_잔액8월3"/>
      <sheetName val="경리보고서__8월3"/>
      <sheetName val="일반경비_8월3"/>
      <sheetName val="투자예산_8월3"/>
      <sheetName val="임차보증금_8월3"/>
      <sheetName val="환전표_9월3"/>
      <sheetName val="경리보고서__9월3"/>
      <sheetName val="일반경비_9월3"/>
      <sheetName val="투자예산_9월3"/>
      <sheetName val="임차보증금_9월3"/>
      <sheetName val="환전표_10월3"/>
      <sheetName val="경리보고서_10월3"/>
      <sheetName val="일반경비_10월3"/>
      <sheetName val="투자예산_10월3"/>
      <sheetName val="임차보증금_10월3"/>
      <sheetName val="환전표_11월3"/>
      <sheetName val="경리보고서_11월3"/>
      <sheetName val="일반경비_11월3"/>
      <sheetName val="투자예산_11월3"/>
      <sheetName val="임차보증금_11월3"/>
      <sheetName val="경리보고서_11월-23"/>
      <sheetName val="환전표_12월3"/>
      <sheetName val="경리보고서_12월3"/>
      <sheetName val="일반경비_12월3"/>
      <sheetName val="투자예산_12월3"/>
      <sheetName val="임차보증금_12월3"/>
      <sheetName val="경리보고서_12월-23"/>
      <sheetName val="환전표_12월_(2)3"/>
      <sheetName val="본사송금내역12월_(2)3"/>
      <sheetName val="잔액_(2)3"/>
      <sheetName val="경리보고서_12월_(2)3"/>
      <sheetName val="항목별명세표12월_(2)3"/>
      <sheetName val="외주현황_wq12"/>
      <sheetName val="5_WIRE적용LIST"/>
      <sheetName val="영업_일12"/>
      <sheetName val="분납_2"/>
      <sheetName val="SAM_(2)"/>
      <sheetName val="2_대외공문"/>
      <sheetName val="THEME_CODE"/>
      <sheetName val="CR_CODE"/>
      <sheetName val="[업무_XLS塅䕃⹌塅E9월"/>
      <sheetName val="단면_(2)"/>
      <sheetName val="소상_&quot;1&quot;"/>
      <sheetName val="조건_(A)"/>
      <sheetName val="전체내역_(2)"/>
      <sheetName val="임"/>
      <sheetName val="12월_기타"/>
      <sheetName val="5_단면설계"/>
      <sheetName val="_업무_XLS塅䕃⹌塅E9월"/>
      <sheetName val="2014년_표준단가"/>
      <sheetName val="요약표"/>
      <sheetName val="2. 사업장명 및 TO입력"/>
      <sheetName val="근태표"/>
      <sheetName val="7.조리원수당입력"/>
      <sheetName val="Macro1"/>
      <sheetName val="(드롭다운)"/>
      <sheetName val="FAB별"/>
      <sheetName val="구조물철거타공정이월"/>
      <sheetName val="신우"/>
      <sheetName val="기성집계"/>
      <sheetName val="입출재고현황 (2)"/>
      <sheetName val="내역대비표(코크스)"/>
      <sheetName val="변경내역(코크스)"/>
      <sheetName val="location"/>
      <sheetName val="2"/>
      <sheetName val="RD제품개발투자비(매가)"/>
      <sheetName val="1.설계기준"/>
      <sheetName val="원가계산서"/>
      <sheetName val="인사자료총집계"/>
      <sheetName val="설계내역서"/>
      <sheetName val="IRPJ"/>
      <sheetName val="CSLL"/>
      <sheetName val="DRE"/>
      <sheetName val="Variação cambial-USD"/>
      <sheetName val="IRRF CDB"/>
      <sheetName val="Despesas Indedutiveis"/>
      <sheetName val="Lalur 1.0007 -Derivativos"/>
      <sheetName val="Thin Capital-Juros"/>
      <sheetName val="손익"/>
      <sheetName val="18"/>
      <sheetName val="DATA2000"/>
      <sheetName val="기준표"/>
      <sheetName val="Development"/>
      <sheetName val="인자"/>
      <sheetName val="_업무.XLS塅y_x0000_Ԁ_x0000_䀀᚝"/>
      <sheetName val="_업무.XLS塅y_x0000_က묓렂鸗"/>
      <sheetName val="_업무.XLS塅y_x0000_ကἓ렃ȗ"/>
      <sheetName val="Drop-Down"/>
      <sheetName val="Location code"/>
      <sheetName val="lists"/>
      <sheetName val="Notes"/>
      <sheetName val="980710"/>
      <sheetName val="KEY"/>
      <sheetName val="_업무.XLS塅䕃⹌塅_x0000__x0000_愘"/>
      <sheetName val="_업무.XLS塅䕃⹌塅_x0000__x0000_墈"/>
      <sheetName val="성과급조정"/>
      <sheetName val="106C0300"/>
      <sheetName val="임_x005f_x005f_x005f_x005f_x005f_x005f_x줄彥0_x0000_栀b_x0000__x0000_栀䜈"/>
      <sheetName val="임_x005f_x0002__蘠t___x00_x0000__x0000__x0005_"/>
      <sheetName val="_업무.XLS塅䕃⹌塅_x0000__x0000_ǌ"/>
      <sheetName val="인부신상자료"/>
      <sheetName val="임_x005f_x005F_x005f"/>
      <sheetName val="임_x005f_x0002__蘠t___x005f_x005f_x0001"/>
      <sheetName val="95년12월말"/>
      <sheetName val="p.m 별"/>
      <sheetName val="_업무.XLS塅y"/>
      <sheetName val="임_x005f_x005f_x005f_x005f_x005f_x005f_x줄彥0"/>
      <sheetName val="_업무.XLS塅䕃⹌塅"/>
      <sheetName val="임_x005f_x0002__蘠t___x00"/>
      <sheetName val="임_x005f_x005f_x005f_x005F_x005f_x0002__x005"/>
      <sheetName val="임_x005f_x005f_x005f_x005F_x005f_x005f_x005f"/>
    </sheetNames>
    <definedNames>
      <definedName name="_xlbgnm.KDX3" sheetId="218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/>
      <sheetData sheetId="678"/>
      <sheetData sheetId="679" refreshError="1"/>
      <sheetData sheetId="680" refreshError="1"/>
      <sheetData sheetId="681"/>
      <sheetData sheetId="682"/>
      <sheetData sheetId="683" refreshError="1"/>
      <sheetData sheetId="684" refreshError="1"/>
      <sheetData sheetId="685" refreshError="1"/>
      <sheetData sheetId="68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월"/>
      <sheetName val="ML"/>
      <sheetName val="카메라-지분"/>
      <sheetName val="2.대외공문"/>
      <sheetName val="전산품의"/>
      <sheetName val="CSTANA"/>
      <sheetName val="작성양식"/>
      <sheetName val="문서처리전"/>
      <sheetName val="2_대외공문"/>
      <sheetName val="분석mast"/>
      <sheetName val="업무분장"/>
      <sheetName val="DATE"/>
      <sheetName val="일괄인쇄"/>
      <sheetName val="주행"/>
      <sheetName val="테크론"/>
      <sheetName val="수리결과"/>
      <sheetName val="#REF"/>
      <sheetName val="시상-개별자동차실적data-8월실적"/>
      <sheetName val="2_대외공문1"/>
      <sheetName val="A"/>
      <sheetName val="2_대외공문2"/>
      <sheetName val="외주현황.wq1"/>
      <sheetName val="2_대외공문3"/>
      <sheetName val="자체실적Y"/>
      <sheetName val=" 1705 시애틀록키 7일 견적서 (0322).xlsx"/>
      <sheetName val="A__LJH_97________LJH__________2"/>
      <sheetName val="감독1130"/>
      <sheetName val="b76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주행"/>
      <sheetName val="항목(1)"/>
      <sheetName val="3.3검토국"/>
      <sheetName val="A321"/>
      <sheetName val="B737"/>
      <sheetName val="B767"/>
      <sheetName val="Calendar"/>
      <sheetName val="#REF"/>
      <sheetName val="2.대외공문"/>
      <sheetName val="완상"/>
      <sheetName val="p2-1"/>
      <sheetName val="engline"/>
      <sheetName val="전산품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石油類"/>
      <sheetName val="南九州燃料"/>
      <sheetName val="ＬＰガス"/>
      <sheetName val="単価設定"/>
      <sheetName val="単価"/>
      <sheetName val="외주현황.wq1"/>
      <sheetName val="수리결과"/>
      <sheetName val="2월"/>
      <sheetName val="주행"/>
      <sheetName val="品目別事業計画"/>
      <sheetName val="캐완일정표 "/>
      <sheetName val="major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ＳＳ別"/>
      <sheetName val="ＳＳ別 (2)"/>
      <sheetName val="Module3"/>
      <sheetName val="Sheet1"/>
      <sheetName val="업무분장"/>
      <sheetName val="캐완일정표 "/>
      <sheetName val="수리결과"/>
      <sheetName val="石油類"/>
      <sheetName val="95MAKER"/>
      <sheetName val="maj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  <sheetName val="ASIA"/>
      <sheetName val="상용"/>
      <sheetName val="대우"/>
      <sheetName val="p1"/>
      <sheetName val="진동개선"/>
      <sheetName val="Sheet1"/>
      <sheetName val="주행"/>
      <sheetName val="항목(1)"/>
      <sheetName val="DWPM"/>
      <sheetName val="차수"/>
      <sheetName val="ＳＳ別"/>
      <sheetName val="MA주행"/>
      <sheetName val="업무분장"/>
      <sheetName val="p2_1"/>
      <sheetName val="냉각실용添1"/>
      <sheetName val="유지류添1"/>
      <sheetName val="캐완일정표 "/>
      <sheetName val="수리결과"/>
      <sheetName val="major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서"/>
      <sheetName val="일정표"/>
      <sheetName val="세부"/>
      <sheetName val="#REF"/>
      <sheetName val="p2-1"/>
      <sheetName val="항목(1)"/>
      <sheetName val="ＳＳ別"/>
      <sheetName val="Sheet1"/>
      <sheetName val="업무분장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역량분석"/>
      <sheetName val="Sheet1"/>
      <sheetName val="Sheet2"/>
      <sheetName val="Sheet3"/>
      <sheetName val="작성양식"/>
      <sheetName val="2.대외공문"/>
      <sheetName val="업무분장"/>
      <sheetName val="95MAKER"/>
      <sheetName val="수리결과"/>
      <sheetName val="외주현황.wq1"/>
      <sheetName val="p2-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4"/>
      <sheetName val="년종합"/>
      <sheetName val="월별추세"/>
      <sheetName val="종합추세"/>
      <sheetName val="수리유형"/>
      <sheetName val="항목별추세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업무분장"/>
      <sheetName val="작성양식"/>
      <sheetName val="95MAKER"/>
      <sheetName val="외주현황.wq1"/>
      <sheetName val="p2-1"/>
      <sheetName val="ＳＳ別"/>
      <sheetName val="Sheet1"/>
      <sheetName val="캐완일정표 "/>
      <sheetName val="수리결과"/>
      <sheetName val="major"/>
      <sheetName val="石油類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명단 (2)"/>
      <sheetName val="Sheet1"/>
      <sheetName val="Sheet2"/>
      <sheetName val="Sheet3"/>
      <sheetName val="재료율"/>
      <sheetName val="항목(1)"/>
      <sheetName val="전산품의"/>
      <sheetName val="2.대외공문"/>
      <sheetName val="작성양식"/>
      <sheetName val="95MAKER"/>
      <sheetName val="외주현황.wq1"/>
      <sheetName val="p2-1"/>
      <sheetName val="ＳＳ別"/>
      <sheetName val="업무분장"/>
      <sheetName val="캐완일정표 "/>
      <sheetName val="수리결과"/>
      <sheetName val="maj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부추진"/>
      <sheetName val="#REF"/>
      <sheetName val="전산품의"/>
      <sheetName val="작성양식"/>
      <sheetName val="재료율"/>
      <sheetName val="상용보강"/>
      <sheetName val="2.대외공문"/>
      <sheetName val="#BAŞV"/>
      <sheetName val="95MAKER"/>
      <sheetName val="외주현황.wq1"/>
      <sheetName val="p2-1"/>
      <sheetName val="ＳＳ別"/>
      <sheetName val="Sheet1"/>
      <sheetName val="업무분장"/>
      <sheetName val="캐완일정표 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총괄"/>
      <sheetName val="선경업종"/>
      <sheetName val="유형자산"/>
      <sheetName val="선경개요"/>
      <sheetName val="3.3검토국"/>
      <sheetName val="주행"/>
      <sheetName val="ML"/>
      <sheetName val="전산품의"/>
      <sheetName val="engline"/>
      <sheetName val="2월"/>
      <sheetName val="재료율"/>
      <sheetName val="2.대외공문"/>
      <sheetName val="작성양식"/>
      <sheetName val="95MAKER"/>
      <sheetName val="외주현황.wq1"/>
      <sheetName val="p2-1"/>
      <sheetName val="ＳＳ別"/>
      <sheetName val="Sheet1"/>
      <sheetName val="업무분장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입력DATA"/>
      <sheetName val="전체만족도"/>
      <sheetName val="선보고"/>
      <sheetName val="조사결과집계"/>
      <sheetName val="조사결과집계2"/>
      <sheetName val="조사결과집계3"/>
      <sheetName val="사업소별만족도"/>
      <sheetName val="수리결과"/>
      <sheetName val="#REF"/>
      <sheetName val="2.대외공문"/>
      <sheetName val="선경개요"/>
      <sheetName val="2월"/>
      <sheetName val="정비만족도조사DATA(9908)"/>
      <sheetName val="95MAKER"/>
      <sheetName val="ML"/>
      <sheetName val="3.3검토국"/>
      <sheetName val="주행"/>
      <sheetName val="전산품의"/>
      <sheetName val="재료율"/>
      <sheetName val="작성양식"/>
      <sheetName val="외주현황.wq1"/>
      <sheetName val="p2-1"/>
      <sheetName val="ＳＳ別"/>
      <sheetName val="A321"/>
      <sheetName val="B737"/>
      <sheetName val="B767"/>
      <sheetName val="Calendar"/>
      <sheetName val="H-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부별팀별9911"/>
      <sheetName val="2.대외공문"/>
      <sheetName val="선경개요"/>
      <sheetName val="첨부"/>
      <sheetName val="3.3검토국"/>
      <sheetName val="전산품의"/>
      <sheetName val="#REF"/>
      <sheetName val="재료율"/>
      <sheetName val="작성양식"/>
      <sheetName val="95MAKER"/>
      <sheetName val="외주현황.wq1"/>
      <sheetName val="p2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SXL50"/>
      <sheetName val="Sheet1"/>
      <sheetName val="Sheet2"/>
      <sheetName val="Sheet3"/>
      <sheetName val="000000"/>
      <sheetName val="표지"/>
      <sheetName val="변경사항"/>
      <sheetName val="설비사양서甲"/>
      <sheetName val="설비사양서乙"/>
      <sheetName val="FLOW"/>
      <sheetName val="MCP"/>
      <sheetName val="UNIT계획서乙"/>
      <sheetName val="UNIT계획서乙 (2)"/>
      <sheetName val="UNIT계획서乙 (3)"/>
      <sheetName val="UNIT계획서乙A01 (3)"/>
      <sheetName val="아이콘"/>
      <sheetName val="Declares"/>
      <sheetName val="Main"/>
      <sheetName val="Menus and Toolbars"/>
      <sheetName val="DDE Stuff"/>
      <sheetName val="Functions"/>
      <sheetName val="Dialogs Sub"/>
      <sheetName val="Dialogs Data"/>
      <sheetName val="PrintDialog"/>
      <sheetName val="FilterDlgBox"/>
      <sheetName val="so-021"/>
      <sheetName val="Sheet4"/>
      <sheetName val="Sheet5"/>
      <sheetName val="xxxxxx"/>
      <sheetName val="장비발생보고서"/>
      <sheetName val="장비검수"/>
      <sheetName val="검수-을"/>
      <sheetName val="시운전"/>
      <sheetName val="SHEET"/>
      <sheetName val="TCA"/>
      <sheetName val="HP1AMLIST"/>
      <sheetName val="문서처리전"/>
      <sheetName val="본부별팀별9911"/>
      <sheetName val="소상 &quot;1&quot;"/>
      <sheetName val="2.대외공문"/>
      <sheetName val="TRIM-Y3"/>
      <sheetName val="#REF"/>
      <sheetName val="#142-1-갑"/>
      <sheetName val="M-MG1"/>
      <sheetName val="XGPROD"/>
      <sheetName val="3.3검토국"/>
      <sheetName val="2월"/>
      <sheetName val="봹뭫딈?"/>
      <sheetName val="전산품의"/>
      <sheetName val="재료율"/>
      <sheetName val="작성양식"/>
      <sheetName val="95MAKER"/>
      <sheetName val="외주현황.wq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9705"/>
      <sheetName val="9710"/>
      <sheetName val="engline"/>
      <sheetName val="OPT손익 내수"/>
      <sheetName val="OPT손익 수출"/>
      <sheetName val="지사"/>
      <sheetName val="INVOICE"/>
      <sheetName val="Sheet1"/>
      <sheetName val="봹뭫딈?"/>
      <sheetName val="봹뭫딈_"/>
      <sheetName val="08년 산정_전체"/>
      <sheetName val="자체실적1Q"/>
      <sheetName val="2.대외공문"/>
      <sheetName val="직원신상"/>
      <sheetName val="구동"/>
      <sheetName val="대외공문"/>
      <sheetName val="전문품의"/>
      <sheetName val="#REF"/>
      <sheetName val="내수1.8GL"/>
      <sheetName val="업무분장"/>
      <sheetName val="테크론"/>
      <sheetName val="외주현황.wq1"/>
      <sheetName val="OPT손익_내수"/>
      <sheetName val="08년_산정_전체"/>
      <sheetName val="OPT손익_수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.대외공문"/>
      <sheetName val="1.기안지"/>
      <sheetName val="1.기안을지"/>
      <sheetName val="2.대"/>
      <sheetName val="1.기"/>
      <sheetName val="산출기준(파견전산실)"/>
      <sheetName val="TOT"/>
      <sheetName val="DATE"/>
      <sheetName val="일괄인쇄"/>
      <sheetName val="HP1AMLIST"/>
      <sheetName val="본부별팀별9911"/>
      <sheetName val="차수"/>
      <sheetName val="2월"/>
      <sheetName val="봹뭫딈?"/>
      <sheetName val="3.3검토국"/>
      <sheetName val="전산품의"/>
      <sheetName val="재료율"/>
      <sheetName val="작성양식"/>
      <sheetName val="95MAKE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견적서"/>
      <sheetName val="일정표"/>
      <sheetName val="Image"/>
      <sheetName val="data"/>
      <sheetName val="업무분장"/>
      <sheetName val="9710"/>
      <sheetName val="9705"/>
      <sheetName val="2월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대외공문"/>
      <sheetName val="일괄인쇄"/>
      <sheetName val="DATE"/>
      <sheetName val="2.대외공문"/>
      <sheetName val="TOT"/>
      <sheetName val="#REF"/>
      <sheetName val="전산품의"/>
      <sheetName val="자체실적1Q"/>
      <sheetName val="HP1AMLIST"/>
      <sheetName val="본부별팀별9911"/>
      <sheetName val="2월"/>
      <sheetName val="봹뭫딈?"/>
      <sheetName val="3.3검토국"/>
      <sheetName val="재료율"/>
      <sheetName val="작성양식"/>
      <sheetName val="전문품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.대외공문"/>
      <sheetName val="TOT"/>
      <sheetName val="DATE"/>
      <sheetName val="일괄인쇄"/>
      <sheetName val="B767"/>
      <sheetName val="HP1AMLIST"/>
      <sheetName val="본부별팀별9911"/>
      <sheetName val="2월"/>
      <sheetName val="봹뭫딈?"/>
      <sheetName val="3.3검토국"/>
      <sheetName val="전산품의"/>
      <sheetName val="재료율"/>
      <sheetName val="차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부별9911"/>
      <sheetName val="본부별9911앞장"/>
      <sheetName val="사업부별9911"/>
      <sheetName val="본부별팀별9911"/>
      <sheetName val="포상계좌11월"/>
      <sheetName val="BEST&amp;WORST"/>
      <sheetName val="분석mast"/>
      <sheetName val="2월"/>
      <sheetName val="2.대외공문"/>
      <sheetName val="일괄인쇄"/>
      <sheetName val="DATE"/>
      <sheetName val="TOT"/>
      <sheetName val="HP1AMLIST"/>
      <sheetName val="봹뭫딈?"/>
      <sheetName val="3.3검토국"/>
      <sheetName val="전산품의"/>
      <sheetName val="재료율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신차종"/>
      <sheetName val="신제품관련투자"/>
      <sheetName val="부서코드"/>
      <sheetName val="투자계정"/>
      <sheetName val="수량,화폐단위,보완투자유형"/>
      <sheetName val="#REF"/>
      <sheetName val="본부별팀별9911"/>
      <sheetName val="2.대외공문"/>
      <sheetName val="분석mast"/>
      <sheetName val="차수"/>
      <sheetName val="DATE"/>
      <sheetName val="일괄인쇄"/>
      <sheetName val="TOT"/>
      <sheetName val="HP1AMLIST"/>
      <sheetName val="2월"/>
      <sheetName val="봹뭫딈?"/>
      <sheetName val="3.3검토국"/>
      <sheetName val="전산품의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봹뭫딈?"/>
      <sheetName val="계약예상고객"/>
      <sheetName val="Budget"/>
      <sheetName val="WSM"/>
      <sheetName val="본부별팀별9911"/>
      <sheetName val="봹뭫딈_"/>
      <sheetName val="분석mast"/>
      <sheetName val="릐덒봹뭫똶됪A"/>
      <sheetName val="2월"/>
      <sheetName val="2.대외공문"/>
      <sheetName val="DATE"/>
      <sheetName val="일괄인쇄"/>
      <sheetName val="TOT"/>
      <sheetName val="HP1AMLIST"/>
      <sheetName val="3.3검토국"/>
      <sheetName val="업무분장"/>
      <sheetName val="Sheet1"/>
      <sheetName val="9710"/>
      <sheetName val="9705"/>
      <sheetName val="data"/>
      <sheetName val="카메라-지분"/>
      <sheetName val="INVOICE"/>
      <sheetName val="ITINERARY"/>
      <sheetName val="2_대외공문"/>
      <sheetName val="3_3검토국"/>
      <sheetName val="수리결과"/>
      <sheetName val="조선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oom"/>
      <sheetName val="인솔자"/>
      <sheetName val="COVER"/>
      <sheetName val="정산서"/>
      <sheetName val="지급요청"/>
      <sheetName val="HTL CFRM"/>
      <sheetName val="한글 일정표"/>
      <sheetName val="htl infm"/>
      <sheetName val="NETWORK"/>
      <sheetName val="LDC ITY"/>
      <sheetName val="INVOICE"/>
      <sheetName val="명단"/>
      <sheetName val="JUNG 예약"/>
      <sheetName val="일정"/>
      <sheetName val="2월"/>
      <sheetName val="봹뭫딈?"/>
      <sheetName val="HP1AMLIST"/>
      <sheetName val="본부별팀별9911"/>
      <sheetName val="지사"/>
      <sheetName val="종목코드"/>
      <sheetName val="HTL_CFRM"/>
      <sheetName val="한글_일정표"/>
      <sheetName val="htl_infm"/>
      <sheetName val="LDC_ITY"/>
      <sheetName val="JUNG_예약"/>
      <sheetName val="BCN"/>
      <sheetName val="5.세운W-A"/>
      <sheetName val="ML"/>
      <sheetName val="9710"/>
      <sheetName val="9705"/>
      <sheetName val="ITINERARY"/>
      <sheetName val="주소(한문)"/>
      <sheetName val="CVT산정"/>
      <sheetName val="분석mast"/>
      <sheetName val="3.3검토국"/>
      <sheetName val="전산품의"/>
      <sheetName val="재료율"/>
      <sheetName val="2.대외공문"/>
      <sheetName val="작성양식"/>
      <sheetName val="95MAKER"/>
      <sheetName val="외주현황.wq1"/>
      <sheetName val="p2-1"/>
      <sheetName val="B767"/>
      <sheetName val="A321"/>
      <sheetName val="B737"/>
      <sheetName val="Calendar"/>
      <sheetName val="업무분장"/>
      <sheetName val="Performance Rate"/>
      <sheetName val="계열사현황종합"/>
      <sheetName val="95하U$가격"/>
      <sheetName val="시설업체주소록"/>
      <sheetName val="DATE"/>
      <sheetName val="일괄인쇄"/>
      <sheetName val="HTL_CFRM1"/>
      <sheetName val="한글_일정표1"/>
      <sheetName val="htl_infm1"/>
      <sheetName val="LDC_ITY1"/>
      <sheetName val="JUNG_예약1"/>
      <sheetName val="5_세운W-A"/>
      <sheetName val="3_3검토국"/>
      <sheetName val="2_대외공문"/>
      <sheetName val="외주현황_wq1"/>
      <sheetName val="Performance_Rate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T손익 내수"/>
      <sheetName val="OPT손익 수출"/>
      <sheetName val="표지"/>
      <sheetName val="LZ RR BUSH"/>
      <sheetName val="1.개선이력"/>
      <sheetName val="2-1.현상"/>
      <sheetName val="RO분석"/>
      <sheetName val="지사"/>
      <sheetName val="2.대외공문"/>
      <sheetName val="T진도"/>
      <sheetName val="내수1.8GL"/>
      <sheetName val="분석mast"/>
      <sheetName val="종목코드"/>
      <sheetName val="ppcarpet"/>
      <sheetName val="품의서"/>
      <sheetName val="#REF"/>
      <sheetName val="2차-PROTO-(1)"/>
      <sheetName val="Book1"/>
      <sheetName val="INDIA-ML"/>
      <sheetName val="존4"/>
      <sheetName val="Sheet1"/>
      <sheetName val="원단위 1계 2계"/>
      <sheetName val="Tiburon"/>
      <sheetName val="BAL(이력관리)"/>
      <sheetName val="신고서.전"/>
      <sheetName val="전체현황"/>
      <sheetName val="검사성적서(갑)"/>
      <sheetName val="정산내역"/>
      <sheetName val="직원신상"/>
      <sheetName val="입력laser"/>
      <sheetName val="계산정보"/>
      <sheetName val="Sheet5"/>
      <sheetName val="Sheet6 (3)"/>
      <sheetName val="ML"/>
      <sheetName val="major"/>
      <sheetName val="CVT산정"/>
      <sheetName val="매도안"/>
      <sheetName val="ss"/>
      <sheetName val="인원부하"/>
      <sheetName val="CAUDIT"/>
      <sheetName val="64164"/>
      <sheetName val="해외생산"/>
      <sheetName val="94B"/>
      <sheetName val="PC%계산"/>
      <sheetName val="0 절삭조건"/>
      <sheetName val="기안"/>
      <sheetName val="견적LIST"/>
      <sheetName val="내구품질향상1"/>
      <sheetName val="to Carlyle 0825"/>
      <sheetName val="Cost Rate"/>
      <sheetName val="Process Rate"/>
      <sheetName val="Flags"/>
      <sheetName val="Tables"/>
      <sheetName val="Sales_1"/>
      <sheetName val="Tbom-tot"/>
      <sheetName val="일반"/>
      <sheetName val="CODE"/>
      <sheetName val="A000"/>
      <sheetName val="FO원단위"/>
      <sheetName val="실적(Q11)"/>
      <sheetName val="예산(Q11)"/>
      <sheetName val="PAKAGE4362"/>
      <sheetName val="투자-국내2"/>
      <sheetName val="DH BS 03"/>
      <sheetName val="공문"/>
      <sheetName val="ORIGIN"/>
      <sheetName val="A-A"/>
      <sheetName val="차수"/>
      <sheetName val="완성차 미수금"/>
      <sheetName val="CLM-MP"/>
      <sheetName val="주행"/>
      <sheetName val="DATA"/>
      <sheetName val="Income Statement"/>
      <sheetName val="입력lacer"/>
      <sheetName val="INVOICE"/>
      <sheetName val="봹뭫딈?"/>
      <sheetName val="DATE"/>
      <sheetName val="일괄인쇄"/>
      <sheetName val="TOT"/>
      <sheetName val="HP1AMLIST"/>
      <sheetName val="본부별팀별9911"/>
      <sheetName val="세부"/>
      <sheetName val="제조부문배부"/>
      <sheetName val="Definitions"/>
      <sheetName val="회수1"/>
      <sheetName val="SALE&amp;COST"/>
      <sheetName val="작성양식"/>
      <sheetName val="Dbase"/>
      <sheetName val="반제품"/>
      <sheetName val="대외공문"/>
      <sheetName val="97계획(96.11"/>
      <sheetName val="차종MH"/>
      <sheetName val="ITB COST"/>
      <sheetName val="TOTAL"/>
      <sheetName val="2월"/>
      <sheetName val="OPT손익_내수"/>
      <sheetName val="OPT손익_수출"/>
      <sheetName val="LZ_RR_BUSH"/>
      <sheetName val="1_개선이력"/>
      <sheetName val="2-1_현상"/>
      <sheetName val="내수1_8GL"/>
      <sheetName val="원단위_1계_2계"/>
      <sheetName val="신고서_전"/>
      <sheetName val="2_대외공문"/>
      <sheetName val="Sheet6_(3)"/>
      <sheetName val="0_절삭조건"/>
      <sheetName val="품의양"/>
      <sheetName val="뒤차축소"/>
      <sheetName val="3사분기"/>
      <sheetName val="Tabelle1"/>
      <sheetName val="선반OPT"/>
      <sheetName val="MX628EX"/>
      <sheetName val="상용"/>
      <sheetName val=" 승용 SUBLIST"/>
      <sheetName val="최신"/>
      <sheetName val="인적사항"/>
      <sheetName val="비교원RD-S"/>
      <sheetName val="2000"/>
      <sheetName val="to_Carlyle_0825"/>
      <sheetName val="X-3 ENG"/>
      <sheetName val="FromOverTheWorld"/>
      <sheetName val="조립품DB"/>
      <sheetName val="원단위"/>
      <sheetName val="효율계획(당월)"/>
      <sheetName val="전체실적"/>
      <sheetName val="HCCE01"/>
      <sheetName val="A-DRYER 반제품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ference"/>
    </sheetNames>
    <sheetDataSet>
      <sheetData sheetId="0"/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oom"/>
      <sheetName val="인솔자"/>
      <sheetName val="COVER"/>
      <sheetName val="정산서"/>
      <sheetName val="지급요청"/>
      <sheetName val="HTL CFRM"/>
      <sheetName val="한글 일정표"/>
      <sheetName val="htl infm"/>
      <sheetName val="NETWORK"/>
      <sheetName val="LDC ITY"/>
      <sheetName val="INVOICE"/>
      <sheetName val="명단"/>
      <sheetName val="JUNG 예약"/>
      <sheetName val="지사"/>
      <sheetName val="종목코드"/>
      <sheetName val="HTL_CFRM"/>
      <sheetName val="한글_일정표"/>
      <sheetName val="htl_infm"/>
      <sheetName val="LDC_ITY"/>
      <sheetName val="JUNG_예약"/>
      <sheetName val="BCN"/>
      <sheetName val="OPT손익 내수"/>
      <sheetName val="OPT손익 수출"/>
      <sheetName val="봹뭫딈?"/>
      <sheetName val="분석mast"/>
      <sheetName val="2.대외공문"/>
      <sheetName val="DATE"/>
      <sheetName val="일괄인쇄"/>
      <sheetName val="TOT"/>
      <sheetName val="HP1AMLIST"/>
      <sheetName val="B767"/>
      <sheetName val="최초안"/>
      <sheetName val="Sheet1"/>
      <sheetName val="본부별팀별9911"/>
      <sheetName val="HTL_CFRM1"/>
      <sheetName val="한글_일정표1"/>
      <sheetName val="htl_infm1"/>
      <sheetName val="LDC_ITY1"/>
      <sheetName val="JUNG_예약1"/>
      <sheetName val="OPT손익_내수"/>
      <sheetName val="OPT손익_수출"/>
      <sheetName val="2_대외공문"/>
      <sheetName val="요금표"/>
      <sheetName val="뉴욕1일 시내관광"/>
      <sheetName val="(도보+자유) 뉴욕1일 관광"/>
      <sheetName val="워싱턴 당일"/>
      <sheetName val="워당 지도"/>
      <sheetName val="해리스버그"/>
      <sheetName val="필라당일 "/>
      <sheetName val="롱우드가든당일"/>
      <sheetName val="보스턴 1박2일"/>
      <sheetName val="보스턴 1일관광"/>
      <sheetName val="루레이1박2일 "/>
      <sheetName val="아미쉬1박2일 "/>
      <sheetName val="나이아가라1박2일 "/>
      <sheetName val="워나2박3일"/>
      <sheetName val="나이아가라,천섬 2박3일"/>
      <sheetName val="나보뉴3박4일 "/>
      <sheetName val="워나천 3박4일 "/>
      <sheetName val="워나보뉴4박5일 "/>
      <sheetName val="워제 4박5일 "/>
      <sheetName val="미동캐5박6일 "/>
      <sheetName val="워제 미동캐+시내5박6일 "/>
      <sheetName val="미동캐+시내6박7일 "/>
      <sheetName val="워제 미동캐+보스턴6박7일"/>
      <sheetName val="미동캐+보스턴7박8일 "/>
      <sheetName val="워제 미동캐+보스턴+시내 7박8일 "/>
      <sheetName val="미동캐+보스턴+시내 8박9일 "/>
      <sheetName val="옵션리스트(미동부)"/>
      <sheetName val="뮤지컬"/>
      <sheetName val="주요테마지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9705"/>
      <sheetName val="9710"/>
      <sheetName val="OPT손익 내수"/>
      <sheetName val="OPT손익 수출"/>
      <sheetName val="engline"/>
      <sheetName val="지사"/>
      <sheetName val="INVOICE"/>
      <sheetName val="종목코드"/>
      <sheetName val="봹뭫딈?"/>
      <sheetName val="분석mast"/>
      <sheetName val="2.대외공문"/>
      <sheetName val="DATE"/>
      <sheetName val="일괄인쇄"/>
      <sheetName val="08년 산정_전체"/>
      <sheetName val="Sheet1"/>
      <sheetName val="봹뭫딈_"/>
      <sheetName val="업무분장"/>
      <sheetName val="자체실적1Q"/>
      <sheetName val="직원신상"/>
      <sheetName val="구동"/>
      <sheetName val="대외공문"/>
      <sheetName val="전문품의"/>
      <sheetName val="#REF"/>
      <sheetName val="내수1.8G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05"/>
      <sheetName val="9710"/>
      <sheetName val="engline"/>
      <sheetName val="INVOICE"/>
      <sheetName val="OPT손익 내수"/>
      <sheetName val="OPT손익 수출"/>
      <sheetName val="지사"/>
      <sheetName val="봹뭫딈?"/>
      <sheetName val="봹뭫딈_"/>
      <sheetName val="08년 산정_전체"/>
      <sheetName val="Sheet1"/>
      <sheetName val="테크론"/>
      <sheetName val="조선"/>
      <sheetName val="자체실적1Q"/>
      <sheetName val="2.대외공문"/>
      <sheetName val="직원신상"/>
      <sheetName val="구동"/>
      <sheetName val="대외공문"/>
      <sheetName val="전문품의"/>
      <sheetName val="#REF"/>
      <sheetName val="내수1.8GL"/>
      <sheetName val="업무분장"/>
      <sheetName val="외주현황.wq1"/>
      <sheetName val="OPT손익_내수"/>
      <sheetName val="08년_산정_전체"/>
      <sheetName val="OPT손익_수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5.세운W-A"/>
      <sheetName val="9710"/>
      <sheetName val="9705"/>
      <sheetName val="OPT손익 내수"/>
      <sheetName val="OPT손익 수출"/>
      <sheetName val="존4"/>
      <sheetName val="2.대외공문"/>
      <sheetName val="Sheet1"/>
      <sheetName val="테크론"/>
      <sheetName val="INVOICE"/>
      <sheetName val="종목코드"/>
      <sheetName val="지사"/>
      <sheetName val="봹뭫딈?"/>
      <sheetName val="분석mast"/>
      <sheetName val="uk kit 해외매출"/>
      <sheetName val="대외공문"/>
      <sheetName val="계열사현황종합"/>
      <sheetName val="ITINERARY"/>
      <sheetName val="시설업체주소록"/>
      <sheetName val="96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oom"/>
      <sheetName val="인솔자"/>
      <sheetName val="COVER"/>
      <sheetName val="정산서"/>
      <sheetName val="지급요청"/>
      <sheetName val="HTL CFRM"/>
      <sheetName val="한글 일정표"/>
      <sheetName val="htl infm"/>
      <sheetName val="NETWORK"/>
      <sheetName val="LDC ITY"/>
      <sheetName val="INVOICE"/>
      <sheetName val="명단"/>
      <sheetName val="JUNG 예약"/>
      <sheetName val="5.세운W-A"/>
      <sheetName val="ML"/>
      <sheetName val="9710"/>
      <sheetName val="9705"/>
      <sheetName val="HTL_CFRM"/>
      <sheetName val="한글_일정표"/>
      <sheetName val="htl_infm"/>
      <sheetName val="LDC_ITY"/>
      <sheetName val="JUNG_예약"/>
      <sheetName val="BCN"/>
      <sheetName val="테크론"/>
      <sheetName val="OPT손익 내수"/>
      <sheetName val="OPT손익 수출"/>
      <sheetName val="종목코드"/>
      <sheetName val="지사"/>
      <sheetName val="봹뭫딈?"/>
      <sheetName val="ROUTES"/>
      <sheetName val="최초안"/>
      <sheetName val="HTL_CFRM1"/>
      <sheetName val="한글_일정표1"/>
      <sheetName val="htl_infm1"/>
      <sheetName val="LDC_ITY1"/>
      <sheetName val="JUNG_예약1"/>
      <sheetName val="HTL_CFRM2"/>
      <sheetName val="한글_일정표2"/>
      <sheetName val="htl_infm2"/>
      <sheetName val="LDC_ITY2"/>
      <sheetName val="JUNG_예약2"/>
      <sheetName val="5_세운W-A"/>
      <sheetName val="OPT손익_내수"/>
      <sheetName val="OPT손익_수출"/>
      <sheetName val="요금표"/>
      <sheetName val="뉴욕1일 시내관광"/>
      <sheetName val="(도보+자유) 뉴욕1일 관광"/>
      <sheetName val="워싱턴 당일"/>
      <sheetName val="워당 지도"/>
      <sheetName val="해리스버그"/>
      <sheetName val="필라당일 "/>
      <sheetName val="롱우드가든당일"/>
      <sheetName val="보스턴 1박2일"/>
      <sheetName val="보스턴 1일관광"/>
      <sheetName val="루레이1박2일 "/>
      <sheetName val="아미쉬1박2일 "/>
      <sheetName val="나이아가라1박2일 "/>
      <sheetName val="워나2박3일"/>
      <sheetName val="나이아가라,천섬 2박3일"/>
      <sheetName val="나보뉴3박4일 "/>
      <sheetName val="워나천 3박4일 "/>
      <sheetName val="워나보뉴4박5일 "/>
      <sheetName val="워제 4박5일 "/>
      <sheetName val="미동캐5박6일 "/>
      <sheetName val="워제 미동캐+시내5박6일 "/>
      <sheetName val="미동캐+시내6박7일 "/>
      <sheetName val="워제 미동캐+보스턴6박7일"/>
      <sheetName val="미동캐+보스턴7박8일 "/>
      <sheetName val="워제 미동캐+보스턴+시내 7박8일 "/>
      <sheetName val="미동캐+보스턴+시내 8박9일 "/>
      <sheetName val="옵션리스트(미동부)"/>
      <sheetName val="뮤지컬"/>
      <sheetName val="주요테마지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사"/>
      <sheetName val="표"/>
      <sheetName val="INDEX"/>
      <sheetName val="종목코드"/>
      <sheetName val="봹뭫딈?"/>
      <sheetName val="분석mast"/>
      <sheetName val="INVOICE"/>
      <sheetName val="대외공문"/>
      <sheetName val="2.대외공문"/>
      <sheetName val="본부별팀별9911"/>
      <sheetName val="HP1AMLIST"/>
      <sheetName val="DATE"/>
      <sheetName val="일괄인쇄"/>
      <sheetName val="TOT"/>
      <sheetName val="2월"/>
      <sheetName val="5.세운W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차수"/>
      <sheetName val="공문"/>
      <sheetName val="대외공문 "/>
      <sheetName val="개선대책 양식"/>
      <sheetName val="개선사례양식"/>
      <sheetName val="협조전"/>
      <sheetName val="R&amp;D"/>
      <sheetName val="3월"/>
      <sheetName val="GRACE"/>
      <sheetName val="학교기부"/>
      <sheetName val="RDLEVLST"/>
      <sheetName val="OPT손익 내수"/>
      <sheetName val="OPT손익 수출"/>
      <sheetName val="2.대외공문"/>
      <sheetName val="INVOICE"/>
      <sheetName val="5.세운W-A"/>
      <sheetName val="Trans"/>
      <sheetName val="보증"/>
      <sheetName val="테크론"/>
      <sheetName val="일정"/>
      <sheetName val="9710"/>
      <sheetName val="9705"/>
      <sheetName val="종목코드"/>
      <sheetName val="사업계획선가"/>
      <sheetName val="존4"/>
      <sheetName val="major"/>
      <sheetName val="#REF"/>
      <sheetName val="report_20"/>
      <sheetName val="camera_30"/>
      <sheetName val="과제"/>
      <sheetName val="예산계획"/>
      <sheetName val="출금실적"/>
      <sheetName val="배치공문"/>
      <sheetName val="주행"/>
      <sheetName val="01월TTL"/>
      <sheetName val="수주월"/>
      <sheetName val="월별수입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본문"/>
      <sheetName val="고정자산원본"/>
      <sheetName val="cM11"/>
      <sheetName val="cM11p"/>
      <sheetName val="p2-1"/>
      <sheetName val="DBL LPG시험"/>
      <sheetName val="#93"/>
      <sheetName val="93상각비"/>
      <sheetName val="승용"/>
      <sheetName val="추가예산"/>
      <sheetName val="(2)-일자별..피지원현황"/>
      <sheetName val="3.대외공문"/>
      <sheetName val="전기내역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테크론"/>
      <sheetName val="2.대외공문"/>
      <sheetName val="대외공문"/>
      <sheetName val="일정별금액"/>
      <sheetName val="2_대외공문"/>
      <sheetName val="OPT손익 내수"/>
      <sheetName val="OPT손익 수출"/>
      <sheetName val="Invoice"/>
      <sheetName val="조선"/>
      <sheetName val="자체실적1Q"/>
      <sheetName val="계열사현황종합"/>
      <sheetName val="ITINERARY"/>
      <sheetName val="시설업체주소록"/>
      <sheetName val="9710"/>
      <sheetName val="9705"/>
      <sheetName val="직원신상"/>
      <sheetName val="업무분장"/>
      <sheetName val="2월"/>
      <sheetName val="구동"/>
      <sheetName val="종목코드"/>
      <sheetName val="지사"/>
      <sheetName val="봹뭫딈?"/>
      <sheetName val="분석mast"/>
      <sheetName val="DATE"/>
      <sheetName val="일괄인쇄"/>
      <sheetName val="TOT"/>
      <sheetName val="VIP 골드 최종 리스트(0304)"/>
      <sheetName val="ROUTES"/>
      <sheetName val="최초안"/>
      <sheetName val="협조전"/>
      <sheetName val="Remarks"/>
      <sheetName val="2_대외공문1"/>
      <sheetName val="OPT손익_내수"/>
      <sheetName val="OPT손익_수출"/>
      <sheetName val="VIP_골드_최종_리스트(0304)"/>
      <sheetName val="수리결과"/>
      <sheetName val="봹뭫딈_"/>
      <sheetName val="RDLEVLST"/>
      <sheetName val="2_대외공문2"/>
      <sheetName val="OPT손익_내수1"/>
      <sheetName val="OPT손익_수출1"/>
      <sheetName val="VIP_골드_최종_리스트(0304)1"/>
      <sheetName val="일정"/>
      <sheetName val="RE9604"/>
      <sheetName val="2_대외공문3"/>
      <sheetName val="OPT손익_내수2"/>
      <sheetName val="OPT손익_수출2"/>
      <sheetName val="VIP_골드_최종_리스트(0304)2"/>
      <sheetName val="dlbthu"/>
      <sheetName val="2_대외공문5"/>
      <sheetName val="OPT손익_내수4"/>
      <sheetName val="OPT손익_수출4"/>
      <sheetName val="VIP_골드_최종_리스트(0304)4"/>
      <sheetName val="2_대외공문4"/>
      <sheetName val="OPT손익_내수3"/>
      <sheetName val="OPT손익_수출3"/>
      <sheetName val="VIP_골드_최종_리스트(0304)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차수"/>
      <sheetName val="수입"/>
      <sheetName val="협조전"/>
      <sheetName val="RDLEVLST"/>
      <sheetName val="종목코드"/>
      <sheetName val="INVOICE"/>
      <sheetName val="일정"/>
      <sheetName val="테크론"/>
      <sheetName val="5.세운W-A"/>
      <sheetName val="9710"/>
      <sheetName val="9705"/>
      <sheetName val="OPT손익 내수"/>
      <sheetName val="OPT손익 수출"/>
      <sheetName val="2.대외공문"/>
      <sheetName val="계열사현황종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ffer "/>
      <sheetName val="박당요금"/>
      <sheetName val="일정"/>
      <sheetName val="BCN"/>
      <sheetName val="차수"/>
      <sheetName val="협조전"/>
      <sheetName val="INVOICE"/>
      <sheetName val="Sheet1"/>
      <sheetName val="RDLEVLST"/>
      <sheetName val="테크론"/>
      <sheetName val="5.세운W-A"/>
      <sheetName val="9710"/>
      <sheetName val="9705"/>
      <sheetName val="OPT손익 내수"/>
      <sheetName val="OPT손익 수출"/>
      <sheetName val="ROUTES"/>
      <sheetName val="세금"/>
      <sheetName val="주력3건이이상자현황"/>
      <sheetName val="대전 한빛 - (KE) 이집트 이스라엘 성지순례 10일"/>
      <sheetName val="offer_"/>
      <sheetName val="5_세운W-A"/>
      <sheetName val="OPT손익_내수"/>
      <sheetName val="OPT손익_수출"/>
      <sheetName val="대전_한빛_-_(KE)_이집트_이스라엘_성지순례_10일"/>
      <sheetName val="요금표"/>
      <sheetName val="뉴욕1일 시내관광"/>
      <sheetName val="(도보+자유) 뉴욕1일 관광"/>
      <sheetName val="워싱턴 당일"/>
      <sheetName val="워당 지도"/>
      <sheetName val="해리스버그"/>
      <sheetName val="필라당일 "/>
      <sheetName val="롱우드가든당일"/>
      <sheetName val="보스턴 1박2일"/>
      <sheetName val="보스턴 1일관광"/>
      <sheetName val="루레이1박2일 "/>
      <sheetName val="아미쉬1박2일 "/>
      <sheetName val="나이아가라1박2일 "/>
      <sheetName val="워나2박3일"/>
      <sheetName val="나이아가라,천섬 2박3일"/>
      <sheetName val="나보뉴3박4일 "/>
      <sheetName val="워나천 3박4일 "/>
      <sheetName val="워나보뉴4박5일 "/>
      <sheetName val="워제 4박5일 "/>
      <sheetName val="미동캐5박6일 "/>
      <sheetName val="워제 미동캐+시내5박6일 "/>
      <sheetName val="미동캐+시내6박7일 "/>
      <sheetName val="워제 미동캐+보스턴6박7일"/>
      <sheetName val="미동캐+보스턴7박8일 "/>
      <sheetName val="워제 미동캐+보스턴+시내 7박8일 "/>
      <sheetName val="미동캐+보스턴+시내 8박9일 "/>
      <sheetName val="옵션리스트(미동부)"/>
      <sheetName val="뮤지컬"/>
      <sheetName val="주요테마지도"/>
      <sheetName val="1월~7월실적"/>
      <sheetName val="8월실적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처리전"/>
      <sheetName val="000000"/>
      <sheetName val="조직도"/>
      <sheetName val="신상"/>
      <sheetName val="인원"/>
      <sheetName val="비상연락망"/>
      <sheetName val="배치도"/>
      <sheetName val="11"/>
      <sheetName val="차수"/>
      <sheetName val="RDLEVLST"/>
      <sheetName val="일정"/>
      <sheetName val="계정"/>
      <sheetName val="engline"/>
      <sheetName val="협조전"/>
      <sheetName val="BCN"/>
      <sheetName val="INVOICE"/>
      <sheetName val="테크론"/>
      <sheetName val="5.세운W-A"/>
      <sheetName val="9710"/>
      <sheetName val="9705"/>
      <sheetName val="OPT손익 내수"/>
      <sheetName val="OPT손익 수출"/>
      <sheetName val="종목코드"/>
      <sheetName val="지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냉각실용添1"/>
      <sheetName val="유지류添1"/>
      <sheetName val="주행장치添1"/>
      <sheetName val="문서처리전"/>
      <sheetName val="11"/>
      <sheetName val="계정"/>
      <sheetName val="소개"/>
      <sheetName val="일정"/>
      <sheetName val="차수"/>
      <sheetName val="주행"/>
      <sheetName val="주소(한문)"/>
      <sheetName val="INVOICE"/>
      <sheetName val="협조전"/>
      <sheetName val="RDLEVLST"/>
      <sheetName val="테크론"/>
      <sheetName val="5.세운W-A"/>
      <sheetName val="9710"/>
      <sheetName val="9705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냉각실용添1"/>
      <sheetName val="문서처리전"/>
      <sheetName val="11"/>
      <sheetName val="소개"/>
      <sheetName val="95하U$가격"/>
      <sheetName val="일정"/>
      <sheetName val="주소(한문)"/>
      <sheetName val="INVOICE"/>
      <sheetName val="협조전"/>
      <sheetName val="RDLEVLST"/>
      <sheetName val="차수"/>
      <sheetName val="테크론"/>
      <sheetName val="5.세운W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체현황"/>
      <sheetName val="협조전"/>
      <sheetName val="11"/>
      <sheetName val="냉각실용添1"/>
      <sheetName val="문서처리전"/>
      <sheetName val="일정"/>
      <sheetName val="주소(한문)"/>
      <sheetName val="INVOICE"/>
      <sheetName val="RDLEVLST"/>
      <sheetName val="차수"/>
      <sheetName val="테크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VT산정"/>
      <sheetName val="표지"/>
      <sheetName val="LZ RR BUSH"/>
      <sheetName val="1.개선이력"/>
      <sheetName val="2-1.현상"/>
      <sheetName val="RO분석"/>
      <sheetName val="전체현황"/>
      <sheetName val="협조전"/>
      <sheetName val="CALENDAR"/>
      <sheetName val="OPT손익 내수"/>
      <sheetName val="OPT손익 수출"/>
      <sheetName val="BUS제원1"/>
      <sheetName val="품의양"/>
      <sheetName val="외주현황.wq1"/>
      <sheetName val="문서처리전"/>
      <sheetName val="LZ RV BUSH"/>
      <sheetName val="#REF"/>
      <sheetName val="주행"/>
      <sheetName val="95하U$가격"/>
      <sheetName val="PILOT품"/>
      <sheetName val="M96현황-동아"/>
      <sheetName val="품-(주)코①"/>
      <sheetName val="TOT"/>
      <sheetName val="금형품의서"/>
      <sheetName val="Tiburon"/>
      <sheetName val="신고서.전"/>
      <sheetName val="원단위"/>
      <sheetName val="B4가로"/>
      <sheetName val="소유주(원)"/>
      <sheetName val="가격품의"/>
      <sheetName val="내수1.8GL"/>
      <sheetName val="CR CODE"/>
      <sheetName val="부서CODE"/>
      <sheetName val="THEME CODE"/>
      <sheetName val="첨부2"/>
      <sheetName val="현금경비중역"/>
      <sheetName val="차수"/>
      <sheetName val="계산DATA입력"/>
      <sheetName val="Assumptions"/>
      <sheetName val="생계99ST"/>
      <sheetName val="냉각실용添1"/>
      <sheetName val="11"/>
      <sheetName val="일정"/>
      <sheetName val="주소(한문)"/>
      <sheetName val="INVOICE"/>
      <sheetName val="RDLEVLST"/>
      <sheetName val="96"/>
      <sheetName val="유지류添1"/>
      <sheetName val="절삭10"/>
      <sheetName val="작성양식"/>
      <sheetName val="op10"/>
      <sheetName val="PFMEA.XLS"/>
      <sheetName val="분석mast"/>
      <sheetName val="추가예산LIST"/>
      <sheetName val="반제품(형재)"/>
      <sheetName val="HP1AMLIST"/>
      <sheetName val="ING101 PP"/>
      <sheetName val="LZ_RR_BUSH"/>
      <sheetName val="1_개선이력"/>
      <sheetName val="2-1_현상"/>
      <sheetName val="OPT손익_내수"/>
      <sheetName val="OPT손익_수출"/>
      <sheetName val="외주현황_wq1"/>
      <sheetName val="LZ_RV_BUSH"/>
      <sheetName val="신고서_전"/>
      <sheetName val="Sheet5"/>
      <sheetName val="Sheet6 (3)"/>
      <sheetName val="Sheet1"/>
      <sheetName val="rating"/>
      <sheetName val="Vehicles"/>
      <sheetName val="TEL"/>
      <sheetName val="PAKAGE4362"/>
      <sheetName val="부품LIST"/>
      <sheetName val="X-3 ENG"/>
      <sheetName val="DBL LPG시험"/>
      <sheetName val="내수1_8GL"/>
      <sheetName val="CR_CODE"/>
      <sheetName val="THEME_CODE"/>
      <sheetName val="X-3_ENG"/>
      <sheetName val="SETUP-TB"/>
      <sheetName val="Feuil1"/>
      <sheetName val="2.대외공문"/>
      <sheetName val="SBN-9412-01(9502)"/>
      <sheetName val="PS일계획"/>
      <sheetName val="품의서"/>
      <sheetName val="2차-PROTO-(1)"/>
      <sheetName val="Book1"/>
      <sheetName val="제조원가(확인)"/>
      <sheetName val="재고자산명세"/>
      <sheetName val="CAUDIT"/>
      <sheetName val="PTR台손익"/>
      <sheetName val="99경비"/>
      <sheetName val="EurotoolsXRates"/>
      <sheetName val="71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소(한문)"/>
      <sheetName val="CVT산정"/>
      <sheetName val="전체현황"/>
      <sheetName val="협조전"/>
      <sheetName val="0006_FLT_IR_NAME"/>
      <sheetName val="냉각실용添1"/>
      <sheetName val="문서처리전"/>
      <sheetName val="11"/>
      <sheetName val="일정"/>
      <sheetName val="INVOICE"/>
      <sheetName val="RDLEVL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1"/>
      <sheetName val="주소(한문)"/>
      <sheetName val="TCA"/>
      <sheetName val="구동"/>
      <sheetName val="HP1AMLIST"/>
      <sheetName val="1.변경범위"/>
      <sheetName val="Sheet28"/>
      <sheetName val="Sheet29"/>
      <sheetName val="간이연락"/>
      <sheetName val="BUS제원1"/>
      <sheetName val="so-021"/>
      <sheetName val="1.개발개요"/>
      <sheetName val="CVT산정"/>
      <sheetName val="Macro"/>
      <sheetName val="626TD(COLOR)"/>
      <sheetName val="626TD"/>
      <sheetName val="1_변경범위"/>
      <sheetName val="Macr"/>
      <sheetName val="차수"/>
      <sheetName val=""/>
      <sheetName val="CASE ASM"/>
      <sheetName val="Ma"/>
      <sheetName val="M"/>
      <sheetName val="Mac"/>
      <sheetName val="ML"/>
      <sheetName val="Sheet6"/>
      <sheetName val="Sheet7"/>
      <sheetName val="MC&amp;다변화"/>
      <sheetName val="0006_FLT_IR_NAME"/>
      <sheetName val="전체현황"/>
      <sheetName val="협조전"/>
      <sheetName val="냉각실용添1"/>
      <sheetName val="문서처리전"/>
      <sheetName val="11"/>
      <sheetName val="일정"/>
      <sheetName val="INVOICE"/>
      <sheetName val="RDLEVL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oom"/>
      <sheetName val="인솔자"/>
      <sheetName val="COVER"/>
      <sheetName val="정산서"/>
      <sheetName val="지급요청"/>
      <sheetName val="HTL CFRM"/>
      <sheetName val="한글 일정표"/>
      <sheetName val="htl infm"/>
      <sheetName val="NETWORK"/>
      <sheetName val="LDC ITY"/>
      <sheetName val="INVOICE"/>
      <sheetName val="명단"/>
      <sheetName val="JUNG 예약"/>
      <sheetName val="HP1AMLIST"/>
      <sheetName val="ITINERARY"/>
      <sheetName val="주소(한문)"/>
      <sheetName val="CVT산정"/>
      <sheetName val="HTL_CFRM"/>
      <sheetName val="한글_일정표"/>
      <sheetName val="htl_infm"/>
      <sheetName val="LDC_ITY"/>
      <sheetName val="JUNG_예약"/>
      <sheetName val="일정"/>
      <sheetName val="봹뭫딈?"/>
      <sheetName val="2월"/>
      <sheetName val="본부별팀별9911"/>
      <sheetName val="지사"/>
      <sheetName val="종목코드"/>
      <sheetName val="BCN"/>
      <sheetName val="5.세운W-A"/>
      <sheetName val="ML"/>
      <sheetName val="9710"/>
      <sheetName val="9705"/>
      <sheetName val="전체현황"/>
      <sheetName val="협조전"/>
      <sheetName val="냉각실용添1"/>
      <sheetName val="문서처리전"/>
      <sheetName val="11"/>
      <sheetName val="영업.일1"/>
      <sheetName val="테크론"/>
      <sheetName val="VIP 골드 최종 리스트(0304)"/>
      <sheetName val="B767"/>
      <sheetName val="0006_FLT_IR_NAME"/>
      <sheetName val="HTL_CFRM1"/>
      <sheetName val="한글_일정표1"/>
      <sheetName val="htl_infm1"/>
      <sheetName val="LDC_ITY1"/>
      <sheetName val="JUNG_예약1"/>
      <sheetName val="Performance Rate"/>
      <sheetName val="HTL_CFRM2"/>
      <sheetName val="한글_일정표2"/>
      <sheetName val="htl_infm2"/>
      <sheetName val="LDC_ITY2"/>
      <sheetName val="JUNG_예약2"/>
      <sheetName val="5_세운W-A"/>
      <sheetName val="VIP_골드_최종_리스트(0304)"/>
      <sheetName val="영업_일1"/>
      <sheetName val="Performance_Rate"/>
      <sheetName val="요금표"/>
      <sheetName val="뉴욕1일 시내관광"/>
      <sheetName val="(도보+자유) 뉴욕1일 관광"/>
      <sheetName val="워싱턴 당일"/>
      <sheetName val="워당 지도"/>
      <sheetName val="해리스버그"/>
      <sheetName val="필라당일 "/>
      <sheetName val="롱우드가든당일"/>
      <sheetName val="보스턴 1박2일"/>
      <sheetName val="보스턴 1일관광"/>
      <sheetName val="루레이1박2일 "/>
      <sheetName val="아미쉬1박2일 "/>
      <sheetName val="나이아가라1박2일 "/>
      <sheetName val="워나2박3일"/>
      <sheetName val="나이아가라,천섬 2박3일"/>
      <sheetName val="나보뉴3박4일 "/>
      <sheetName val="워나천 3박4일 "/>
      <sheetName val="워나보뉴4박5일 "/>
      <sheetName val="워제 4박5일 "/>
      <sheetName val="미동캐5박6일 "/>
      <sheetName val="워제 미동캐+시내5박6일 "/>
      <sheetName val="미동캐+시내6박7일 "/>
      <sheetName val="워제 미동캐+보스턴6박7일"/>
      <sheetName val="미동캐+보스턴7박8일 "/>
      <sheetName val="워제 미동캐+보스턴+시내 7박8일 "/>
      <sheetName val="미동캐+보스턴+시내 8박9일 "/>
      <sheetName val="옵션리스트(미동부)"/>
      <sheetName val="뮤지컬"/>
      <sheetName val="주요테마지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A台손익"/>
      <sheetName val="PTR台손익"/>
      <sheetName val="97설비능력96 (2)"/>
      <sheetName val="사업계획기안"/>
      <sheetName val="능력검토안 (2)"/>
      <sheetName val="97설비능력97"/>
      <sheetName val="97설비능력96(3)"/>
      <sheetName val="소유주(원)"/>
      <sheetName val="주소(한문)"/>
      <sheetName val="INVOICE"/>
      <sheetName val="B767"/>
      <sheetName val="CVT산정"/>
      <sheetName val="영업.일1"/>
      <sheetName val="일정"/>
      <sheetName val="협조전"/>
      <sheetName val="RDLEVLST"/>
      <sheetName val="차수"/>
      <sheetName val="테크론"/>
      <sheetName val="5.세운W-A"/>
      <sheetName val="9710"/>
      <sheetName val="9705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총괄표"/>
      <sheetName val="접수대장"/>
      <sheetName val="입금대장"/>
      <sheetName val="Sheet1"/>
      <sheetName val="일정별금액"/>
      <sheetName val="李룀메"/>
      <sheetName val="대외공문"/>
      <sheetName val="2.대외공문"/>
      <sheetName val="일괄인쇄"/>
      <sheetName val="DATE"/>
      <sheetName val="테크론"/>
      <sheetName val="Activity Report"/>
      <sheetName val="Cash Flow Summary"/>
      <sheetName val="조선"/>
      <sheetName val="2_대외공문"/>
      <sheetName val="INVOICE"/>
      <sheetName val="소유주(원)"/>
      <sheetName val="주소(한문)"/>
      <sheetName val="#REF"/>
      <sheetName val="PTR台손익"/>
      <sheetName val="일정"/>
      <sheetName val="CVT산정"/>
      <sheetName val="전체현황"/>
      <sheetName val="협조전"/>
      <sheetName val="냉각실용添1"/>
      <sheetName val="문서처리전"/>
      <sheetName val="11"/>
      <sheetName val="월초예상"/>
      <sheetName val="B767"/>
      <sheetName val="0006_FLT_IR_NAME"/>
      <sheetName val="점포별 계획"/>
      <sheetName val="BCN"/>
      <sheetName val="2_대외공문1"/>
      <sheetName val="Activity_Report"/>
      <sheetName val="Cash_Flow_Summary"/>
      <sheetName val="점포별_계획"/>
      <sheetName val="2월"/>
      <sheetName val="9710"/>
      <sheetName val="9705"/>
      <sheetName val="전산품의"/>
      <sheetName val="재료율"/>
      <sheetName val="2_대외공문2"/>
      <sheetName val="Activity_Report1"/>
      <sheetName val="Cash_Flow_Summary1"/>
      <sheetName val="점포별_계획1"/>
      <sheetName val="3.판관비명세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#REF"/>
      <sheetName val="_REF"/>
      <sheetName val="PTR台손익"/>
      <sheetName val="2.대외공문"/>
      <sheetName val="Performance Rate"/>
      <sheetName val="소유주(원)"/>
      <sheetName val="수입"/>
      <sheetName val="full (2)"/>
      <sheetName val="구동"/>
      <sheetName val="일정별금액"/>
      <sheetName val="3사분기"/>
      <sheetName val="차수"/>
      <sheetName val="전체현황"/>
      <sheetName val="95하U$가격"/>
      <sheetName val="98종합"/>
      <sheetName val="협조전"/>
      <sheetName val="일위대가표(DEEP)"/>
      <sheetName val="INVOICE"/>
      <sheetName val="CVT산정"/>
      <sheetName val="냉각실용添1"/>
      <sheetName val="문서처리전"/>
      <sheetName val="11"/>
      <sheetName val="일정"/>
      <sheetName val="주소(한문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현지보고서"/>
      <sheetName val="Restaurant"/>
      <sheetName val="Performance Rate"/>
      <sheetName val="PTR台손익"/>
      <sheetName val="일정별금액"/>
      <sheetName val="소유주(원)"/>
      <sheetName val="INVOICE"/>
      <sheetName val="CVT산정"/>
      <sheetName val="전체현황"/>
      <sheetName val="협조전"/>
      <sheetName val="냉각실용添1"/>
      <sheetName val="문서처리전"/>
      <sheetName val="주소(한문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지보고서"/>
      <sheetName val="Restaurant"/>
      <sheetName val="Performance Rate"/>
      <sheetName val="PTR台손익"/>
      <sheetName val="9710"/>
      <sheetName val="9705"/>
      <sheetName val="소유주(원)"/>
      <sheetName val="INVOICE"/>
      <sheetName val="일정별금액"/>
      <sheetName val="Performance_Rate"/>
      <sheetName val="Performance_Rate1"/>
      <sheetName val="주소(한문)"/>
      <sheetName val="08년 산정_전체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지보고서"/>
      <sheetName val="Restaurant"/>
      <sheetName val="Performance Rate"/>
      <sheetName val="PTR台손익"/>
      <sheetName val="일정별금액"/>
      <sheetName val="INVOICE"/>
      <sheetName val="9710"/>
      <sheetName val="9705"/>
      <sheetName val="소유주(원)"/>
      <sheetName val="Performance_Rate"/>
      <sheetName val="Performance_Rate1"/>
      <sheetName val="봹뭫딈?"/>
      <sheetName val="주소(한문)"/>
      <sheetName val="08년 산정_전체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내수 (2)"/>
      <sheetName val="96내수"/>
      <sheetName val="96수출"/>
      <sheetName val="RES"/>
      <sheetName val="96__"/>
      <sheetName val="지역본부별 실적"/>
      <sheetName val="거점별"/>
      <sheetName val="지점-대리점"/>
      <sheetName val="back-data"/>
      <sheetName val="(2)"/>
      <sheetName val="변경내용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Sheet1"/>
      <sheetName val="Sheet2"/>
      <sheetName val="Sheet3"/>
      <sheetName val="협조전"/>
      <sheetName val="관람석제출"/>
      <sheetName val="TOT"/>
      <sheetName val="TCA"/>
      <sheetName val="ML"/>
      <sheetName val="세목별"/>
      <sheetName val="관리96"/>
      <sheetName val="#REF"/>
      <sheetName val="3BL공동구 수량"/>
      <sheetName val="type-F"/>
      <sheetName val="내역(자100%,노100%)기아화성UD동"/>
      <sheetName val="전체현황"/>
      <sheetName val="2.대외공문"/>
      <sheetName val="공통비"/>
      <sheetName val="CVT산정"/>
      <sheetName val="일지-H"/>
      <sheetName val="신고서.전"/>
      <sheetName val="TEL"/>
      <sheetName val="계정"/>
      <sheetName val="항목(1)"/>
      <sheetName val="추가 종합"/>
      <sheetName val="주소(한문)"/>
      <sheetName val="99경비"/>
      <sheetName val="구동"/>
      <sheetName val="부대대비"/>
      <sheetName val="냉연집계"/>
      <sheetName val="정부노임단가"/>
      <sheetName val="대외공문"/>
      <sheetName val="기계"/>
      <sheetName val="지사"/>
      <sheetName val="A-4"/>
      <sheetName val=" 견적서"/>
      <sheetName val="견적990322"/>
      <sheetName val="총괄표"/>
      <sheetName val="소상 &quot;1&quot;"/>
      <sheetName val="유통망계획"/>
      <sheetName val="PTR台손익"/>
      <sheetName val="2COMPO_TABLE"/>
      <sheetName val="수입"/>
      <sheetName val="full (2)"/>
      <sheetName val="차액보증"/>
      <sheetName val="일위대가목차"/>
      <sheetName val="설산1.나"/>
      <sheetName val="본사S"/>
      <sheetName val="마북 손익분석(CATIA)"/>
      <sheetName val="차수"/>
      <sheetName val="BID"/>
      <sheetName val="95내수_(2)"/>
      <sheetName val="지역본부별_실적"/>
      <sheetName val="3BL공동구_수량"/>
      <sheetName val="2_대외공문"/>
      <sheetName val="신고서_전"/>
      <sheetName val="종목코드"/>
      <sheetName val="기초"/>
      <sheetName val="예산계획"/>
      <sheetName val="입찰안"/>
      <sheetName val="DATA(BAC)"/>
      <sheetName val="Performance Rate"/>
      <sheetName val="차량별점검"/>
      <sheetName val="수리결과"/>
      <sheetName val="BUS제원1"/>
      <sheetName val="95계획"/>
      <sheetName val="FRECEFECBAILEYS"/>
      <sheetName val="해외"/>
      <sheetName val="입력"/>
      <sheetName val="전문품의"/>
      <sheetName val="영업.일1"/>
      <sheetName val="P.M 별"/>
      <sheetName val="차잆금상환"/>
      <sheetName val="95내수_(2)1"/>
      <sheetName val="지역본부별_실적1"/>
      <sheetName val="3BL공동구_수량1"/>
      <sheetName val="2_대외공문1"/>
      <sheetName val="신고서_전1"/>
      <sheetName val="추가_종합"/>
      <sheetName val="_견적서"/>
      <sheetName val="소상_&quot;1&quot;"/>
      <sheetName val="full_(2)"/>
      <sheetName val="마북_손익분석(CATIA)"/>
      <sheetName val="설산1_나"/>
      <sheetName val="MOTOR"/>
      <sheetName val="1ST"/>
      <sheetName val="갑지(추정)"/>
      <sheetName val="경비공통"/>
      <sheetName val="5.경상직원"/>
      <sheetName val="G703"/>
      <sheetName val="3"/>
      <sheetName val="선급비용"/>
      <sheetName val="RD제품개발투자비(매가)"/>
      <sheetName val="데이타"/>
      <sheetName val="DATA"/>
      <sheetName val="공통부대비"/>
      <sheetName val="F4-F7"/>
      <sheetName val="소유주(원)"/>
      <sheetName val="현금경비중역"/>
      <sheetName val="1.변경범위"/>
      <sheetName val="공구기구"/>
      <sheetName val="간이연락"/>
      <sheetName val="서울AS지역"/>
      <sheetName val="상반기경분통보"/>
      <sheetName val="시설업체주소록"/>
      <sheetName val="ITINERARY"/>
      <sheetName val="일정별금액"/>
      <sheetName val="INVOICE"/>
      <sheetName val="건축원가계산서"/>
      <sheetName val="Breakdown sum"/>
      <sheetName val="을지"/>
      <sheetName val="내역서"/>
      <sheetName val="3련 BOX"/>
      <sheetName val="실행철강하도"/>
      <sheetName val="집계표"/>
      <sheetName val="보고FLOW"/>
      <sheetName val="#2.현지인_급여T"/>
      <sheetName val="자재선정"/>
      <sheetName val="경비2내역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시설업체주소록"/>
      <sheetName val="96수출"/>
      <sheetName val="주행"/>
      <sheetName val="구동"/>
      <sheetName val="경비공통"/>
      <sheetName val="Macro1"/>
      <sheetName val="2.대외공문"/>
      <sheetName val="보고FLOW"/>
      <sheetName val="#REF"/>
      <sheetName val="주소록1"/>
      <sheetName val="계산DATA입력"/>
      <sheetName val="Performance Rate"/>
      <sheetName val="ITINERARY"/>
      <sheetName val="일정별금액"/>
      <sheetName val="PTR台손익"/>
      <sheetName val="INVOICE"/>
      <sheetName val="소유주(원)"/>
      <sheetName val="CVT산정"/>
      <sheetName val="전체현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설업체주소록"/>
      <sheetName val="96수출"/>
      <sheetName val="#REF"/>
      <sheetName val="Performance Rate"/>
      <sheetName val="ITINERARY"/>
      <sheetName val="일정별금액"/>
      <sheetName val="PTR台손익"/>
      <sheetName val="INVOICE"/>
      <sheetName val="소유주(원)"/>
      <sheetName val="CVT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TINERARY"/>
      <sheetName val="Performance Rate"/>
      <sheetName val="95하U$가격"/>
      <sheetName val="대외공문"/>
      <sheetName val="시설업체주소록"/>
      <sheetName val="일정별금액"/>
      <sheetName val="Performance_Rate"/>
      <sheetName val="계열사현황종합"/>
      <sheetName val="96수출"/>
      <sheetName val="2.대외공문"/>
      <sheetName val="#REF"/>
      <sheetName val="PTR台손익"/>
      <sheetName val="INVOICE"/>
      <sheetName val="소유주(원)"/>
      <sheetName val="B767"/>
      <sheetName val="9710"/>
      <sheetName val="9705"/>
      <sheetName val="봹뭫딈?"/>
      <sheetName val="李룀메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IP 골드 최종 리스트(0304)"/>
      <sheetName val="9월마일리지 (VIP작업)"/>
      <sheetName val="9월마일리지"/>
      <sheetName val="Sheet3"/>
      <sheetName val="2월"/>
      <sheetName val="시설업체주소록"/>
      <sheetName val="ITINERARY"/>
      <sheetName val="Performance Rate"/>
      <sheetName val="INVOICE"/>
      <sheetName val="조선"/>
      <sheetName val="테크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존1"/>
      <sheetName val="존2"/>
      <sheetName val="존3"/>
      <sheetName val="존4"/>
      <sheetName val="구동"/>
      <sheetName val="대외공문"/>
      <sheetName val="일정별금액"/>
      <sheetName val="계열사현황종합"/>
      <sheetName val="ITINERARY"/>
      <sheetName val="2.대외공문"/>
      <sheetName val="테크론"/>
      <sheetName val="분석mast"/>
      <sheetName val="시설업체주소록"/>
      <sheetName val="HCCE01"/>
      <sheetName val="조선"/>
      <sheetName val="96수출"/>
      <sheetName val="#REF"/>
      <sheetName val="Performance Rate"/>
      <sheetName val="PTR台손익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1"/>
      <sheetName val="내용추출"/>
      <sheetName val="업체별"/>
      <sheetName val="WIR'G PART"/>
      <sheetName val="내용추출-2"/>
      <sheetName val="신1"/>
      <sheetName val="Macro2"/>
      <sheetName val="계열사현황종합"/>
      <sheetName val="구동"/>
      <sheetName val="Roll Out - Limit"/>
      <sheetName val="#REF"/>
      <sheetName val="차종별"/>
      <sheetName val="TCA"/>
      <sheetName val="LXLIST1"/>
      <sheetName val="full (2)"/>
      <sheetName val="Macro4"/>
      <sheetName val="작성양식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CP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ML"/>
      <sheetName val="기능명부"/>
      <sheetName val="Sheet5"/>
      <sheetName val="Sheet6 (3)"/>
      <sheetName val="절단길이"/>
      <sheetName val="PTR台손익"/>
      <sheetName val="주행"/>
      <sheetName val="major"/>
      <sheetName val="인원01"/>
      <sheetName val="전장LIST"/>
      <sheetName val="테크론"/>
      <sheetName val="ITINERARY"/>
      <sheetName val="HCCE01"/>
      <sheetName val="조선"/>
      <sheetName val="96수출"/>
      <sheetName val="Performance Rate"/>
      <sheetName val="시설업체주소록"/>
      <sheetName val="일정별금액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결정품의서(갑)"/>
      <sheetName val="동국수출 품의"/>
      <sheetName val="동국수출"/>
      <sheetName val="#REF"/>
      <sheetName val="Macro1"/>
      <sheetName val="수출부품"/>
      <sheetName val="#REF!"/>
      <sheetName val="구동"/>
      <sheetName val="p2-1"/>
      <sheetName val="FTR MACRo"/>
      <sheetName val="주행"/>
      <sheetName val="Sheet5"/>
      <sheetName val="Sheet6 (3)"/>
      <sheetName val="신1"/>
      <sheetName val="인원01"/>
      <sheetName val="2.대외공문"/>
      <sheetName val="계열사현황종합"/>
      <sheetName val="ITINERARY"/>
      <sheetName val="HCCE01"/>
      <sheetName val="조선"/>
      <sheetName val="96수출"/>
      <sheetName val="Performance Rate"/>
      <sheetName val="시설업체주소록"/>
      <sheetName val="테크론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구동"/>
      <sheetName val="A4세로"/>
      <sheetName val="B4세로"/>
      <sheetName val="A4가로"/>
      <sheetName val="B4가로"/>
      <sheetName val="표지"/>
      <sheetName val="팀별분배"/>
      <sheetName val="내역"/>
      <sheetName val="연구"/>
      <sheetName val="세부list"/>
      <sheetName val="Macro2"/>
      <sheetName val="Macro1"/>
      <sheetName val="팀별鶄배"/>
      <sheetName val="인원01"/>
      <sheetName val="COND"/>
      <sheetName val="투자분배"/>
      <sheetName val="계산DATA입력"/>
      <sheetName val="상세 계산 내역"/>
      <sheetName val="계산정보"/>
      <sheetName val="2.대외공문"/>
      <sheetName val="신1"/>
      <sheetName val="계열사현황종합"/>
      <sheetName val="ITINERARY"/>
      <sheetName val="HCCE01"/>
      <sheetName val="조선"/>
      <sheetName val="96수출"/>
      <sheetName val="#REF"/>
      <sheetName val="Performance Rate"/>
      <sheetName val="테크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jor"/>
      <sheetName val="구동"/>
      <sheetName val="Macro2"/>
      <sheetName val="신1"/>
      <sheetName val="시설업체주소록"/>
      <sheetName val="Macro1"/>
      <sheetName val="계열사현황종합"/>
      <sheetName val="ITINERARY"/>
      <sheetName val="HCCE01"/>
      <sheetName val="조선"/>
      <sheetName val="96수출"/>
      <sheetName val="#REF"/>
      <sheetName val="테크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인원01"/>
      <sheetName val="major"/>
      <sheetName val="구동"/>
      <sheetName val="시설업체주소록"/>
      <sheetName val="p2-1"/>
      <sheetName val="Macro2"/>
      <sheetName val="Macro1"/>
      <sheetName val="신1"/>
      <sheetName val="계열사현황종합"/>
      <sheetName val="ITINERARY"/>
      <sheetName val="HCCE01"/>
      <sheetName val="조선"/>
      <sheetName val="96수출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구동"/>
      <sheetName val="A4세로"/>
      <sheetName val="B4세로"/>
      <sheetName val="A4가로"/>
      <sheetName val="B4가로"/>
      <sheetName val="표지"/>
      <sheetName val="팀별분배"/>
      <sheetName val="내역"/>
      <sheetName val="연구"/>
      <sheetName val="세부list"/>
      <sheetName val="인원01"/>
      <sheetName val="major"/>
      <sheetName val="p2-1"/>
      <sheetName val="2.대외공문"/>
      <sheetName val="Macro2"/>
      <sheetName val="Macro1"/>
      <sheetName val="신1"/>
      <sheetName val="계열사현황종합"/>
      <sheetName val="ITINERARY"/>
      <sheetName val="HCCE01"/>
      <sheetName val="조선"/>
      <sheetName val="96수출"/>
      <sheetName val="팀별鶄배"/>
      <sheetName val="COND"/>
      <sheetName val="투자분배"/>
      <sheetName val="계산DATA입력"/>
      <sheetName val="상세 계산 내역"/>
      <sheetName val="계산정보"/>
      <sheetName val="경비공통"/>
      <sheetName val="Budget"/>
      <sheetName val="품의양"/>
      <sheetName val="단가"/>
      <sheetName val="표2"/>
      <sheetName val="종합현황"/>
      <sheetName val="표준시간표"/>
      <sheetName val="전체LIST원본"/>
      <sheetName val="1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명단"/>
      <sheetName val="노조시간"/>
      <sheetName val="시간표"/>
      <sheetName val="예산"/>
      <sheetName val="강의실적"/>
      <sheetName val="참석현황"/>
      <sheetName val="설문"/>
      <sheetName val="강사평가"/>
      <sheetName val="개선사항"/>
      <sheetName val="구동"/>
      <sheetName val="HCCE01"/>
      <sheetName val="인원01"/>
      <sheetName val="Macro1"/>
      <sheetName val="#REF"/>
      <sheetName val="2.대외공문"/>
      <sheetName val="인도원가"/>
      <sheetName val="차종별"/>
      <sheetName val="major"/>
      <sheetName val="Macro2"/>
      <sheetName val="신1"/>
      <sheetName val="계열사현황종합"/>
      <sheetName val="ITINERARY"/>
      <sheetName val="조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승용 밋션별 &quot;1&quot;"/>
      <sheetName val="승용 밋션별 &quot;2&quot;"/>
      <sheetName val="승용 밋션별 &quot;3&quot;"/>
      <sheetName val="소상 &quot;1&quot;"/>
      <sheetName val="변경내용"/>
      <sheetName val="숙박비"/>
      <sheetName val="중식대"/>
      <sheetName val="회의비"/>
      <sheetName val="특근.간담회비"/>
      <sheetName val="접대비"/>
      <sheetName val="교통비"/>
      <sheetName val="교통비 (2)"/>
      <sheetName val="정산서"/>
      <sheetName val="사내영수증"/>
      <sheetName val="전표철"/>
      <sheetName val="전표철 (2)"/>
      <sheetName val="총지출"/>
      <sheetName val="Sheet1"/>
      <sheetName val="Sheet2"/>
      <sheetName val="Sheet3"/>
      <sheetName val="수불내수"/>
      <sheetName val="COPING"/>
      <sheetName val="96수출"/>
      <sheetName val="인원01"/>
      <sheetName val="협조전"/>
      <sheetName val="p2-1"/>
      <sheetName val="#REF"/>
      <sheetName val="내역1"/>
      <sheetName val="Key assumption"/>
      <sheetName val="명단"/>
      <sheetName val="회의비등"/>
      <sheetName val="핸드폰"/>
      <sheetName val="당숙직"/>
      <sheetName val="영수증1"/>
      <sheetName val="영수증2"/>
      <sheetName val="정부노임단가"/>
      <sheetName val="품의양식"/>
      <sheetName val="3BL공동구 수량"/>
      <sheetName val="관람석제출"/>
      <sheetName val="남양시작동자105노65기1.3화1.2"/>
      <sheetName val="총괄표"/>
      <sheetName val="TEL"/>
      <sheetName val="TOT"/>
      <sheetName val="구동"/>
      <sheetName val="2.대외공문"/>
      <sheetName val="베네"/>
      <sheetName val="정보(MCC)"/>
      <sheetName val="정보(HEI)"/>
      <sheetName val="major"/>
      <sheetName val="울산시산표"/>
      <sheetName val="0.1 KEY ASSUMPTIONS"/>
      <sheetName val="0. CONTROL"/>
      <sheetName val="자압"/>
      <sheetName val="unit cost Bauteil 1"/>
      <sheetName val="unit cost Bauteil 2"/>
      <sheetName val="unit cost Bauteil 3"/>
      <sheetName val="unit cost Bauteil 4"/>
      <sheetName val="unit cost Bauteil 5"/>
      <sheetName val="Macro2"/>
      <sheetName val="Macro1"/>
      <sheetName val="신1"/>
      <sheetName val="계열사현황종합"/>
      <sheetName val="ITINERARY"/>
      <sheetName val="일별1"/>
      <sheetName val="94반성(Pnck)"/>
      <sheetName val="JUCK"/>
      <sheetName val="MOTOR"/>
      <sheetName val="종기계획(월별)"/>
      <sheetName val="TABLE DB"/>
      <sheetName val="쌍용 data base"/>
      <sheetName val="자압1"/>
      <sheetName val="payroll"/>
      <sheetName val="VALVE"/>
      <sheetName val="Total"/>
      <sheetName val="매입세율"/>
      <sheetName val="공사개요"/>
      <sheetName val="GRACE"/>
      <sheetName val="일반"/>
      <sheetName val="공통(20-91)"/>
      <sheetName val="기안지"/>
      <sheetName val="승용_밋션별_&quot;1&quot;"/>
      <sheetName val="승용_밋션별_&quot;2&quot;"/>
      <sheetName val="승용_밋션별_&quot;3&quot;"/>
      <sheetName val="소상_&quot;1&quot;"/>
      <sheetName val="특근_간담회비"/>
      <sheetName val="교통비_(2)"/>
      <sheetName val="전표철_(2)"/>
      <sheetName val="Key_assumption"/>
      <sheetName val="3BL공동구_수량"/>
      <sheetName val="남양시작동자105노65기1_3화1_2"/>
      <sheetName val="0_1_KEY_ASSUMPTIONS"/>
      <sheetName val="0__CONTROL"/>
      <sheetName val="현장지지물물량"/>
      <sheetName val="내역서"/>
      <sheetName val="Sheet4"/>
      <sheetName val="SANTAMO"/>
      <sheetName val="중기사용료"/>
      <sheetName val="DAT(목표)"/>
      <sheetName val="출장거리"/>
      <sheetName val="본문"/>
      <sheetName val="2F 회의실견적(5_14 일대)"/>
      <sheetName val="대외공문"/>
      <sheetName val="1월"/>
      <sheetName val="구의33고"/>
      <sheetName val="Cost bd-&quot;A&quot;"/>
      <sheetName val="BID"/>
      <sheetName val="계정"/>
      <sheetName val="조도계산서 (도서)"/>
      <sheetName val="수입"/>
      <sheetName val="CONCRETE"/>
      <sheetName val="산출내역서"/>
      <sheetName val="MFAB"/>
      <sheetName val="MFRT"/>
      <sheetName val="MPKG"/>
      <sheetName val="MPRD"/>
      <sheetName val="우각부보강"/>
      <sheetName val="세목별"/>
      <sheetName val="월별수입"/>
      <sheetName val="전문품의"/>
      <sheetName val="공통비"/>
      <sheetName val="중장기판매계획"/>
      <sheetName val="세부추진"/>
      <sheetName val="상용보강"/>
      <sheetName val="수리결과"/>
      <sheetName val="승용_밋션별_&quot;1&quot;1"/>
      <sheetName val="승용_밋션별_&quot;2&quot;1"/>
      <sheetName val="승용_밋션별_&quot;3&quot;1"/>
      <sheetName val="소상_&quot;1&quot;1"/>
      <sheetName val="특근_간담회비1"/>
      <sheetName val="교통비_(2)1"/>
      <sheetName val="전표철_(2)1"/>
      <sheetName val="Key_assumption1"/>
      <sheetName val="3BL공동구_수량1"/>
      <sheetName val="남양시작동자105노65기1_3화1_21"/>
      <sheetName val="0_1_KEY_ASSUMPTIONS1"/>
      <sheetName val="0__CONTROL1"/>
      <sheetName val="unit_cost_Bauteil_1"/>
      <sheetName val="unit_cost_Bauteil_2"/>
      <sheetName val="unit_cost_Bauteil_3"/>
      <sheetName val="unit_cost_Bauteil_4"/>
      <sheetName val="unit_cost_Bauteil_5"/>
      <sheetName val="TABLE_DB"/>
      <sheetName val="쌍용_data_base"/>
      <sheetName val="2_대외공문"/>
      <sheetName val="Cost_bd-&quot;A&quot;"/>
      <sheetName val="조도계산서_(도서)"/>
      <sheetName val="참고"/>
      <sheetName val="차량별점검"/>
      <sheetName val="플랜트 설치"/>
      <sheetName val="95MAKER"/>
      <sheetName val="일괄인쇄"/>
      <sheetName val="DATE"/>
      <sheetName val="ML"/>
      <sheetName val="충주"/>
      <sheetName val="견적990322"/>
      <sheetName val="1-1"/>
      <sheetName val="차수"/>
      <sheetName val="입력"/>
      <sheetName val="KD율"/>
      <sheetName val="001"/>
      <sheetName val="98지급계획"/>
      <sheetName val="전체현황"/>
      <sheetName val="특별교실"/>
      <sheetName val="bi"/>
      <sheetName val="노무비"/>
      <sheetName val="공문"/>
      <sheetName val="부하계산서"/>
      <sheetName val="일위대가"/>
      <sheetName val="물량표"/>
      <sheetName val="콘크리트타설집계표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#REF"/>
      <sheetName val="소상 &quot;1&quot;"/>
      <sheetName val="GRACE"/>
      <sheetName val="팀별투자"/>
      <sheetName val="구동"/>
      <sheetName val="p2-1"/>
      <sheetName val="품의양식"/>
      <sheetName val="명단"/>
      <sheetName val="#REF!"/>
      <sheetName val="첨부02"/>
      <sheetName val="베네"/>
      <sheetName val="96수출"/>
      <sheetName val="인원01"/>
      <sheetName val="major"/>
      <sheetName val="Macro2"/>
      <sheetName val="Macro1"/>
      <sheetName val="신1"/>
      <sheetName val="계열사현황종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Ⅲ"/>
      <sheetName val="A-A"/>
      <sheetName val="소상 &quot;1&quot;"/>
      <sheetName val="Macro1"/>
      <sheetName val="명단"/>
      <sheetName val="구동"/>
      <sheetName val="인원01"/>
      <sheetName val="major"/>
      <sheetName val="Macro2"/>
      <sheetName val="신1"/>
      <sheetName val="GRAC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세부추진"/>
      <sheetName val="목차"/>
      <sheetName val="Ⅰ표지"/>
      <sheetName val="신차보증"/>
      <sheetName val="신차수요"/>
      <sheetName val="상용수요"/>
      <sheetName val="상용능력"/>
      <sheetName val="상용보강"/>
      <sheetName val="경쟁사망"/>
      <sheetName val="부문예산"/>
      <sheetName val="부문인원"/>
      <sheetName val="부문예"/>
      <sheetName val="제안서"/>
      <sheetName val="행정표준(1)"/>
      <sheetName val="행정표준(2)"/>
      <sheetName val="ﶀ문인원"/>
      <sheetName val="Ⅲ"/>
      <sheetName val="2.대외공문"/>
      <sheetName val="예산집계03"/>
      <sheetName val="실행철강하도"/>
      <sheetName val="협조전"/>
      <sheetName val="서울AS,지공"/>
      <sheetName val="A-A"/>
      <sheetName val="선정요령"/>
      <sheetName val="수주단가"/>
      <sheetName val="인원01"/>
      <sheetName val="수리결과"/>
      <sheetName val="업무분장"/>
      <sheetName val="과정별"/>
      <sheetName val="항목등록"/>
      <sheetName val="Sheet3"/>
      <sheetName val="기본운용"/>
      <sheetName val="소상 &quot;1&quot;"/>
      <sheetName val="LB Plan 97 neu 15531 Best "/>
      <sheetName val="상용_mp"/>
      <sheetName val="98지급계획"/>
      <sheetName val="공문"/>
      <sheetName val="항목(1)"/>
      <sheetName val="BOOK4"/>
      <sheetName val="new급여T(4을-운전)"/>
      <sheetName val="인부신상자료"/>
      <sheetName val="97사업"/>
      <sheetName val="명단"/>
      <sheetName val="구동"/>
      <sheetName val="major"/>
      <sheetName val="Macro2"/>
      <sheetName val="Macro1"/>
      <sheetName val="신1"/>
      <sheetName val="터널조도"/>
      <sheetName val="CALENDAR"/>
      <sheetName val="소개"/>
      <sheetName val="Sheet1"/>
      <sheetName val="N,C-code"/>
      <sheetName val="2_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DB"/>
      <sheetName val="MAD"/>
      <sheetName val="SVQ"/>
      <sheetName val="BCN"/>
      <sheetName val="기타 도시"/>
      <sheetName val="GRX"/>
      <sheetName val="INVOICE"/>
      <sheetName val="HP1AMLIST"/>
      <sheetName val="ML"/>
      <sheetName val="대외공문"/>
      <sheetName val="테크론"/>
      <sheetName val="DWPM"/>
      <sheetName val="문서처리전"/>
      <sheetName val="R&amp;D"/>
      <sheetName val="2.대외공문"/>
      <sheetName val="협조전"/>
      <sheetName val="신1"/>
      <sheetName val="과정별"/>
      <sheetName val="항목등록"/>
      <sheetName val="Cash Flow Summary"/>
      <sheetName val="조선"/>
      <sheetName val="ROUTES"/>
      <sheetName val="ITINERARY"/>
      <sheetName val="검색"/>
      <sheetName val="Sheet1"/>
      <sheetName val="MT0413 연하나로 기획 - 호텔"/>
      <sheetName val="시상-개별자동차실적data-8월실적"/>
      <sheetName val="세금"/>
      <sheetName val="점포별계획본부"/>
      <sheetName val="VIP 골드 최종 리스트(0304)"/>
      <sheetName val="일정"/>
      <sheetName val="기타_도시"/>
      <sheetName val="Cash_Flow_Summary"/>
      <sheetName val="2_대외공문"/>
      <sheetName val="MT0413_연하나로_기획_-_호텔"/>
      <sheetName val="VIP_골드_최종_리스트(0304)"/>
      <sheetName val=""/>
      <sheetName val="요금표"/>
      <sheetName val="뉴욕1일 시내관광"/>
      <sheetName val="(도보+자유) 뉴욕1일 관광"/>
      <sheetName val="워싱턴 당일"/>
      <sheetName val="워당 지도"/>
      <sheetName val="해리스버그"/>
      <sheetName val="필라당일 "/>
      <sheetName val="롱우드가든당일"/>
      <sheetName val="보스턴 1박2일"/>
      <sheetName val="보스턴 1일관광"/>
      <sheetName val="루레이1박2일 "/>
      <sheetName val="아미쉬1박2일 "/>
      <sheetName val="나이아가라1박2일 "/>
      <sheetName val="워나2박3일"/>
      <sheetName val="나이아가라,천섬 2박3일"/>
      <sheetName val="나보뉴3박4일 "/>
      <sheetName val="워나천 3박4일 "/>
      <sheetName val="워나보뉴4박5일 "/>
      <sheetName val="워제 4박5일 "/>
      <sheetName val="미동캐5박6일 "/>
      <sheetName val="워제 미동캐+시내5박6일 "/>
      <sheetName val="미동캐+시내6박7일 "/>
      <sheetName val="워제 미동캐+보스턴6박7일"/>
      <sheetName val="미동캐+보스턴7박8일 "/>
      <sheetName val="워제 미동캐+보스턴+시내 7박8일 "/>
      <sheetName val="미동캐+보스턴+시내 8박9일 "/>
      <sheetName val="옵션리스트(미동부)"/>
      <sheetName val="뮤지컬"/>
      <sheetName val="주요테마지도"/>
      <sheetName val="uk kit 해외매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CE01"/>
      <sheetName val="세부추진"/>
      <sheetName val="Ⅲ"/>
      <sheetName val="냉각실용添1"/>
      <sheetName val="A-A"/>
      <sheetName val="소상 &quot;1&quot;"/>
      <sheetName val="명단"/>
      <sheetName val="구동"/>
      <sheetName val="인원01"/>
      <sheetName val="major"/>
      <sheetName val="Macro2"/>
      <sheetName val="Macr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#REF"/>
      <sheetName val="HCCE01"/>
      <sheetName val="세부추진"/>
      <sheetName val="구동"/>
      <sheetName val="95하U$가격"/>
      <sheetName val="Ⅲ"/>
      <sheetName val="시설업체주소록"/>
      <sheetName val="A-A"/>
      <sheetName val="소상 &quot;1&quot;"/>
      <sheetName val="명단"/>
      <sheetName val="인원01"/>
      <sheetName val="major"/>
      <sheetName val="Macro2"/>
      <sheetName val="CSTHA616"/>
      <sheetName val="상용_mp"/>
      <sheetName val="GR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조선"/>
      <sheetName val="예산총괄"/>
      <sheetName val="예산총괄 (2)"/>
      <sheetName val="ITINERARY"/>
      <sheetName val="대외공문"/>
      <sheetName val="HCCE01"/>
      <sheetName val="예산총괄_(2)"/>
      <sheetName val="DAT(목표)"/>
      <sheetName val="세부추진"/>
      <sheetName val="테크론"/>
      <sheetName val="Ⅲ"/>
      <sheetName val="A-A"/>
      <sheetName val="소상 &quot;1&quot;"/>
      <sheetName val="명단"/>
      <sheetName val="구동"/>
      <sheetName val="인원01"/>
      <sheetName val="major"/>
      <sheetName val="검색"/>
      <sheetName val="Performance Rate"/>
      <sheetName val="일정별금액"/>
      <sheetName val="JEON2"/>
      <sheetName val="수주월"/>
      <sheetName val="1-1-1-1"/>
      <sheetName val="급여일반"/>
      <sheetName val="#REF"/>
      <sheetName val="증감대비"/>
      <sheetName val="계실5-1"/>
      <sheetName val="마북 손익분석(CATIA)"/>
      <sheetName val="1.능률현황"/>
      <sheetName val="소요경비"/>
      <sheetName val="신유"/>
      <sheetName val="연속"/>
      <sheetName val="공사손익"/>
      <sheetName val="00년"/>
      <sheetName val="노임단가"/>
      <sheetName val="GRACE"/>
      <sheetName val="BCN"/>
      <sheetName val="INVOICE"/>
      <sheetName val="Remarks"/>
      <sheetName val="VIP 골드 최종 리스트(0304)"/>
      <sheetName val="2월"/>
      <sheetName val="부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고객생성"/>
      <sheetName val="신규생성"/>
      <sheetName val="Region"/>
      <sheetName val="Master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내수1.8GL"/>
      <sheetName val="최종 (2)"/>
      <sheetName val="Sheet1"/>
      <sheetName val="Sheet2"/>
      <sheetName val="Sheet3"/>
      <sheetName val="RD제품개발투자비(매가)"/>
      <sheetName val="계실5-1"/>
      <sheetName val="BRAKE"/>
      <sheetName val="차수"/>
      <sheetName val="비교원RD-S"/>
      <sheetName val="계획서"/>
      <sheetName val="명단"/>
      <sheetName val="CJ出欠リスト"/>
      <sheetName val="A-A"/>
      <sheetName val="조선"/>
      <sheetName val="HCCE01"/>
      <sheetName val="uk kit 해외매출"/>
      <sheetName val="대외공문"/>
      <sheetName val="세부추진"/>
      <sheetName val="Ⅲ"/>
      <sheetName val="소상 &quot;1&quot;"/>
      <sheetName val="구동"/>
      <sheetName val="인원0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문품의"/>
      <sheetName val="내수1.8GL"/>
      <sheetName val="2.대외공문"/>
      <sheetName val="#REF"/>
      <sheetName val="충주"/>
      <sheetName val="HCCE01"/>
      <sheetName val="입고장부 (4)"/>
      <sheetName val="항목(1)"/>
      <sheetName val="BOOK4"/>
      <sheetName val="계실5-1"/>
      <sheetName val="SENSOR LIST"/>
      <sheetName val="tggwan(mac)"/>
      <sheetName val="직원신상"/>
      <sheetName val="3.3검토국"/>
      <sheetName val="수입"/>
      <sheetName val="협조전"/>
      <sheetName val="공량산출서"/>
      <sheetName val="대공종"/>
      <sheetName val="new급여T(4을-운전)"/>
      <sheetName val="조건"/>
      <sheetName val="현지법인 사업계획(총괄)"/>
      <sheetName val="전입"/>
      <sheetName val="CJ出欠リスト"/>
      <sheetName val="RD제품개발투자비(매가)"/>
      <sheetName val="소상 &quot;1&quot;"/>
      <sheetName val="98지급계획"/>
      <sheetName val="입찰안"/>
      <sheetName val="시험장S자로가로등공사"/>
      <sheetName val="Ⅲ"/>
      <sheetName val="조선"/>
      <sheetName val="uk kit 해외매출"/>
      <sheetName val="대외공문"/>
      <sheetName val="세부추진"/>
      <sheetName val="A-A"/>
      <sheetName val="명단"/>
      <sheetName val="구동"/>
      <sheetName val="재정"/>
      <sheetName val="1차배부(JB포함)"/>
      <sheetName val="사업경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ngline"/>
      <sheetName val="#REF"/>
      <sheetName val="2.대외공문"/>
      <sheetName val="내수1.8GL"/>
      <sheetName val="제안서"/>
      <sheetName val="행정표준(1)"/>
      <sheetName val="행정표준(2)"/>
      <sheetName val="R&amp;D"/>
      <sheetName val="계실5-1"/>
      <sheetName val="전문품의"/>
      <sheetName val="CJ出欠リスト"/>
      <sheetName val="조선"/>
      <sheetName val="uk kit 해외매출"/>
      <sheetName val="대외공문"/>
      <sheetName val="세부추진"/>
      <sheetName val="Ⅲ"/>
      <sheetName val="A-A"/>
      <sheetName val="소상 &quot;1&quot;"/>
      <sheetName val="명단"/>
      <sheetName val="HCCE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기안"/>
      <sheetName val="기안(을)"/>
      <sheetName val="문서처리"/>
      <sheetName val="시행문"/>
      <sheetName val="대외공문"/>
      <sheetName val="회의록"/>
      <sheetName val="회의록(을)"/>
      <sheetName val="문서목록"/>
      <sheetName val="전문품의"/>
      <sheetName val="계실5-1"/>
      <sheetName val="내수1.8GL"/>
      <sheetName val="2.대외공문"/>
      <sheetName val="#REF"/>
      <sheetName val="CJ出欠リスト"/>
      <sheetName val="조선"/>
      <sheetName val="uk kit 해외매출"/>
      <sheetName val="세부추진"/>
      <sheetName val="Ⅲ"/>
      <sheetName val="A-A"/>
      <sheetName val="소상 &quot;1&quot;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구동"/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그룹별MASɔ (2)"/>
      <sheetName val="대외공문"/>
      <sheetName val="종합"/>
      <sheetName val="내수1.8GL"/>
      <sheetName val="Macro1"/>
      <sheetName val="2.대외공문"/>
      <sheetName val="차종별"/>
      <sheetName val="RD제품개발투자비(매가)"/>
      <sheetName val="EF투자비"/>
      <sheetName val="비교원RD-S"/>
      <sheetName val="재정"/>
      <sheetName val="TTT"/>
      <sheetName val="소유주(원)"/>
      <sheetName val="전문품의"/>
      <sheetName val="수입"/>
      <sheetName val="LEASE4"/>
      <sheetName val="BRAKE"/>
      <sheetName val="126.255"/>
      <sheetName val="실적(Q11)"/>
      <sheetName val="예산(Q11)"/>
      <sheetName val="상용_mp"/>
      <sheetName val="합의서(사출)"/>
      <sheetName val="공정"/>
      <sheetName val="내수1_8GL"/>
      <sheetName val="PC%계산"/>
      <sheetName val="비교원RD_S"/>
      <sheetName val="원단위"/>
      <sheetName val="#REF"/>
      <sheetName val="계실5-1"/>
      <sheetName val="CJ出欠リスト"/>
      <sheetName val="조선"/>
      <sheetName val="uk kit 해외매출"/>
      <sheetName val="세부추진"/>
      <sheetName val="Ⅲ"/>
      <sheetName val="A-A"/>
      <sheetName val="협조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직원신상"/>
      <sheetName val="구동"/>
      <sheetName val="대외공문"/>
      <sheetName val="전문품의"/>
      <sheetName val="2.대외공문"/>
      <sheetName val="#REF"/>
      <sheetName val="내수1.8GL"/>
      <sheetName val="계실5-1"/>
      <sheetName val="CJ出欠リスト"/>
      <sheetName val="조선"/>
      <sheetName val="uk kit 해외매출"/>
      <sheetName val="세부추진"/>
      <sheetName val="Ⅲ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대외공문"/>
      <sheetName val="테크론"/>
      <sheetName val="보고서"/>
      <sheetName val="품의서"/>
      <sheetName val="기안을지"/>
      <sheetName val="협조전 (2)"/>
      <sheetName val="계열사현황종합"/>
      <sheetName val="자체실적1Q"/>
      <sheetName val="THEME CODE"/>
      <sheetName val="CR CODE"/>
      <sheetName val="부서CODE"/>
      <sheetName val="출장거리"/>
      <sheetName val="계정"/>
      <sheetName val="#REF"/>
      <sheetName val="협조전_(2)"/>
      <sheetName val="THEME_CODE"/>
      <sheetName val="CR_CODE"/>
      <sheetName val="일정별금액"/>
      <sheetName val="ITINERARY"/>
      <sheetName val="봹뭫딈?"/>
      <sheetName val="Performance_Rate"/>
      <sheetName val="uk kit 해외매출"/>
      <sheetName val="봹뭫딈_"/>
      <sheetName val="2.대외공문"/>
      <sheetName val="6회차결과"/>
      <sheetName val="조건"/>
      <sheetName val="조선"/>
      <sheetName val="5.세운W-A"/>
      <sheetName val="9710"/>
      <sheetName val="Sheet1"/>
      <sheetName val="engline"/>
      <sheetName val="직원신상"/>
      <sheetName val="ROUTES"/>
      <sheetName val="검색"/>
      <sheetName val="Performance Rate"/>
      <sheetName val="Invoice"/>
      <sheetName val="BCN"/>
      <sheetName val="협조전_(2)1"/>
      <sheetName val="THEME_CODE1"/>
      <sheetName val="CR_CODE1"/>
      <sheetName val="uk_kit_해외매출"/>
      <sheetName val="ＳＳ別"/>
      <sheetName val="Master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#REF"/>
      <sheetName val="구동"/>
      <sheetName val="직원신상"/>
      <sheetName val="Sheet1"/>
      <sheetName val="수압집계"/>
      <sheetName val="전문품의"/>
      <sheetName val="대공종"/>
      <sheetName val="2.대외공문"/>
      <sheetName val="Car Costs"/>
      <sheetName val="TDL"/>
      <sheetName val="내수1.8GL"/>
      <sheetName val="계열사현황종합"/>
      <sheetName val="Sheet1 (2)"/>
      <sheetName val="2월"/>
      <sheetName val="96수출"/>
      <sheetName val="충주"/>
      <sheetName val="수입"/>
      <sheetName val="세피아판매"/>
      <sheetName val="ABUT수량-A1"/>
      <sheetName val="KMSC"/>
      <sheetName val="대외공문"/>
      <sheetName val="full_(2)"/>
      <sheetName val="계실5-1"/>
      <sheetName val="CJ出欠リスト"/>
      <sheetName val="조선"/>
      <sheetName val="uk kit 해외매출"/>
      <sheetName val="세부추진"/>
      <sheetName val="시설업체주소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2.대외공문"/>
      <sheetName val="직원신상"/>
      <sheetName val="5.세운W-A"/>
      <sheetName val="항목(1)"/>
      <sheetName val="구동"/>
      <sheetName val="대외공문"/>
      <sheetName val="전문품의"/>
      <sheetName val="#REF"/>
      <sheetName val="내수1.8GL"/>
      <sheetName val="계실5-1"/>
      <sheetName val="CJ出欠リスト"/>
      <sheetName val="조선"/>
      <sheetName val="uk kit 해외매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자체실적1Q"/>
      <sheetName val="2.대외공문"/>
      <sheetName val="협조전"/>
      <sheetName val="신1"/>
      <sheetName val="기안"/>
      <sheetName val="●목차"/>
      <sheetName val="●현황"/>
      <sheetName val="#REF"/>
      <sheetName val="직원신상"/>
      <sheetName val="p2-1"/>
      <sheetName val="구동"/>
      <sheetName val="대외공문"/>
      <sheetName val="전문품의"/>
      <sheetName val="내수1.8GL"/>
      <sheetName val="계실5-1"/>
      <sheetName val="CJ出欠リスト"/>
      <sheetName val="조선"/>
      <sheetName val="97년실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98계획조정"/>
      <sheetName val="981차조정"/>
      <sheetName val="피벗테이블"/>
      <sheetName val="지시안"/>
      <sheetName val="요약"/>
      <sheetName val="총괄1"/>
      <sheetName val="총괄1-1"/>
      <sheetName val="총괄2"/>
      <sheetName val="총괄2-1"/>
      <sheetName val="임금동결시"/>
      <sheetName val="98세목별"/>
      <sheetName val="용역수수료내역"/>
      <sheetName val="Sheet1"/>
      <sheetName val="비통제세부"/>
      <sheetName val="1억이상"/>
      <sheetName val="5천이상"/>
      <sheetName val="임금인원"/>
      <sheetName val="계정"/>
      <sheetName val="engline"/>
      <sheetName val="테크론"/>
      <sheetName val="2.대외공문"/>
      <sheetName val="자체실적1Q"/>
      <sheetName val="직원신상"/>
      <sheetName val="구동"/>
      <sheetName val="대외공문"/>
      <sheetName val="전문품의"/>
      <sheetName val="#REF"/>
      <sheetName val="내수1.8GL"/>
      <sheetName val="계실5-1"/>
      <sheetName val="CJ出欠リスト"/>
      <sheetName val="전산품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회차결과"/>
      <sheetName val="Sheet1"/>
      <sheetName val="6회차결과 (2)"/>
      <sheetName val="Crz 대상자 List"/>
      <sheetName val="총괄표 Crz"/>
      <sheetName val="Mzk 대상자 List"/>
      <sheetName val="총괄표 Mzk"/>
      <sheetName val="자비참석비용"/>
      <sheetName val="여권"/>
      <sheetName val="방simul"/>
      <sheetName val="지방세부내역"/>
      <sheetName val="T-Shirt"/>
      <sheetName val="조직 200703"/>
      <sheetName val="요약"/>
      <sheetName val="Sheet2"/>
      <sheetName val="작성예"/>
      <sheetName val="Worldcup"/>
      <sheetName val="engline"/>
      <sheetName val="자체실적1Q"/>
      <sheetName val="2.대외공문"/>
      <sheetName val="직원신상"/>
      <sheetName val="구동"/>
      <sheetName val="대외공문"/>
      <sheetName val="전문품의"/>
      <sheetName val="#REF"/>
      <sheetName val="내수1.8GL"/>
      <sheetName val="계실5-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05"/>
      <sheetName val="9710"/>
      <sheetName val="engline"/>
      <sheetName val="INVOICE"/>
      <sheetName val="OPT손익 내수"/>
      <sheetName val="OPT손익 수출"/>
      <sheetName val="지사"/>
      <sheetName val="봹뭫딈?"/>
      <sheetName val="봹뭫딈_"/>
      <sheetName val="08년 산정_전체"/>
      <sheetName val="Sheet1"/>
      <sheetName val="테크론"/>
      <sheetName val="조선"/>
      <sheetName val="자체실적1Q"/>
      <sheetName val="2.대외공문"/>
      <sheetName val="직원신상"/>
      <sheetName val="구동"/>
      <sheetName val="대외공문"/>
      <sheetName val="전문품의"/>
      <sheetName val="#REF"/>
      <sheetName val="내수1.8GL"/>
      <sheetName val="업무분장"/>
      <sheetName val="외주현황.wq1"/>
      <sheetName val="OPT손익_내수"/>
      <sheetName val="08년_산정_전체"/>
      <sheetName val="OPT손익_수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계정"/>
      <sheetName val="engline"/>
      <sheetName val="Sheet1"/>
      <sheetName val="9710"/>
      <sheetName val="자체실적1Q"/>
      <sheetName val="2.대외공문"/>
      <sheetName val="직원신상"/>
      <sheetName val="구동"/>
      <sheetName val="대외공문"/>
      <sheetName val="전문품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세운W-A"/>
      <sheetName val="CR CODE"/>
      <sheetName val="부서CODE"/>
      <sheetName val="THEME CODE"/>
      <sheetName val="2.대외공문"/>
      <sheetName val="#REF"/>
      <sheetName val="계정"/>
      <sheetName val="9710"/>
      <sheetName val="영업.일1"/>
      <sheetName val="Sheet1"/>
      <sheetName val="engline"/>
      <sheetName val="자체실적1Q"/>
      <sheetName val="직원신상"/>
      <sheetName val="구동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계획양식(원화기준)"/>
      <sheetName val="매출계획양식(외화기준)"/>
      <sheetName val="국내영업data(수량)"/>
      <sheetName val="data(매출가액)"/>
      <sheetName val="국내영업1,2월 실적"/>
      <sheetName val="api 매출계획"/>
      <sheetName val="uk kit 해외매출"/>
      <sheetName val="합성품 원가"/>
      <sheetName val="제조원가"/>
      <sheetName val="급여"/>
      <sheetName val="노무비(요약)"/>
      <sheetName val="노무비(피봇)"/>
      <sheetName val="노무비"/>
      <sheetName val="노무비(2)"/>
      <sheetName val="경비계획"/>
      <sheetName val="Sheet3"/>
      <sheetName val="CR CODE"/>
      <sheetName val="부서CODE"/>
      <sheetName val="THEME CODE"/>
      <sheetName val="계정"/>
      <sheetName val="9710"/>
      <sheetName val="영업.일1"/>
      <sheetName val="Sheet1"/>
      <sheetName val="engline"/>
      <sheetName val="자체실적1Q"/>
      <sheetName val="2.대외공문"/>
      <sheetName val="직원신상"/>
      <sheetName val="구동"/>
      <sheetName val="대외공문"/>
      <sheetName val="조선"/>
      <sheetName val="봹뭫딈?"/>
      <sheetName val="캐완일정표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계획양식(원화기준)"/>
      <sheetName val="매출계획양식(외화기준)"/>
      <sheetName val="국내영업data(수량)"/>
      <sheetName val="data(매출가액)"/>
      <sheetName val="국내영업1,2월 실적"/>
      <sheetName val="api 매출계획"/>
      <sheetName val="uk kit 해외매출"/>
      <sheetName val="합성품 원가"/>
      <sheetName val="제조원가"/>
      <sheetName val="급여"/>
      <sheetName val="노무비(요약)"/>
      <sheetName val="노무비(피봇)"/>
      <sheetName val="노무비"/>
      <sheetName val="노무비(2)"/>
      <sheetName val="경비계획"/>
      <sheetName val="Sheet3"/>
      <sheetName val="조선"/>
      <sheetName val="봹뭫딈?"/>
      <sheetName val="CR CODE"/>
      <sheetName val="부서CODE"/>
      <sheetName val="THEME CODE"/>
      <sheetName val="계정"/>
      <sheetName val="9710"/>
      <sheetName val="영업.일1"/>
      <sheetName val="Sheet1"/>
      <sheetName val="engline"/>
      <sheetName val="자체실적1Q"/>
      <sheetName val="2.대외공문"/>
      <sheetName val="직원신상"/>
      <sheetName val="구동"/>
      <sheetName val="대외공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下見報告書(Dec 6th)"/>
      <sheetName val="団体確認書(May 19th)"/>
      <sheetName val="表彰式(ﾌｧｳﾝﾃﾝ)"/>
      <sheetName val="懇親会(ｵｰﾁｬｰﾄﾞ)"/>
      <sheetName val="見積表紙"/>
      <sheetName val="見積り"/>
      <sheetName val="ルーミング"/>
      <sheetName val="ルーミング(May.21)"/>
      <sheetName val="名簿"/>
      <sheetName val="ゴルフ"/>
      <sheetName val="マスター"/>
      <sheetName val="대외공문"/>
      <sheetName val="계정"/>
      <sheetName val="uk kit 해외매출"/>
      <sheetName val="HP1AMLIST"/>
      <sheetName val="BCN"/>
      <sheetName val="THEME CODE"/>
      <sheetName val="CR CODE"/>
      <sheetName val="부서CODE"/>
      <sheetName val="9710"/>
      <sheetName val="Sheet1"/>
      <sheetName val="engline"/>
      <sheetName val="자체실적1Q"/>
      <sheetName val="테크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공문"/>
      <sheetName val="직위별"/>
      <sheetName val="인원조정"/>
      <sheetName val="조직도(전체)"/>
      <sheetName val="000000"/>
      <sheetName val="000002"/>
      <sheetName val="통계"/>
      <sheetName val="유첨3-구상서 양식"/>
      <sheetName val="VAR분석"/>
      <sheetName val="부품공용화기대효과 세부내용 (4)"/>
      <sheetName val="사진"/>
      <sheetName val="부품공용화기대효과 세부내용 (3)"/>
      <sheetName val="부품공용화기대효과 세부내용 (양산)"/>
      <sheetName val="부품공용화기대효과 세부내용 (신차)"/>
      <sheetName val="000001"/>
      <sheetName val="硸원조정"/>
      <sheetName val="#REF"/>
      <sheetName val="영업.일1"/>
      <sheetName val="OPT손익 내수"/>
      <sheetName val="OPT손익 수출"/>
      <sheetName val="CR CODE"/>
      <sheetName val="부서CODE"/>
      <sheetName val="THEME CODE"/>
      <sheetName val="재료율"/>
      <sheetName val="대외공문"/>
      <sheetName val="Sheet3"/>
      <sheetName val="Macro1"/>
      <sheetName val="인사기획"/>
      <sheetName val="PC%계산"/>
      <sheetName val="01_RY"/>
      <sheetName val="#REF!"/>
      <sheetName val="작성양식"/>
      <sheetName val="표지★"/>
      <sheetName val="PRO (참조)"/>
      <sheetName val="가격표"/>
      <sheetName val="RD제품개발투자비(매가)"/>
      <sheetName val="지사"/>
      <sheetName val="CVT산정"/>
      <sheetName val="미결업무"/>
      <sheetName val="HP1AMLIST"/>
      <sheetName val="95하U$가격"/>
      <sheetName val="PTR台손익"/>
      <sheetName val="주행"/>
      <sheetName val="名簿"/>
      <sheetName val="マスター"/>
      <sheetName val="2.대외공문"/>
      <sheetName val="uk kit 해외매출"/>
      <sheetName val="BCN"/>
      <sheetName val="계정"/>
      <sheetName val="9710"/>
      <sheetName val="Sheet1"/>
      <sheetName val="engline"/>
      <sheetName val="DATA"/>
      <sheetName val="●현황"/>
      <sheetName val="●목차"/>
      <sheetName val="분석mast"/>
      <sheetName val="종목코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#REF"/>
      <sheetName val="영업.일1"/>
      <sheetName val="명단"/>
      <sheetName val="갑지"/>
      <sheetName val="실행"/>
      <sheetName val="1차명단"/>
      <sheetName val="2.대외공문"/>
      <sheetName val="내수1.8GL"/>
      <sheetName val="名簿"/>
      <sheetName val="マスター"/>
      <sheetName val="재료율"/>
      <sheetName val="대외공문"/>
      <sheetName val="HP1AMLIST"/>
      <sheetName val="BCN"/>
      <sheetName val="THEME CODE"/>
      <sheetName val="CR CODE"/>
      <sheetName val="부서CODE"/>
      <sheetName val="계정"/>
      <sheetName val="9710"/>
      <sheetName val="Sheet1"/>
      <sheetName val="INVOICE"/>
      <sheetName val="uk kit 해외매출"/>
      <sheetName val="투자-국내2"/>
      <sheetName val="강사평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"/>
      <sheetName val="18"/>
      <sheetName val="19"/>
      <sheetName val="20"/>
      <sheetName val="21"/>
      <sheetName val="22"/>
      <sheetName val="손익(총괄)"/>
      <sheetName val="월별손익(총괄)"/>
      <sheetName val="월별손익(아케이드)"/>
      <sheetName val="월별손익(온정각)"/>
      <sheetName val="월별손익(용역) "/>
      <sheetName val="판관(총괄)"/>
      <sheetName val="월별판관(총괄)"/>
      <sheetName val="판관(아케이드)"/>
      <sheetName val="월별판관(아케이드)"/>
      <sheetName val="판관(온정각)"/>
      <sheetName val="월별판관(온정각)"/>
      <sheetName val="판관(용역)"/>
      <sheetName val="월별판관(용역)"/>
      <sheetName val="26"/>
      <sheetName val="5.세운W-A"/>
      <sheetName val="HP1AMLIST"/>
      <sheetName val="대차대조표"/>
      <sheetName val="선급미지급비용"/>
      <sheetName val="CR CODE"/>
      <sheetName val="부서CODE"/>
      <sheetName val="THEME CODE"/>
      <sheetName val="영업.일1"/>
      <sheetName val="대외공문"/>
      <sheetName val="名簿"/>
      <sheetName val="マスター"/>
      <sheetName val="BCN"/>
      <sheetName val="계정"/>
      <sheetName val="9710"/>
      <sheetName val="INVO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종별 합계"/>
      <sheetName val="계정"/>
      <sheetName val="5.세운W-A"/>
      <sheetName val="AT계획B"/>
      <sheetName val="영업.일1"/>
      <sheetName val="THEME CODE"/>
      <sheetName val="CR CODE"/>
      <sheetName val="부서CODE"/>
      <sheetName val="名簿"/>
      <sheetName val="マスター"/>
      <sheetName val="대외공문"/>
      <sheetName val="HP1AMLIST"/>
      <sheetName val="BCN"/>
      <sheetName val="9710"/>
      <sheetName val="2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#REF"/>
      <sheetName val="계정"/>
      <sheetName val="기종별 합계"/>
      <sheetName val="Total"/>
      <sheetName val="항목(1)"/>
      <sheetName val="10월"/>
      <sheetName val="데이타"/>
      <sheetName val="세부추진"/>
      <sheetName val="3.PT개발계획"/>
      <sheetName val="표지"/>
      <sheetName val="2월"/>
      <sheetName val="2.대외공문"/>
      <sheetName val="입사시직위"/>
      <sheetName val="#ССЫЛКА"/>
      <sheetName val="DATE"/>
      <sheetName val="소상 &quot;1&quot;"/>
      <sheetName val="월별수입"/>
      <sheetName val="상용보강"/>
      <sheetName val="시험장S자로가로등공사"/>
      <sheetName val="5.세운W-A"/>
      <sheetName val="영업.일1"/>
      <sheetName val="名簿"/>
      <sheetName val="マスター"/>
      <sheetName val="대외공문"/>
      <sheetName val="HP1AMLIST"/>
      <sheetName val="BCN"/>
      <sheetName val="THEME CODE"/>
      <sheetName val="CR CODE"/>
      <sheetName val="부서CODE"/>
      <sheetName val="BOOK4"/>
      <sheetName val="인원01"/>
      <sheetName val="수리결과"/>
      <sheetName val="정공공사"/>
      <sheetName val="보고품"/>
      <sheetName val="강"/>
      <sheetName val="자체실적1Q"/>
      <sheetName val="행정표준(1)"/>
      <sheetName val="행정표준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과정별"/>
      <sheetName val="항목등록"/>
      <sheetName val="Main화면"/>
      <sheetName val="회사별"/>
      <sheetName val="명단"/>
      <sheetName val="개설과정"/>
      <sheetName val="직원및담당자"/>
      <sheetName val="회사담당자"/>
      <sheetName val="수료증발급대장"/>
      <sheetName val="수납확인서"/>
      <sheetName val="수료증"/>
      <sheetName val="명찰"/>
      <sheetName val="명찰인쇄"/>
      <sheetName val="수료자명단"/>
      <sheetName val="명단 DB"/>
      <sheetName val="Sheet4"/>
      <sheetName val="Sheet5"/>
      <sheetName val="인건비기준"/>
      <sheetName val="기종별 합계"/>
      <sheetName val="계정"/>
      <sheetName val="5.세운W-A"/>
      <sheetName val="영업.일1"/>
      <sheetName val="名簿"/>
      <sheetName val="マスター"/>
      <sheetName val="대외공문"/>
      <sheetName val="HP1AMLIST"/>
      <sheetName val="BCN"/>
      <sheetName val="THEME CODE"/>
      <sheetName val="CR CODE"/>
      <sheetName val="부서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제품운영(안)"/>
      <sheetName val="155억 품목운영 종합"/>
      <sheetName val="160억 품목운영 종합"/>
      <sheetName val="160억브리핑"/>
      <sheetName val="99제품운영(안) (2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신1"/>
      <sheetName val="과정별"/>
      <sheetName val="항목등록"/>
      <sheetName val="인건비기준"/>
      <sheetName val="CR CODE"/>
      <sheetName val="부서CODE"/>
      <sheetName val="THEME CODE"/>
      <sheetName val="내수1.8GL"/>
      <sheetName val="소유주(원)"/>
      <sheetName val="Sheet1"/>
      <sheetName val="기종별 합계"/>
      <sheetName val="계정"/>
      <sheetName val="5.세운W-A"/>
      <sheetName val="영업.일1"/>
      <sheetName val="名簿"/>
      <sheetName val="マスター"/>
      <sheetName val="대외공문"/>
      <sheetName val="HP1AMLIST"/>
      <sheetName val="BCN"/>
      <sheetName val="구동"/>
      <sheetName val="직원신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협조전"/>
      <sheetName val="신1"/>
      <sheetName val="과정별"/>
      <sheetName val="항목등록"/>
      <sheetName val="인건비기준"/>
      <sheetName val="기종별 합계"/>
      <sheetName val="계정"/>
      <sheetName val="5.세운W-A"/>
      <sheetName val="영업.일1"/>
      <sheetName val="名簿"/>
      <sheetName val="マスター"/>
      <sheetName val="대외공문"/>
      <sheetName val="2.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운영(안)"/>
      <sheetName val="협조전"/>
      <sheetName val="신1"/>
      <sheetName val="인건비기준"/>
      <sheetName val="과정별"/>
      <sheetName val="항목등록"/>
      <sheetName val="전문품의"/>
      <sheetName val="HCCE01"/>
      <sheetName val="기종별 합계"/>
      <sheetName val="계정"/>
      <sheetName val="5.세운W-A"/>
      <sheetName val="영업.일1"/>
      <sheetName val="名簿"/>
      <sheetName val="マスタ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목차"/>
      <sheetName val="1.종합"/>
      <sheetName val="2-1.주요업무실적"/>
      <sheetName val="3.생산실적종합"/>
      <sheetName val="3-1.생산실적(월별)"/>
      <sheetName val="3-2.엔진실적(차종구성)"/>
      <sheetName val="4.가동율(PT)"/>
      <sheetName val="4-1.가동종합"/>
      <sheetName val="4-2.가동율실적(월별)"/>
      <sheetName val="5-1.생산성(인당)"/>
      <sheetName val="5-2.생산성(엔진MH)"/>
      <sheetName val="6-1CLAIM(내수)"/>
      <sheetName val="6-2CLAIM(수출)"/>
      <sheetName val="6-3SALVAGE"/>
      <sheetName val="6-4INLINE"/>
      <sheetName val="7.제조원가"/>
      <sheetName val="7-1.원가&amp;비용(경비)"/>
      <sheetName val="7-2.원가&amp;비용(노무비)"/>
      <sheetName val="8-인원변동"/>
      <sheetName val="8-1.출근-인당잔업"/>
      <sheetName val="상반기결산"/>
      <sheetName val="년간실적"/>
      <sheetName val="#REF"/>
      <sheetName val="2.대외공문"/>
      <sheetName val="협조전"/>
      <sheetName val="계실5-1"/>
      <sheetName val="작업일보"/>
      <sheetName val="SPG생산"/>
      <sheetName val="신1"/>
      <sheetName val="과정별"/>
      <sheetName val="항목등록"/>
      <sheetName val="인건비기준"/>
      <sheetName val="기종별 합계"/>
      <sheetName val="계정"/>
      <sheetName val="5.세운W-A"/>
      <sheetName val="영업.일1"/>
      <sheetName val="名簿"/>
      <sheetName val="PTR台손익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2.대외공문"/>
      <sheetName val="협조전"/>
      <sheetName val="출장거리"/>
      <sheetName val="신1"/>
      <sheetName val="과정별"/>
      <sheetName val="항목등록"/>
      <sheetName val="인건비기준"/>
      <sheetName val="기종별 합계"/>
      <sheetName val="계정"/>
      <sheetName val="5.세운W-A"/>
      <sheetName val="영업.일1"/>
      <sheetName val="테크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영업통보"/>
      <sheetName val="전부인쇄"/>
      <sheetName val="R&amp;D"/>
      <sheetName val="2월"/>
      <sheetName val="테크론"/>
      <sheetName val="2.대외공문"/>
      <sheetName val="#REF"/>
      <sheetName val="engline"/>
      <sheetName val="대외공문"/>
      <sheetName val="マスター"/>
      <sheetName val="협조전"/>
      <sheetName val="신1"/>
      <sheetName val="과정별"/>
      <sheetName val="항목등록"/>
      <sheetName val="인건비기준"/>
      <sheetName val="기종별 합계"/>
      <sheetName val="계정"/>
      <sheetName val="5.세운W-A"/>
      <sheetName val="영업.일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처리전"/>
      <sheetName val="전부인쇄"/>
      <sheetName val="R&amp;D"/>
      <sheetName val="대외공문"/>
      <sheetName val="2.대외공문"/>
      <sheetName val="협조전"/>
      <sheetName val="신1"/>
      <sheetName val="과정별"/>
      <sheetName val="항목등록"/>
      <sheetName val="인건비기준"/>
      <sheetName val="기종별 합계"/>
      <sheetName val="계정"/>
      <sheetName val="5.세운W-A"/>
      <sheetName val="マスタ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L"/>
      <sheetName val="DWPM"/>
      <sheetName val="Macro1"/>
      <sheetName val="문서처리전"/>
      <sheetName val="MCT6"/>
      <sheetName val="R&amp;D"/>
      <sheetName val="C83"/>
      <sheetName val="차종별"/>
      <sheetName val="분석mast"/>
      <sheetName val="Sheet5"/>
      <sheetName val="Sheet6 (3)"/>
      <sheetName val="DATA"/>
      <sheetName val="출장거리"/>
      <sheetName val="대외공문"/>
      <sheetName val="2.대외공문"/>
      <sheetName val="존4"/>
      <sheetName val="제안그래프"/>
      <sheetName val="구list"/>
      <sheetName val="생산계획"/>
      <sheetName val="정산표"/>
      <sheetName val="표"/>
      <sheetName val="기안"/>
      <sheetName val="불량현상별END"/>
      <sheetName val="CR CODE"/>
      <sheetName val="부서CODE"/>
      <sheetName val="THEME CODE"/>
      <sheetName val="금형미등록품"/>
      <sheetName val="대구"/>
      <sheetName val="부산"/>
      <sheetName val="성남"/>
      <sheetName val="성동"/>
      <sheetName val="인천"/>
      <sheetName val="주소(한문)"/>
      <sheetName val="계열사현황종합"/>
      <sheetName val="A-A"/>
      <sheetName val="협조전"/>
      <sheetName val="신1"/>
      <sheetName val="과정별"/>
      <sheetName val="항목등록"/>
      <sheetName val="인건비기준"/>
      <sheetName val="기종별 합계"/>
      <sheetName val="계정"/>
      <sheetName val="현금경비중역"/>
      <sheetName val="전부인쇄"/>
      <sheetName val="주력3건이이상자현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1"/>
      <sheetName val="ML"/>
      <sheetName val="구동"/>
      <sheetName val="품의양"/>
      <sheetName val="LIST"/>
      <sheetName val="HP1AMLIST"/>
      <sheetName val="2.대외공문"/>
      <sheetName val="CR CODE"/>
      <sheetName val="부서CODE"/>
      <sheetName val="THEME CODE"/>
      <sheetName val="MCT6"/>
      <sheetName val="R&amp;D"/>
      <sheetName val="DWPM"/>
      <sheetName val="존4"/>
      <sheetName val="주행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RS#39000비교"/>
      <sheetName val="공작"/>
      <sheetName val="모듈"/>
      <sheetName val="전장"/>
      <sheetName val="차체"/>
      <sheetName val="내장"/>
      <sheetName val="외장"/>
      <sheetName val="해외"/>
      <sheetName val="계열사현황종합"/>
      <sheetName val="내수1.8GL"/>
      <sheetName val="Sheet1"/>
      <sheetName val="문서처리전"/>
      <sheetName val="대외공문"/>
      <sheetName val="협조전"/>
      <sheetName val="신1"/>
      <sheetName val="과정별"/>
      <sheetName val="항목등록"/>
      <sheetName val="인건비기준"/>
      <sheetName val="기종별 합계"/>
      <sheetName val="대리점판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1월~7월실적"/>
      <sheetName val="8월실적"/>
      <sheetName val="09월실적"/>
      <sheetName val="순위정렬"/>
      <sheetName val="10월실적"/>
    </sheetNames>
    <sheetDataSet>
      <sheetData sheetId="0" refreshError="1"/>
      <sheetData sheetId="1"/>
      <sheetData sheetId="2"/>
      <sheetData sheetId="3"/>
      <sheetData sheetId="4" refreshError="1"/>
      <sheetData sheetId="5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P1AMLIST"/>
      <sheetName val="2.대외공문"/>
      <sheetName val="ML"/>
      <sheetName val="DWPM"/>
      <sheetName val="문서처리전"/>
      <sheetName val="R&amp;D"/>
      <sheetName val="대외공문"/>
      <sheetName val="협조전"/>
      <sheetName val="신1"/>
      <sheetName val="과정별"/>
      <sheetName val="항목등록"/>
      <sheetName val="인건비기준"/>
      <sheetName val="INVO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LEVLST"/>
      <sheetName val="5.세운W-A"/>
      <sheetName val="종목코드"/>
      <sheetName val="INVOICE"/>
      <sheetName val="2.대외공문"/>
      <sheetName val="협조전"/>
      <sheetName val="98업무실적(실)"/>
      <sheetName val="테크론"/>
      <sheetName val="ML"/>
      <sheetName val="9710"/>
      <sheetName val="9705"/>
      <sheetName val="OPT손익 내수"/>
      <sheetName val="OPT손익 수출"/>
      <sheetName val="지사"/>
      <sheetName val="봹뭫딈?"/>
      <sheetName val="분석m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월"/>
      <sheetName val="Ⅲ"/>
      <sheetName val="HP1AMLIST"/>
      <sheetName val="Sheet1"/>
      <sheetName val="BCN"/>
      <sheetName val="일정"/>
      <sheetName val="ML"/>
      <sheetName val="INVOICE"/>
      <sheetName val="대외공문"/>
      <sheetName val="THEME CODE"/>
      <sheetName val="CR CODE"/>
      <sheetName val="부서CODE"/>
      <sheetName val="계정"/>
      <sheetName val="9710"/>
      <sheetName val="engline"/>
      <sheetName val="자체실적1Q"/>
      <sheetName val="2.대외공문"/>
      <sheetName val="DWPM"/>
      <sheetName val="문서처리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1.기안을지"/>
      <sheetName val="2.대외공문"/>
      <sheetName val="#REF"/>
      <sheetName val="2월"/>
      <sheetName val="대외공문"/>
      <sheetName val="HP1AMLIST"/>
      <sheetName val="BCN"/>
      <sheetName val="전부인쇄"/>
      <sheetName val="일정"/>
      <sheetName val="문서양"/>
      <sheetName val="Activity Report"/>
      <sheetName val="ML"/>
      <sheetName val="DWPM"/>
      <sheetName val="문서처리전"/>
      <sheetName val="R&amp;D"/>
      <sheetName val="협조전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운영계획"/>
      <sheetName val="대상"/>
      <sheetName val="대상 (2)"/>
      <sheetName val="긴급"/>
      <sheetName val="프랫카드시안"/>
      <sheetName val="소모품지원 (2)"/>
      <sheetName val="중식보조비내역"/>
      <sheetName val="도로서비스코너"/>
      <sheetName val="6월중간"/>
      <sheetName val="2.대외공문"/>
      <sheetName val="#REF"/>
      <sheetName val="지우기"/>
      <sheetName val="2월"/>
      <sheetName val="BCN"/>
      <sheetName val="Activity Report"/>
      <sheetName val="ML"/>
      <sheetName val="DWPM"/>
      <sheetName val="문서처리전"/>
      <sheetName val="R&amp;D"/>
      <sheetName val="대외공문"/>
      <sheetName val="HP1AMLIST"/>
      <sheetName val="6월중간.XLS"/>
      <sheetName val="__2624097________WINDOWS_TEMP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일정(도표)"/>
      <sheetName val="李룀메"/>
      <sheetName val="#REF"/>
      <sheetName val="2월"/>
      <sheetName val="2.대외공문"/>
      <sheetName val="BCN"/>
      <sheetName val="Activity Report"/>
      <sheetName val="ML"/>
      <sheetName val="DWPM"/>
      <sheetName val="문서처리전"/>
      <sheetName val="R&amp;D"/>
      <sheetName val="대외공문"/>
      <sheetName val="HP1AMLIST"/>
      <sheetName val="engline"/>
      <sheetName val="자체실적1Q"/>
      <sheetName val="일정(도표).xls"/>
    </sheetNames>
    <definedNames>
      <definedName name="매크로4"/>
      <definedName name="매크로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tivity Report"/>
      <sheetName val="forMRGMtg"/>
      <sheetName val="BCN"/>
      <sheetName val="#REF"/>
      <sheetName val="2월"/>
      <sheetName val="ML"/>
      <sheetName val="DWPM"/>
      <sheetName val="문서처리전"/>
      <sheetName val="R&amp;D"/>
      <sheetName val="테크론"/>
      <sheetName val=""/>
      <sheetName val="Activity_Report"/>
      <sheetName val="점포별계획본부"/>
      <sheetName val="대외공문"/>
    </sheetNames>
    <definedNames>
      <definedName name="메뉴7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제품운영(안)"/>
      <sheetName val="155억 품목운영 종합"/>
      <sheetName val="160억 품목운영 종합"/>
      <sheetName val="160억브리핑"/>
      <sheetName val="99제품운영(안) (2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 Report"/>
      <sheetName val="forMRGMtg"/>
      <sheetName val="uk kit 해외매출"/>
      <sheetName val="일정"/>
      <sheetName val="BCN"/>
      <sheetName val="Activity_Report"/>
      <sheetName val="Activity_Report1"/>
      <sheetName val="uk_kit_해외매출"/>
      <sheetName val="점포별계획본부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 Report"/>
      <sheetName val="forMRGMtg"/>
      <sheetName val="BCN"/>
      <sheetName val="일정"/>
      <sheetName val="Activity_Report"/>
      <sheetName val="uk kit 해외매출"/>
      <sheetName val="Activity_Report1"/>
      <sheetName val="uk_kit_해외매출"/>
      <sheetName val="invoice"/>
      <sheetName val="9710"/>
      <sheetName val="점포별계획본부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李룀메"/>
      <sheetName val="Activity Report"/>
      <sheetName val="Activity_Report"/>
      <sheetName val="Activity_Report1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李룀메"/>
      <sheetName val="Activity Report"/>
      <sheetName val="Activity_Report"/>
      <sheetName val="Activity_Report1"/>
      <sheetName val="9710"/>
      <sheetName val="9705"/>
      <sheetName val="일정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.대외공문"/>
      <sheetName val="계정"/>
      <sheetName val="2월"/>
      <sheetName val="카메라-지분"/>
      <sheetName val="표준문서"/>
      <sheetName val="李룀메"/>
      <sheetName val="Activity Report"/>
      <sheetName val="#REF"/>
      <sheetName val="BCN"/>
      <sheetName val="ML"/>
      <sheetName val="DWPM"/>
      <sheetName val=""/>
    </sheetNames>
    <definedNames>
      <definedName name="틀없애기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직도"/>
      <sheetName val="Sheet1"/>
      <sheetName val="Sheet2"/>
      <sheetName val="Sheet3"/>
      <sheetName val="2.대외공문"/>
      <sheetName val="조직도(4.18)"/>
      <sheetName val="DATE"/>
      <sheetName val="일괄인쇄"/>
      <sheetName val="HP1AMLIST"/>
      <sheetName val="李룀메"/>
      <sheetName val="Activity Report"/>
      <sheetName val="#REF"/>
      <sheetName val="2월"/>
      <sheetName val="BCN"/>
      <sheetName val="M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하U$가격"/>
      <sheetName val="95하U_가격"/>
      <sheetName val="95_U___"/>
      <sheetName val="대외공문"/>
      <sheetName val="Value Summary"/>
      <sheetName val="2.대외공문"/>
      <sheetName val="방식총괄"/>
      <sheetName val="지역매출USD(2002)"/>
      <sheetName val="DAT(목표)"/>
      <sheetName val="#REF"/>
      <sheetName val="major"/>
      <sheetName val="공문"/>
      <sheetName val="총괄표"/>
      <sheetName val="자체실적1Q"/>
      <sheetName val="SULKEA"/>
      <sheetName val="대공종"/>
      <sheetName val="전체현황"/>
      <sheetName val="BUS제원1"/>
      <sheetName val="Sheet1"/>
      <sheetName val="SPEC1"/>
      <sheetName val="기안"/>
      <sheetName val="주행"/>
      <sheetName val="슈마 가격비교"/>
      <sheetName val="리오1.35p(1)"/>
      <sheetName val="Sheet5"/>
      <sheetName val="Sheet6 (3)"/>
      <sheetName val="MDL"/>
      <sheetName val="cost"/>
      <sheetName val="예산계획"/>
      <sheetName val="CALENDAR"/>
      <sheetName val="full (2)"/>
      <sheetName val="생산"/>
      <sheetName val="Sheet2"/>
      <sheetName val="세피아판매"/>
      <sheetName val="간이연락"/>
      <sheetName val="pr34"/>
      <sheetName val="B-III"/>
      <sheetName val="진도현황"/>
      <sheetName val="2P"/>
      <sheetName val="가동일보"/>
      <sheetName val="계열사현황종합"/>
      <sheetName val="data"/>
      <sheetName val="협조전"/>
      <sheetName val="주식형"/>
      <sheetName val="MMF"/>
      <sheetName val="채권형"/>
      <sheetName val="남양시작동010313100%"/>
      <sheetName val="BM_NEW2"/>
      <sheetName val="李룀메"/>
      <sheetName val="Activity Report"/>
      <sheetName val="2월"/>
      <sheetName val="BCN"/>
      <sheetName val="골프3-1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TINERARY"/>
      <sheetName val="95하U$가격"/>
      <sheetName val="96수출"/>
      <sheetName val="대외공문"/>
      <sheetName val="2.대외공문"/>
      <sheetName val="소상판촉"/>
      <sheetName val="李룀메"/>
      <sheetName val="Activity Report"/>
      <sheetName val="#REF"/>
      <sheetName val="2월"/>
      <sheetName val="BCN"/>
      <sheetName val="테크론"/>
      <sheetName val="첨부1"/>
      <sheetName val="선급미지급비용"/>
      <sheetName val="검색"/>
      <sheetName val="Performance Rate"/>
      <sheetName val="시설업체주소록"/>
      <sheetName val="INVOICE"/>
      <sheetName val="Performance_Rate"/>
      <sheetName val="계열사현황종합"/>
      <sheetName val="일정별금액"/>
      <sheetName val="PTR台손익"/>
      <sheetName val="소유주(원)"/>
      <sheetName val="B76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베네"/>
      <sheetName val="95하U$가격"/>
      <sheetName val="ITINERARY"/>
      <sheetName val="대외공문"/>
      <sheetName val="engline"/>
      <sheetName val="문서양식"/>
      <sheetName val="李룀메"/>
      <sheetName val="Activity Report"/>
      <sheetName val="#REF"/>
      <sheetName val="2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소개"/>
      <sheetName val="항목(1)"/>
      <sheetName val="2.대외공문"/>
      <sheetName val="해외"/>
      <sheetName val="베네"/>
      <sheetName val="Sheet1 (2)"/>
      <sheetName val="5.소재"/>
      <sheetName val="계정"/>
      <sheetName val="SIMULATION"/>
      <sheetName val="95하U$가격"/>
      <sheetName val="대외공문"/>
      <sheetName val="BOOK4"/>
      <sheetName val="95MAKER"/>
      <sheetName val="부서소개"/>
      <sheetName val="李룀메"/>
      <sheetName val="Activity Report"/>
      <sheetName val="#REF"/>
      <sheetName val="세부추진"/>
      <sheetName val="T_통화현황_대리점"/>
      <sheetName val="인원자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8"/>
      <sheetName val="소개"/>
      <sheetName val="영업.일1"/>
      <sheetName val="Sheet1"/>
      <sheetName val="현금"/>
      <sheetName val="2.대외공문"/>
      <sheetName val="95MAKER"/>
      <sheetName val="기별명세서"/>
      <sheetName val="베네"/>
      <sheetName val="사업자등록증"/>
      <sheetName val="SIMULATION"/>
      <sheetName val="95하U$가격"/>
      <sheetName val="대외공문"/>
      <sheetName val="李룀메"/>
      <sheetName val="Activity Report"/>
      <sheetName val="①매출"/>
      <sheetName val="당월손익계산서★"/>
      <sheetName val="산출기준(파견전산실)"/>
      <sheetName val="선급미지급비용"/>
      <sheetName val="참고"/>
      <sheetName val="ASP(주20m이상)"/>
      <sheetName val="인부임"/>
      <sheetName val="첨부2. 배송비 및 포장비"/>
      <sheetName val="대차대조표"/>
      <sheetName val="4월총괄장"/>
      <sheetName val="발생집계"/>
      <sheetName val="팀별8.xls"/>
      <sheetName val="영업소실적"/>
      <sheetName val=""/>
      <sheetName val="[팀별8.xls][팀별8.xls][팀별8.xls]A__2"/>
      <sheetName val="[팀별8.xls][팀별8.xls][팀별8.xls]A__4"/>
      <sheetName val="[팀별8.xls][팀별8.xls][팀별8.xls]A__3"/>
      <sheetName val="[팀별8.xls][팀별8.xls][팀별8.xls]A__5"/>
      <sheetName val="[팀별8.xls][팀별8.xls][팀별8.xls]A__6"/>
      <sheetName val="[팀별8.xls][팀별8.xls][팀별8.xls]A_12"/>
      <sheetName val="[팀별8.xls][팀별8.xls][팀별8.xls]A_13"/>
      <sheetName val="[팀별8.xls][팀별8.xls][팀별8.xls]A__7"/>
      <sheetName val="[팀별8.xls][팀별8.xls][팀별8.xls]A__8"/>
      <sheetName val="[팀별8.xls][팀별8.xls][팀별8.xls]A__9"/>
      <sheetName val="[팀별8.xls][팀별8.xls][팀별8.xls]A_10"/>
      <sheetName val="[팀별8.xls][팀별8.xls][팀별8.xls]A_11"/>
      <sheetName val="[팀별8.xls][팀별8.xls][팀별8.xls]A_14"/>
      <sheetName val="[팀별8.xls][팀별8.xls][팀별8.xls]A_15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M회의1"/>
      <sheetName val="소개"/>
      <sheetName val="95MAKER"/>
      <sheetName val="RD제품개발투자비(매가)"/>
      <sheetName val="2.대외공문"/>
      <sheetName val="베네"/>
      <sheetName val="95하U$가격"/>
      <sheetName val="대외공문"/>
      <sheetName val="李룀메"/>
      <sheetName val="Activ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1"/>
      <sheetName val="부품조회"/>
      <sheetName val="조회SUPP"/>
      <sheetName val="간이MLIST"/>
      <sheetName val="원하는_OPTION선택"/>
      <sheetName val="내용추출"/>
      <sheetName val="Sheet6"/>
      <sheetName val="0000"/>
      <sheetName val="베네"/>
      <sheetName val="홍보실공문"/>
      <sheetName val="1L"/>
      <sheetName val="2L"/>
      <sheetName val="3L"/>
      <sheetName val="4L"/>
      <sheetName val="5L"/>
      <sheetName val="6L"/>
      <sheetName val="ML"/>
      <sheetName val="82150-39000"/>
      <sheetName val="2.대외공문"/>
      <sheetName val="현금경비중역"/>
      <sheetName val="05.12"/>
      <sheetName val="뒤차축소"/>
      <sheetName val="원단위"/>
      <sheetName val="표지★"/>
      <sheetName val="HP1AMLIST"/>
      <sheetName val="협조전"/>
      <sheetName val="회사정보"/>
      <sheetName val="Sheet1"/>
      <sheetName val="매출계획"/>
      <sheetName val="소개"/>
      <sheetName val="95하U$가격"/>
      <sheetName val="대외공문"/>
      <sheetName val="李룀메"/>
      <sheetName val="인쇄"/>
      <sheetName val="91100M2200"/>
      <sheetName val="91100M2220"/>
      <sheetName val="91100M2230"/>
      <sheetName val="91100M2240"/>
      <sheetName val="91100M2250"/>
      <sheetName val="91100M2340"/>
      <sheetName val="91100M2350"/>
      <sheetName val="91400M2200"/>
      <sheetName val="91400M2220"/>
      <sheetName val="91400M2300"/>
      <sheetName val="91400M2320"/>
      <sheetName val="91400M2330"/>
      <sheetName val="91640M2200"/>
      <sheetName val="91640M2220"/>
      <sheetName val="91640M2240"/>
      <sheetName val="91641M2200"/>
      <sheetName val="91641M2220"/>
      <sheetName val="91641M2240"/>
      <sheetName val="91642M2200"/>
      <sheetName val="집계표1"/>
      <sheetName val="집계표2"/>
      <sheetName val="단가LIST"/>
      <sheetName val="대당원단위"/>
      <sheetName val="WIR'G PART"/>
      <sheetName val="Sheet14"/>
      <sheetName val="Sheet15"/>
      <sheetName val="#REF"/>
      <sheetName val="[원단위.XLS囼91400M2330"/>
      <sheetName val="_원단위.XLS囼91400M2330"/>
      <sheetName val="차종별"/>
      <sheetName val="분석mast"/>
      <sheetName val="구동"/>
      <sheetName val="#REF!"/>
      <sheetName val="기안"/>
      <sheetName val="Sheet5"/>
      <sheetName val="Sheet6 (3)"/>
      <sheetName val="p2-1"/>
      <sheetName val="TCA"/>
      <sheetName val="시설업체주소록"/>
      <sheetName val="신1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무빙"/>
      <sheetName val="의장"/>
      <sheetName val="본사"/>
      <sheetName val="고무"/>
      <sheetName val="그룹별MASɔ (2)"/>
      <sheetName val="종합"/>
      <sheetName val="내수1.8GL"/>
      <sheetName val="RD제품개발투자비(매가)"/>
      <sheetName val="EF투자비"/>
      <sheetName val="비교원RD-S"/>
      <sheetName val="재정"/>
      <sheetName val="TTT"/>
      <sheetName val="소유주(원)"/>
      <sheetName val="전문품의"/>
      <sheetName val="수입"/>
      <sheetName val="LEASE4"/>
      <sheetName val="BRAKE"/>
      <sheetName val="126.255"/>
      <sheetName val="실적(Q11)"/>
      <sheetName val="예산(Q11)"/>
      <sheetName val="상용_mp"/>
      <sheetName val="합의서(사출)"/>
      <sheetName val="공정"/>
      <sheetName val="내수1_8GL"/>
      <sheetName val="PC%계산"/>
      <sheetName val="비교원RD_S"/>
      <sheetName val="존4"/>
      <sheetName val="냉각실용添1"/>
      <sheetName val="DAT(목표)"/>
      <sheetName val="9164_x0011_M2220"/>
      <sheetName val="Sheet2"/>
      <sheetName val="Sales Forecasts 2002-2007 Total"/>
      <sheetName val="major"/>
      <sheetName val="4DR"/>
      <sheetName val="자료"/>
      <sheetName val="원단위.XLS"/>
      <sheetName val="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조직0402"/>
      <sheetName val="달성자"/>
      <sheetName val="목록"/>
      <sheetName val="작성예"/>
      <sheetName val="총괄표"/>
      <sheetName val="총괄표 (2)"/>
      <sheetName val="747좌석"/>
      <sheetName val="330좌석"/>
      <sheetName val="제출지점"/>
      <sheetName val="T-shirts"/>
      <sheetName val="Sheet3"/>
      <sheetName val="지점 (2)"/>
      <sheetName val="지점 (3)"/>
      <sheetName val="본사인원"/>
      <sheetName val="추가인원"/>
      <sheetName val="Sheet2"/>
      <sheetName val="Sheet1"/>
      <sheetName val="출력용"/>
      <sheetName val="특이사항"/>
      <sheetName val="지점통보용"/>
      <sheetName val="등급별"/>
      <sheetName val="Shangrila"/>
      <sheetName val="Plantation"/>
      <sheetName val="0000"/>
      <sheetName val="대상자족보-1"/>
      <sheetName val="소개"/>
      <sheetName val="2.대외공문"/>
      <sheetName val="베네"/>
      <sheetName val="95하U$가격"/>
      <sheetName val="대외공문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"/>
      <sheetName val="18"/>
      <sheetName val="19"/>
      <sheetName val="20"/>
      <sheetName val="21"/>
      <sheetName val="22"/>
      <sheetName val="손익(총괄)"/>
      <sheetName val="월별손익(총괄)"/>
      <sheetName val="월별손익(아케이드)"/>
      <sheetName val="월별손익(온정각)"/>
      <sheetName val="월별손익(용역) "/>
      <sheetName val="판관(총괄)"/>
      <sheetName val="월별판관(총괄)"/>
      <sheetName val="판관(아케이드)"/>
      <sheetName val="월별판관(아케이드)"/>
      <sheetName val="판관(온정각)"/>
      <sheetName val="월별판관(온정각)"/>
      <sheetName val="판관(용역)"/>
      <sheetName val="월별판관(용역)"/>
      <sheetName val="26"/>
      <sheetName val="양식목차"/>
      <sheetName val="1-1.손익(온정각)"/>
      <sheetName val="1-1.손익(관광식당)"/>
      <sheetName val="1-1.손익(직원식당)"/>
      <sheetName val="1-2.월별손익(온정각)"/>
      <sheetName val="1-2.월별손익(관광식당)"/>
      <sheetName val="Sheet2"/>
      <sheetName val="1-2.월별손익(직원식당)"/>
      <sheetName val="2-1.판관비(지원)"/>
      <sheetName val="2-1.판관비(관광)"/>
      <sheetName val="2-1.판관비(직원) "/>
      <sheetName val="소모품내역"/>
      <sheetName val="직원사급품"/>
      <sheetName val="합산손익"/>
      <sheetName val="인원,매출기준"/>
      <sheetName val="2-1.판관비(온정각)"/>
      <sheetName val="2-2.월별판관비(온정각)"/>
      <sheetName val="2-2.월별판관비(지원)"/>
      <sheetName val="2-2.월별판관비(직원)"/>
      <sheetName val="2-2.월별판관비(휴게소)"/>
      <sheetName val="2-2.월별판관비(스넥코너)"/>
      <sheetName val="2-2.월별판관비(음료코너)"/>
      <sheetName val="2-2.월별판관비(온천장)"/>
      <sheetName val="3-1.수익비용(부문별)"/>
      <sheetName val="3-2.수익비용(월별)"/>
      <sheetName val="4-1.투자(부문)"/>
      <sheetName val="4-2.투자(월별)"/>
      <sheetName val="5-1.인원(온정각)"/>
      <sheetName val="5-2.인원(월별)"/>
      <sheetName val="6.산출근거"/>
      <sheetName val="7.현금흐름"/>
      <sheetName val="마케팅1"/>
      <sheetName val="마케팅1 (2)"/>
      <sheetName val="마케팅1 (3)"/>
      <sheetName val="마케팅1 (4)"/>
      <sheetName val="23"/>
      <sheetName val="24"/>
      <sheetName val="25"/>
      <sheetName val="27"/>
      <sheetName val="28"/>
      <sheetName val="29"/>
      <sheetName val="30"/>
      <sheetName val="인원계획"/>
      <sheetName val="99년누계 (월별)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참조1"/>
      <sheetName val="참조2"/>
      <sheetName val="2월15일"/>
      <sheetName val="아산공문"/>
      <sheetName val="매출현황"/>
      <sheetName val="총괄현황"/>
      <sheetName val="골프스포츠"/>
      <sheetName val="Sheet1"/>
      <sheetName val="Sheet3"/>
      <sheetName val=""/>
      <sheetName val="부서실적"/>
      <sheetName val="출장거리"/>
      <sheetName val="각종data"/>
      <sheetName val="0000"/>
      <sheetName val="설계명세서"/>
      <sheetName val="기별(종합)"/>
      <sheetName val="5.30(土)"/>
      <sheetName val="RD제품개발투자비(매가)"/>
      <sheetName val="二.POSITION.XLS"/>
      <sheetName val="#REF"/>
      <sheetName val="목록"/>
      <sheetName val="월별일수"/>
      <sheetName val="96월별PL"/>
      <sheetName val="선급미지급비용"/>
      <sheetName val="인건비기준"/>
      <sheetName val="갑근세(2010귀속)"/>
      <sheetName val="일반관리비"/>
      <sheetName val="영업.일1"/>
      <sheetName val="선급비용"/>
      <sheetName val="1"/>
      <sheetName val="소개"/>
      <sheetName val="2.대외공문"/>
      <sheetName val="베네"/>
      <sheetName val="95하U$가격"/>
      <sheetName val="대외공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.대외공문"/>
      <sheetName val="대외공문"/>
      <sheetName val="계열사현황종합"/>
      <sheetName val="출장거리"/>
      <sheetName val="전문품의"/>
      <sheetName val="구동"/>
      <sheetName val="지출계획"/>
      <sheetName val="목록"/>
      <sheetName val="0000"/>
      <sheetName val="문서양"/>
      <sheetName val="소개"/>
      <sheetName val="베네"/>
      <sheetName val="95하U$가격"/>
      <sheetName val="모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보고서"/>
      <sheetName val="품의서"/>
      <sheetName val="기안을지"/>
      <sheetName val="협조전 (2)"/>
      <sheetName val="2.대외공문"/>
      <sheetName val="계열사현황종합"/>
      <sheetName val="6회차결과"/>
      <sheetName val="조건"/>
      <sheetName val="자체실적1Q"/>
      <sheetName val="테크론"/>
      <sheetName val="THEME CODE"/>
      <sheetName val="CR CODE"/>
      <sheetName val="부서CODE"/>
      <sheetName val="출장거리"/>
      <sheetName val="계정"/>
      <sheetName val="목록"/>
      <sheetName val="0000"/>
      <sheetName val="BOX공문"/>
      <sheetName val="소개"/>
      <sheetName val="베네"/>
      <sheetName val="95하U$가격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マスター3"/>
      <sheetName val="マスター2"/>
      <sheetName val="マスター"/>
      <sheetName val="条件一覧"/>
      <sheetName val="対象データ平均"/>
      <sheetName val="SS一覧"/>
      <sheetName val="分析"/>
      <sheetName val="経営分析表"/>
      <sheetName val="ﾚｰﾀﾞｰﾁｬｰﾄ"/>
      <sheetName val="経営指標"/>
      <sheetName val="대외공문"/>
      <sheetName val="6회차결과"/>
      <sheetName val="조건"/>
      <sheetName val="uk kit 해외매출"/>
      <sheetName val="조선"/>
      <sheetName val="세부추진"/>
      <sheetName val="Ⅲ"/>
      <sheetName val="A-A"/>
      <sheetName val="소상 &quot;1&quot;"/>
      <sheetName val="명단"/>
      <sheetName val="구동"/>
      <sheetName val="인원01"/>
      <sheetName val="major"/>
      <sheetName val="THEME CODE"/>
      <sheetName val="CR CODE"/>
      <sheetName val="부서CODE"/>
      <sheetName val="계정"/>
      <sheetName val="9710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대외공문"/>
      <sheetName val="현금경비중역"/>
      <sheetName val="간이연락"/>
      <sheetName val="2.대외공문"/>
      <sheetName val="수리결과"/>
      <sheetName val="5.세운W-A"/>
      <sheetName val="6회차결과"/>
      <sheetName val="조건"/>
      <sheetName val="계열사현황종합"/>
      <sheetName val="출장거리"/>
      <sheetName val="목록"/>
      <sheetName val="0000"/>
      <sheetName val="즉시개선실사표"/>
      <sheetName val="소개"/>
      <sheetName val="베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#REF"/>
      <sheetName val="DAT(목표)"/>
      <sheetName val="表Q-092-02 "/>
      <sheetName val="Sheet"/>
      <sheetName val="CALENDAR"/>
      <sheetName val="3.3검토국"/>
      <sheetName val="CAUDIT"/>
      <sheetName val="#REF!"/>
      <sheetName val="대외공문"/>
      <sheetName val="차수"/>
      <sheetName val="5.세운W-A"/>
      <sheetName val="전산품의"/>
      <sheetName val="2.대외공문"/>
      <sheetName val="6회차결과"/>
      <sheetName val="조건"/>
      <sheetName val="계열사현황종합"/>
      <sheetName val="출장거리"/>
      <sheetName val="목록"/>
      <sheetName val="0000"/>
      <sheetName val="종합2"/>
      <sheetName val="소개"/>
      <sheetName val="참조4(예비비)"/>
      <sheetName val="2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여행대상자list(Gold이상)"/>
      <sheetName val="출력용"/>
      <sheetName val="Europe총괄"/>
      <sheetName val="총괄출력"/>
      <sheetName val="별도그룹"/>
      <sheetName val="변동"/>
      <sheetName val="티켓관련"/>
      <sheetName val="VIP석"/>
      <sheetName val="일반석"/>
      <sheetName val="지방세부내역"/>
      <sheetName val="지방항공"/>
      <sheetName val="여권"/>
      <sheetName val="Europe T-shirts"/>
      <sheetName val="Sheet1"/>
      <sheetName val="DAT(목표)"/>
      <sheetName val="대외공문"/>
      <sheetName val="2.대외공문"/>
      <sheetName val="6회차결과"/>
      <sheetName val="조건"/>
      <sheetName val="계열사현황종합"/>
      <sheetName val="출장거리"/>
      <sheetName val="목록"/>
      <sheetName val="0000"/>
      <sheetName val="유럽인원정리(0601)"/>
      <sheetName val="소개"/>
      <sheetName val="일정별금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전문품의"/>
      <sheetName val="DAT(목표)"/>
      <sheetName val="베네"/>
      <sheetName val="Sheet1"/>
      <sheetName val="전산품의"/>
      <sheetName val="수입"/>
      <sheetName val="대외공문"/>
      <sheetName val="6회차결과"/>
      <sheetName val="조건"/>
      <sheetName val="계열사현황종합"/>
      <sheetName val="출장거리"/>
      <sheetName val="목록"/>
      <sheetName val="0000"/>
      <sheetName val="표준문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제품운영(안)"/>
      <sheetName val="155억 품목운영 종합"/>
      <sheetName val="160억 품목운영 종합"/>
      <sheetName val="160억브리핑"/>
      <sheetName val="99제품운영(안) (2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전문품의"/>
      <sheetName val="Sheet1"/>
      <sheetName val="2월"/>
      <sheetName val="DAT(목표)"/>
      <sheetName val="대외공문"/>
      <sheetName val="6회차결과"/>
      <sheetName val="조건"/>
      <sheetName val="계열사현황종합"/>
      <sheetName val="출장거리"/>
      <sheetName val="목록"/>
      <sheetName val="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산출내역"/>
      <sheetName val="#REF"/>
      <sheetName val="2.대외공문"/>
      <sheetName val="Macro2"/>
      <sheetName val="TOT"/>
      <sheetName val="전문품의"/>
      <sheetName val="Sheet1"/>
      <sheetName val="DAT(목표)"/>
      <sheetName val="대외공문"/>
      <sheetName val="6회차결과"/>
      <sheetName val="조건"/>
      <sheetName val="계열사현황종합"/>
      <sheetName val="출장거리"/>
      <sheetName val="목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E"/>
      <sheetName val="일괄인쇄"/>
      <sheetName val="부문별"/>
      <sheetName val="재료율"/>
      <sheetName val="2.대외공문"/>
      <sheetName val="TOT"/>
      <sheetName val="BUS제원1"/>
      <sheetName val="99년1월"/>
      <sheetName val="세부추진"/>
      <sheetName val="상용보강"/>
      <sheetName val="RD제품개발투자비(매가)"/>
      <sheetName val="CLM-MP"/>
      <sheetName val="HP1AMLIST"/>
      <sheetName val="계열사현황종합"/>
      <sheetName val="CNC생산계획"/>
      <sheetName val="2-2. 구체자재 직도보급현황"/>
      <sheetName val="주요투자"/>
      <sheetName val="경비공통"/>
      <sheetName val="외화금융(97-03)"/>
      <sheetName val="M1master"/>
      <sheetName val="AN43"/>
      <sheetName val="경쟁실분"/>
      <sheetName val="차수"/>
      <sheetName val="신규DEP"/>
      <sheetName val="매출손익"/>
      <sheetName val="2COMPO_TABLE"/>
      <sheetName val="#REF"/>
      <sheetName val="첨부1"/>
      <sheetName val="진행률"/>
      <sheetName val="인부신상자료"/>
      <sheetName val="부채계정"/>
      <sheetName val="SLIDES"/>
      <sheetName val="CVT산정"/>
      <sheetName val="일반총괄"/>
      <sheetName val="수주단가"/>
      <sheetName val="CALENDAR"/>
      <sheetName val="구동"/>
      <sheetName val="A-100전제"/>
      <sheetName val="수입"/>
      <sheetName val="임율"/>
      <sheetName val="DWPM"/>
      <sheetName val="가동일보"/>
      <sheetName val="Sheet1"/>
      <sheetName val="협조전"/>
      <sheetName val="pr34"/>
      <sheetName val="0413"/>
      <sheetName val="판관(용역)"/>
      <sheetName val="inputarea_ref"/>
      <sheetName val="V"/>
      <sheetName val="Team 종합"/>
      <sheetName val="Tbom-tot"/>
      <sheetName val="Macro1"/>
      <sheetName val="차체 품안표"/>
      <sheetName val="법인세신고자료"/>
      <sheetName val="5-2"/>
      <sheetName val="SANTAMO"/>
      <sheetName val="손익"/>
      <sheetName val="94B"/>
      <sheetName val="FRECEFECBAILEYS"/>
      <sheetName val="BID"/>
      <sheetName val="9914"/>
      <sheetName val="차량(구)"/>
      <sheetName val="부대비율"/>
      <sheetName val="생산1부신상명세"/>
      <sheetName val="감가상각"/>
      <sheetName val="공용정보"/>
      <sheetName val="거래선"/>
      <sheetName val="완성차 미수금"/>
      <sheetName val="10월작업불량"/>
      <sheetName val="98종합"/>
      <sheetName val="GWB mittelfristig (a)"/>
      <sheetName val="p2-1"/>
      <sheetName val="명단"/>
      <sheetName val="집-년간총율"/>
      <sheetName val="기안"/>
      <sheetName val="R&amp;D"/>
      <sheetName val="#REF!"/>
      <sheetName val="MX628EX"/>
      <sheetName val="Import"/>
      <sheetName val="급여"/>
      <sheetName val="전문품의"/>
      <sheetName val="DAT(목표)"/>
      <sheetName val="대외공문"/>
      <sheetName val="6회차결과"/>
      <sheetName val="조건"/>
      <sheetName val="출장거리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대외공문"/>
      <sheetName val="일정별금액"/>
      <sheetName val="2.대외공문"/>
      <sheetName val="일괄인쇄"/>
      <sheetName val="DATE"/>
      <sheetName val="TCA"/>
      <sheetName val="#REF"/>
      <sheetName val="전문품의"/>
      <sheetName val="Sheet1"/>
      <sheetName val="DAT(목표)"/>
      <sheetName val="6회차결과"/>
      <sheetName val="조건"/>
      <sheetName val="계열사현황종합"/>
      <sheetName val="ITINER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총괄표"/>
      <sheetName val="접수대장"/>
      <sheetName val="입금대장"/>
      <sheetName val="Sheet1"/>
      <sheetName val="일정별금액"/>
      <sheetName val="李룀메"/>
      <sheetName val="대외공문"/>
      <sheetName val="2.대외공문"/>
      <sheetName val="일괄인쇄"/>
      <sheetName val="DATE"/>
      <sheetName val="테크론"/>
      <sheetName val="#REF"/>
      <sheetName val="전문품의"/>
      <sheetName val="DAT(목표)"/>
      <sheetName val="6회차결과"/>
      <sheetName val="조건"/>
      <sheetName val="2_대외공문"/>
      <sheetName val="VIP 골드 최종 리스트(0304)"/>
      <sheetName val="사본 - 2005 컨벤션 신청대장"/>
      <sheetName val="ITINERARY"/>
      <sheetName val="인스펙션비용.xlsx"/>
      <sheetName val="INVOICE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    "/>
      <sheetName val="1.기안지"/>
      <sheetName val="1.기안을지"/>
      <sheetName val="2.대외공문"/>
      <sheetName val="3.시행문"/>
      <sheetName val="4.협조전"/>
      <sheetName val="5.문서수발"/>
      <sheetName val="5.3문서발송대장"/>
      <sheetName val="5.2팀문서접수대장"/>
      <sheetName val="5.1문서접수대장"/>
      <sheetName val="6.발송인"/>
      <sheetName val="7.우편물발송의뢰서"/>
      <sheetName val="8.간행물관리대장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"/>
      <sheetName val="회의록 (을)"/>
      <sheetName val="제안서"/>
      <sheetName val="행정표준(1)"/>
      <sheetName val="행정표준(2)"/>
      <sheetName val="존4"/>
      <sheetName val="대외공문"/>
      <sheetName val="일정별금액"/>
      <sheetName val="DAT(목표)"/>
      <sheetName val="구동"/>
      <sheetName val="#REF"/>
      <sheetName val="전문품의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제안서"/>
      <sheetName val="행정표준(1)"/>
      <sheetName val="행정표준(2)"/>
      <sheetName val="존4"/>
      <sheetName val="영업.일1"/>
      <sheetName val="일정별금액"/>
      <sheetName val="대외공문"/>
      <sheetName val="#REF"/>
      <sheetName val="전문품의"/>
      <sheetName val="Sheet1"/>
      <sheetName val="DAT(목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line"/>
      <sheetName val="#REF"/>
      <sheetName val="2.대외공문"/>
      <sheetName val="제안서"/>
      <sheetName val="행정표준(1)"/>
      <sheetName val="행정표준(2)"/>
      <sheetName val="존4"/>
      <sheetName val="일정별금액"/>
      <sheetName val="대외공문"/>
      <sheetName val="전문품의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산테이블"/>
      <sheetName val="JEJO"/>
      <sheetName val="견본고정"/>
      <sheetName val="관리비부분배부"/>
      <sheetName val="관리비일부배부"/>
      <sheetName val="신구원가비교 (2)"/>
      <sheetName val="유형표_비용"/>
      <sheetName val="견본배부"/>
      <sheetName val="팀장님 안"/>
      <sheetName val="견본세분류"/>
      <sheetName val="팀장님 안(견본) (2)"/>
      <sheetName val="관리비제외"/>
      <sheetName val="Sheet2"/>
      <sheetName val="견본배부방법"/>
      <sheetName val="견본을 고정시키고 (2)"/>
      <sheetName val="생산실적9월누적"/>
      <sheetName val="신구원가비교"/>
      <sheetName val="비교View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월 수당합계"/>
      <sheetName val="9월업적(FC)"/>
      <sheetName val="SM"/>
      <sheetName val="BM"/>
      <sheetName val="Genesis"/>
      <sheetName val="지급율"/>
      <sheetName val="상품코드20090727"/>
      <sheetName val="배우자20091009"/>
      <sheetName val="engline"/>
      <sheetName val="2.대외공문"/>
      <sheetName val="제안서"/>
      <sheetName val="행정표준(1)"/>
      <sheetName val="행정표준(2)"/>
      <sheetName val="존4"/>
      <sheetName val="일정별금액"/>
      <sheetName val="대외공문"/>
      <sheetName val="#REF"/>
      <sheetName val="전문품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피벗"/>
      <sheetName val="인원MASTER"/>
      <sheetName val="피벗(상용빼고)"/>
      <sheetName val="인원MASTER(상용빼고)"/>
      <sheetName val="진급관련DATA"/>
      <sheetName val="직급,지역(0328)"/>
      <sheetName val="직급,지역상용제외(328)"/>
      <sheetName val="Sheet1"/>
      <sheetName val="전출입인원"/>
      <sheetName val="JUM"/>
      <sheetName val="engline"/>
      <sheetName val="2.대외공문"/>
      <sheetName val="지급율"/>
      <sheetName val="p2-1"/>
      <sheetName val="ML"/>
      <sheetName val="제안서"/>
      <sheetName val="행정표준(1)"/>
      <sheetName val="행정표준(2)"/>
      <sheetName val="존4"/>
      <sheetName val="일정별금액"/>
      <sheetName val="대외공문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계획"/>
      <sheetName val="계획 (2)"/>
      <sheetName val="사양"/>
      <sheetName val="공정관리"/>
      <sheetName val="원가관리팀"/>
      <sheetName val="원가관리팀 (2)"/>
      <sheetName val="지원팀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진급관련DATA"/>
      <sheetName val="#REF"/>
      <sheetName val="선급비용"/>
      <sheetName val="미결업무"/>
      <sheetName val="경비공통"/>
      <sheetName val="96"/>
      <sheetName val="채권"/>
      <sheetName val="JUM"/>
      <sheetName val="Macro1"/>
      <sheetName val="대외공문"/>
      <sheetName val="9월급여"/>
      <sheetName val="GRACE"/>
      <sheetName val="RD제품개발투자비(매가)"/>
      <sheetName val="출금실적"/>
      <sheetName val="완성차"/>
      <sheetName val="engline"/>
      <sheetName val="조명시설"/>
      <sheetName val="지급율"/>
      <sheetName val="2.대외공문"/>
      <sheetName val="제안서"/>
      <sheetName val="행정표준(1)"/>
      <sheetName val="행정표준(2)"/>
      <sheetName val="존4"/>
      <sheetName val="일정별금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제품운영(안)"/>
      <sheetName val="155억 품목운영 종합"/>
      <sheetName val="160억 품목운영 종합"/>
      <sheetName val="160억브리핑"/>
      <sheetName val="99제품운영(안) (2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6회차결과"/>
      <sheetName val="Sheet1"/>
      <sheetName val="6회차결과 (2)"/>
      <sheetName val="Crz 대상자 List"/>
      <sheetName val="총괄표 Crz"/>
      <sheetName val="Mzk 대상자 List"/>
      <sheetName val="총괄표 Mzk"/>
      <sheetName val="자비참석비용"/>
      <sheetName val="여권"/>
      <sheetName val="방simul"/>
      <sheetName val="지방세부내역"/>
      <sheetName val="Sheet2"/>
      <sheetName val="T-Shirt"/>
      <sheetName val="요약"/>
      <sheetName val="작성예"/>
      <sheetName val="조직 200703"/>
      <sheetName val="Worldcup"/>
      <sheetName val="조직 200702"/>
      <sheetName val="진급관련DATA"/>
      <sheetName val="JUM"/>
      <sheetName val="지급율"/>
      <sheetName val="engline"/>
      <sheetName val="2.대외공문"/>
      <sheetName val="제안서"/>
      <sheetName val="행정표준(1)"/>
      <sheetName val="행정표준(2)"/>
      <sheetName val="존4"/>
      <sheetName val="일정별금액"/>
      <sheetName val="대외공문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직0609"/>
      <sheetName val="Sheet1"/>
      <sheetName val="여행대상자list"/>
      <sheetName val="Bali총괄"/>
      <sheetName val="최종편명"/>
      <sheetName val="비즈니스좌석배정"/>
      <sheetName val="301좌석"/>
      <sheetName val="384&amp;335 좌석"/>
      <sheetName val="330"/>
      <sheetName val="항공기 Layout"/>
      <sheetName val="진급관련DATA"/>
      <sheetName val="JUM"/>
      <sheetName val="지급율"/>
      <sheetName val="engline"/>
      <sheetName val="2.대외공문"/>
      <sheetName val="제안서"/>
      <sheetName val="행정표준(1)"/>
      <sheetName val="행정표준(2)"/>
      <sheetName val="존4"/>
      <sheetName val="일정별금액"/>
      <sheetName val="대외공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二.POSITION.XLS"/>
      <sheetName val="96"/>
      <sheetName val="二_POSITION_XLS"/>
      <sheetName val="GRACE"/>
      <sheetName val="정리"/>
      <sheetName val="기초자료"/>
      <sheetName val="2.대외공문"/>
      <sheetName val="97회보최"/>
      <sheetName val="major"/>
      <sheetName val="BB"/>
      <sheetName val="96수출"/>
      <sheetName val="진급관련DATA"/>
      <sheetName val="1차명단"/>
      <sheetName val="Sheet1"/>
      <sheetName val="대외공문"/>
      <sheetName val="영업.일1"/>
      <sheetName val="베네"/>
      <sheetName val="JUM"/>
      <sheetName val="지급율"/>
      <sheetName val="engline"/>
      <sheetName val="제안서"/>
      <sheetName val="행정표준(1)"/>
      <sheetName val="행정표준(2)"/>
      <sheetName val="존4"/>
      <sheetName val="일정별금액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형결과"/>
      <sheetName val="학교별 (2)"/>
      <sheetName val="최종결과"/>
      <sheetName val="안배"/>
      <sheetName val="二.POSITION.XLS"/>
      <sheetName val="96"/>
      <sheetName val="JUM"/>
      <sheetName val="Sheet1"/>
      <sheetName val="진급관련DATA"/>
      <sheetName val="지급율"/>
      <sheetName val="engline"/>
      <sheetName val="2.대외공문"/>
      <sheetName val="제안서"/>
      <sheetName val="행정표준(1)"/>
      <sheetName val="행정표준(2)"/>
      <sheetName val="존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P1AMLIST"/>
      <sheetName val="2.대외공문"/>
      <sheetName val="구동"/>
      <sheetName val="ML"/>
      <sheetName val="MC&amp;다변화"/>
      <sheetName val="Macro1"/>
      <sheetName val="종합"/>
      <sheetName val="가공비(2)"/>
      <sheetName val="대표자"/>
      <sheetName val="HPMLGJN"/>
      <sheetName val="등속"/>
      <sheetName val="변속"/>
      <sheetName val="액슬"/>
      <sheetName val="프레임"/>
      <sheetName val="RD제품개발투자비(매가)"/>
      <sheetName val="단표준"/>
      <sheetName val="지사"/>
      <sheetName val="내수1.8GL"/>
      <sheetName val="대표경력"/>
      <sheetName val="대책발표"/>
      <sheetName val="시중유출"/>
      <sheetName val="CAUDIT"/>
      <sheetName val="회사정보"/>
      <sheetName val="대구은행"/>
      <sheetName val="TIBURON"/>
      <sheetName val="원단위 1계 2계"/>
      <sheetName val="Code"/>
      <sheetName val="二.POSITION.XLS"/>
      <sheetName val="R&amp;D"/>
      <sheetName val="BEND LOSS"/>
      <sheetName val="96"/>
      <sheetName val="RDLEVLST"/>
      <sheetName val="INVOICE"/>
      <sheetName val="Sheet1"/>
      <sheetName val="진급관련DATA"/>
      <sheetName val="JUM"/>
      <sheetName val="지급율"/>
      <sheetName val="engline"/>
      <sheetName val="제안서"/>
      <sheetName val="행정표준(1)"/>
      <sheetName val="행정표준(2)"/>
      <sheetName val="조선"/>
      <sheetName val="DWPM"/>
      <sheetName val="5.세운W-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직0402"/>
      <sheetName val="달성자"/>
      <sheetName val="목록"/>
      <sheetName val="작성예"/>
      <sheetName val="총괄표"/>
      <sheetName val="총괄표 (2)"/>
      <sheetName val="747좌석"/>
      <sheetName val="330좌석"/>
      <sheetName val="제출지점"/>
      <sheetName val="T-shirts"/>
      <sheetName val="Sheet3"/>
      <sheetName val="지점 (2)"/>
      <sheetName val="지점 (3)"/>
      <sheetName val="본사인원"/>
      <sheetName val="추가인원"/>
      <sheetName val="Sheet2"/>
      <sheetName val="Sheet1"/>
      <sheetName val="출력용"/>
      <sheetName val="특이사항"/>
      <sheetName val="지점통보용"/>
      <sheetName val="등급별"/>
      <sheetName val="Shangrila"/>
      <sheetName val="Plantation"/>
      <sheetName val="二.POSITION.XLS"/>
      <sheetName val="2.대외공문"/>
      <sheetName val="96"/>
      <sheetName val="진급관련DATA"/>
      <sheetName val="JUM"/>
      <sheetName val="지급율"/>
      <sheetName val="engline"/>
      <sheetName val="조선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정(도표)"/>
      <sheetName val="경비공통"/>
      <sheetName val="二.POSITION.XLS"/>
      <sheetName val="목록"/>
      <sheetName val="2.대외공문"/>
      <sheetName val="96"/>
      <sheetName val="Sheet1"/>
      <sheetName val="진급관련DATA"/>
      <sheetName val="JUM"/>
      <sheetName val="지급율"/>
      <sheetName val="eng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예"/>
      <sheetName val="여행대상자list"/>
      <sheetName val="호텔정산"/>
      <sheetName val="총괄표"/>
      <sheetName val="배차유의_출발"/>
      <sheetName val="배차유의"/>
      <sheetName val="변경사항"/>
      <sheetName val="호차별명단"/>
      <sheetName val="호차별명단2"/>
      <sheetName val="배방유의"/>
      <sheetName val="Room"/>
      <sheetName val="Room (2)"/>
      <sheetName val="통보용"/>
      <sheetName val="여권"/>
      <sheetName val="T-Shirt"/>
      <sheetName val="지방세부내역"/>
      <sheetName val="추가인원"/>
      <sheetName val="Sheet1"/>
      <sheetName val="경비공통"/>
      <sheetName val="목록"/>
      <sheetName val="2.대외공문"/>
      <sheetName val="二.POSITION.XLS"/>
      <sheetName val="96"/>
      <sheetName val="진급관련DATA"/>
      <sheetName val="JUM"/>
      <sheetName val="지급율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구동"/>
      <sheetName val="A4세로"/>
      <sheetName val="B4세로"/>
      <sheetName val="A4가로"/>
      <sheetName val="B4가로"/>
      <sheetName val="표지"/>
      <sheetName val="팀별분배"/>
      <sheetName val="내역"/>
      <sheetName val="연구"/>
      <sheetName val="세부list"/>
      <sheetName val="투자분배"/>
      <sheetName val="경비공통"/>
      <sheetName val="Budget"/>
      <sheetName val="품의양"/>
      <sheetName val="단가"/>
      <sheetName val="표2"/>
      <sheetName val="종합현황"/>
      <sheetName val="표준시간표"/>
      <sheetName val="전체LIST원본"/>
      <sheetName val="1월"/>
      <sheetName val="major"/>
      <sheetName val="HCCE01"/>
      <sheetName val="Sheet1"/>
      <sheetName val="목록"/>
      <sheetName val="2.대외공문"/>
      <sheetName val="二.POSITION.XLS"/>
      <sheetName val="96"/>
      <sheetName val="진급관련DATA"/>
      <sheetName val="JUM"/>
      <sheetName val="__Soce504_net_open_hdpic_docu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    "/>
      <sheetName val="1.기안지"/>
      <sheetName val="1.기안을지"/>
      <sheetName val="2.대외공문"/>
      <sheetName val="3.시행문"/>
      <sheetName val="4.협조전"/>
      <sheetName val="5.문서수발"/>
      <sheetName val="5.3문서발송대장"/>
      <sheetName val="5.2팀문서접수대장"/>
      <sheetName val="5.1문서접수대장"/>
      <sheetName val="6.발송인"/>
      <sheetName val="7.우편물발송의뢰서"/>
      <sheetName val="8.간행물관리대장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"/>
      <sheetName val="회의록 (을)"/>
      <sheetName val="구동"/>
      <sheetName val="제양식"/>
      <sheetName val="경비공통"/>
      <sheetName val="Sheet1"/>
      <sheetName val="HCCE01"/>
      <sheetName val="Ⅲ"/>
      <sheetName val="목록"/>
      <sheetName val="二.POSITION.XLS"/>
      <sheetName val="96"/>
      <sheetName val="진급관련DATA"/>
      <sheetName val=""/>
      <sheetName val="F__ilhong________2001___My_Do_2"/>
    </sheetNames>
    <definedNames>
      <definedName name="틀없애기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과보고"/>
      <sheetName val="결과보고 (2)"/>
      <sheetName val="종합설문분석"/>
      <sheetName val="CNC선반응용"/>
      <sheetName val="비용내역"/>
      <sheetName val="공장별 비용"/>
      <sheetName val="2.대외공문"/>
      <sheetName val="구동"/>
      <sheetName val="CNC 종합결과보고"/>
      <sheetName val="96"/>
      <sheetName val="진급관련DATA"/>
      <sheetName val="Sheet1"/>
      <sheetName val="경비공통"/>
      <sheetName val="목록"/>
      <sheetName val="二.POSITION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1 (2)"/>
      <sheetName val="매출"/>
      <sheetName val="수출"/>
      <sheetName val="재무제표"/>
      <sheetName val="Sheet2"/>
      <sheetName val="Sheet3"/>
      <sheetName val="#REF"/>
      <sheetName val="대외공문"/>
      <sheetName val="초기화면"/>
      <sheetName val="4.Vendor price"/>
      <sheetName val="설비사양서B-1"/>
      <sheetName val="Sheet1"/>
      <sheetName val="재료율"/>
      <sheetName val="DATE"/>
      <sheetName val="96간접경비"/>
      <sheetName val="2.대외공문"/>
      <sheetName val="#REF!"/>
      <sheetName val="구동"/>
      <sheetName val="전체LIST원본"/>
      <sheetName val="전부인쇄"/>
      <sheetName val="개발일정"/>
      <sheetName val="11"/>
      <sheetName val="박차장님받으세요"/>
      <sheetName val="경비공통"/>
      <sheetName val="목록"/>
      <sheetName val="二.POSITION.XLS"/>
      <sheetName val="96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수입"/>
      <sheetName val="xxxxxx"/>
      <sheetName val="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  <sheetName val="계정"/>
      <sheetName val="대외공문"/>
      <sheetName val="2.대외공문"/>
      <sheetName val="수정양식"/>
      <sheetName val="차수"/>
      <sheetName val="구동"/>
      <sheetName val="Sheet1"/>
      <sheetName val="경비공통"/>
      <sheetName val="목록"/>
      <sheetName val="二.POSITION.XLS"/>
      <sheetName val="9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산품의"/>
      <sheetName val="수입"/>
      <sheetName val="계정"/>
      <sheetName val="외주현황.wq1"/>
      <sheetName val="2.대외공문"/>
      <sheetName val="대외공문"/>
      <sheetName val="major"/>
      <sheetName val="현피1"/>
      <sheetName val="구동"/>
      <sheetName val="Book1"/>
      <sheetName val="Sheet1"/>
      <sheetName val="경비공통"/>
      <sheetName val="목록"/>
      <sheetName val="二.POSITION.XLS"/>
      <sheetName val="기타"/>
      <sheetName val="월별매출"/>
      <sheetName val="5.세운W-A"/>
      <sheetName val="인도원가"/>
      <sheetName val="100%개인별 (2)"/>
      <sheetName val="p2-1"/>
      <sheetName val="품의서"/>
      <sheetName val="#REF"/>
      <sheetName val="Macro1"/>
      <sheetName val="11"/>
      <sheetName val="BASE"/>
      <sheetName val="주행"/>
      <sheetName val="표지★"/>
      <sheetName val="MX628EX"/>
      <sheetName val="85872-82"/>
      <sheetName val="???"/>
      <sheetName val="_REF"/>
      <sheetName val="표지_"/>
      <sheetName val="p2_1"/>
      <sheetName val="2_대외공문"/>
      <sheetName val="___"/>
      <sheetName val="차수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Sheet2"/>
      <sheetName val="Sheet3"/>
      <sheetName val="__仛"/>
      <sheetName val="__★"/>
      <sheetName val="2.____"/>
      <sheetName val="A-A"/>
      <sheetName val="재료율"/>
      <sheetName val="작성양식"/>
      <sheetName val="문서처리전"/>
      <sheetName val="Production Plan1"/>
      <sheetName val="CAUDIT"/>
      <sheetName val="협조전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기안"/>
      <sheetName val="R&amp;D"/>
      <sheetName val="신규DEP"/>
      <sheetName val="95계획"/>
      <sheetName val="BUS제원1"/>
      <sheetName val="GRACE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전체현황"/>
      <sheetName val="견적LIST"/>
      <sheetName val="투자계획서"/>
      <sheetName val="Sheet4"/>
      <sheetName val="Sheet5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ㅊ.ㅔㅁㅇ"/>
      <sheetName val="Sheet1_x0000_ˆŒ_x0000__x0004__x0000_ ǅ"/>
      <sheetName val="CD-실적"/>
      <sheetName val="¿ÜÁÖÇöÈ².wq1"/>
      <sheetName val="NBQA"/>
      <sheetName val="FR HR(A-LEA)"/>
      <sheetName val="FR HR(VINYL)"/>
      <sheetName val="PROTECTOR단가"/>
      <sheetName val="bleĤģ"/>
      <sheetName val="??"/>
      <sheetName val="LEASE4"/>
      <sheetName val="DATA"/>
      <sheetName val="MOTO"/>
      <sheetName val="UPH"/>
      <sheetName val="̃_x0000_"/>
      <sheetName val="수출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Sheet1?ˆŒ?_x0004_? ǅ"/>
      <sheetName val="_x0001_?_x0001_?_x0003_?_x0001_?Ô_x0001_?,?¦¦"/>
      <sheetName val="bleĤģ서식을 ĨĥħĦ?률?"/>
      <sheetName val=".mdb,_.htm,_.html,_.pub);웹 페이지("/>
      <sheetName val="bleĤģ서식을 ĨĥħĦ"/>
      <sheetName val="Sheet1_x0000__x0000__x0004__x0000_ ǅ_x0000__x0001__x0000_&lt;BOOK1.XLS]Sh"/>
      <sheetName val="bleĤģ_x0000_서식을 Ĩĥ_x0000_ħĦ_x0000_률_x0000_며_x0000_을 변경īĪ_x0000_용_x0000_ĭĬ"/>
      <sheetName val="__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Sheet1_ˆŒ__x0004__ ǅ"/>
      <sheetName val="_x0001___x0001___x0003___x0001__Ô_x0001__,_¦¦"/>
      <sheetName val="bleĤģ서식을 ĨĥħĦ_률_"/>
      <sheetName val="2월"/>
      <sheetName val="_x0001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종합"/>
      <sheetName val="운영안"/>
      <sheetName val="ISIR"/>
      <sheetName val="시작차"/>
      <sheetName val="PERT(금형)"/>
      <sheetName val="PERT(차체)"/>
      <sheetName val="PERT(의장)"/>
      <sheetName val="Sheet1"/>
      <sheetName val="Sheet3"/>
      <sheetName val="Sheet2 (2)"/>
      <sheetName val="#REF"/>
      <sheetName val="P_x0001_RT(차체)"/>
      <sheetName val="전산품의"/>
      <sheetName val="ML"/>
      <sheetName val="업체명"/>
      <sheetName val="#REF!"/>
      <sheetName val="수입"/>
      <sheetName val="화학 매출"/>
      <sheetName val="매출"/>
      <sheetName val="수입2"/>
      <sheetName val="기안"/>
      <sheetName val="그패프"/>
      <sheetName val="P_x005f_x0001_RT(차체)"/>
      <sheetName val="2.대외공문"/>
      <sheetName val="P_x005f_x005f_x005f_x0001_RT(차체)"/>
      <sheetName val="진급관련DATA"/>
      <sheetName val="계정"/>
      <sheetName val="대외공문"/>
      <sheetName val="구동"/>
      <sheetName val="PM4-7"/>
      <sheetName val="경비공통"/>
      <sheetName val="목록"/>
      <sheetName val="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.3검토국"/>
      <sheetName val="2월"/>
      <sheetName val="ML"/>
      <sheetName val="engline"/>
      <sheetName val="재료율"/>
      <sheetName val="항목(1)"/>
      <sheetName val="전산품의"/>
      <sheetName val="수입"/>
      <sheetName val="계정"/>
      <sheetName val="대외공문"/>
      <sheetName val="2.대외공문"/>
      <sheetName val="구동"/>
      <sheetName val="98상반기 업무실적"/>
      <sheetName val="Sheet1"/>
      <sheetName val="경비공통"/>
      <sheetName val="목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p1"/>
      <sheetName val="Sheet1"/>
      <sheetName val="Sheet2"/>
      <sheetName val="Sheet3"/>
      <sheetName val="#REF"/>
      <sheetName val="차수"/>
      <sheetName val="전시장map"/>
      <sheetName val="ML"/>
      <sheetName val="전산품의"/>
      <sheetName val="일정별금액"/>
      <sheetName val="수입"/>
      <sheetName val="계정"/>
      <sheetName val="대외공문"/>
      <sheetName val="2.대외공문"/>
      <sheetName val="구동"/>
      <sheetName val="경비공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3B747-2F95-42AD-86EB-B21EFAC9A351}" name="Table13" displayName="Table13" ref="A18:E20" headerRowCount="0" totalsRowShown="0" headerRowDxfId="11" dataDxfId="10" headerRowCellStyle="표준 4 4" dataCellStyle="표준 4 4">
  <tableColumns count="5">
    <tableColumn id="1" xr3:uid="{CA9C89D5-C1F0-4B0C-BA6A-68AE40A234FD}" name="Column1" headerRowDxfId="9" dataDxfId="8" headerRowCellStyle="표준 4 4" dataCellStyle="표준 4 4"/>
    <tableColumn id="2" xr3:uid="{1BC61BF8-4158-4E74-9F98-01415057A36C}" name="Column2" headerRowDxfId="7" dataDxfId="6" headerRowCellStyle="표준 4 4" dataCellStyle="표준 4 4"/>
    <tableColumn id="3" xr3:uid="{D7212532-059E-420E-B5C5-BCF7047A9287}" name="Column3" headerRowDxfId="5" dataDxfId="4" headerRowCellStyle="표준 4 4" dataCellStyle="표준 4 4"/>
    <tableColumn id="4" xr3:uid="{0E70D7CC-51F7-4E2C-B3A1-0A80669078DC}" name="Column4" headerRowDxfId="3" dataDxfId="2" headerRowCellStyle="표준 4 4" dataCellStyle="표준 4 4"/>
    <tableColumn id="5" xr3:uid="{A4D5F70F-4569-4ED1-90D7-ED03568B6599}" name="Column5" headerRowDxfId="1" dataDxfId="0" headerRowCellStyle="표준 4 4" dataCellStyle="표준 4 4">
      <calculatedColumnFormula>Table13[[#This Row],[Column3]]*Table13[[#This Row],[Column4]]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54BD-8FD5-4F34-A509-50B93D03A009}">
  <dimension ref="A1:F31"/>
  <sheetViews>
    <sheetView showGridLines="0" workbookViewId="0">
      <selection activeCell="B11" sqref="B11"/>
    </sheetView>
  </sheetViews>
  <sheetFormatPr baseColWidth="10" defaultColWidth="8.83203125" defaultRowHeight="17"/>
  <cols>
    <col min="1" max="1" width="15.6640625" customWidth="1"/>
    <col min="2" max="2" width="27.6640625" customWidth="1"/>
    <col min="3" max="3" width="10.1640625" customWidth="1"/>
    <col min="4" max="4" width="17.6640625" customWidth="1"/>
    <col min="5" max="5" width="32.1640625" customWidth="1"/>
    <col min="6" max="6" width="13.1640625" bestFit="1" customWidth="1"/>
  </cols>
  <sheetData>
    <row r="1" spans="1:5" ht="3.5" customHeight="1">
      <c r="A1" s="173"/>
      <c r="B1" s="173"/>
      <c r="C1" s="173"/>
      <c r="D1" s="173"/>
      <c r="E1" s="173"/>
    </row>
    <row r="2" spans="1:5">
      <c r="A2" s="174"/>
      <c r="B2" s="174"/>
      <c r="C2" s="174"/>
      <c r="D2" s="174"/>
      <c r="E2" s="174"/>
    </row>
    <row r="3" spans="1:5" ht="22">
      <c r="A3" s="175" t="s">
        <v>0</v>
      </c>
      <c r="B3" s="174"/>
      <c r="C3" s="174"/>
      <c r="D3" s="174"/>
      <c r="E3" s="174"/>
    </row>
    <row r="4" spans="1:5">
      <c r="A4" s="176" t="s">
        <v>1</v>
      </c>
      <c r="B4" s="174"/>
      <c r="C4" s="174"/>
      <c r="D4" s="174"/>
      <c r="E4" s="174"/>
    </row>
    <row r="5" spans="1:5">
      <c r="A5" s="176" t="s">
        <v>2</v>
      </c>
      <c r="B5" s="174"/>
      <c r="C5" s="174"/>
      <c r="D5" s="174"/>
      <c r="E5" s="174"/>
    </row>
    <row r="6" spans="1:5">
      <c r="A6" s="177" t="s">
        <v>3</v>
      </c>
      <c r="B6" s="174"/>
      <c r="C6" s="177"/>
      <c r="D6" s="177"/>
      <c r="E6" s="177"/>
    </row>
    <row r="7" spans="1:5">
      <c r="A7" s="174"/>
      <c r="B7" s="174"/>
      <c r="C7" s="174"/>
      <c r="D7" s="174"/>
      <c r="E7" s="174"/>
    </row>
    <row r="8" spans="1:5" ht="42">
      <c r="A8" s="178" t="s">
        <v>4</v>
      </c>
      <c r="B8" s="174"/>
      <c r="C8" s="174"/>
      <c r="D8" s="174"/>
      <c r="E8" s="174"/>
    </row>
    <row r="9" spans="1:5">
      <c r="A9" s="179" t="s">
        <v>5</v>
      </c>
      <c r="B9" s="180"/>
      <c r="C9" s="181"/>
      <c r="D9" s="181"/>
      <c r="E9" s="181"/>
    </row>
    <row r="10" spans="1:5">
      <c r="A10" s="182" t="s">
        <v>6</v>
      </c>
      <c r="B10" s="183"/>
      <c r="C10" s="184"/>
      <c r="D10" s="184"/>
      <c r="E10" s="181"/>
    </row>
    <row r="11" spans="1:5">
      <c r="A11" s="182" t="s">
        <v>7</v>
      </c>
      <c r="B11" s="185"/>
      <c r="C11" s="185"/>
      <c r="D11" s="185"/>
      <c r="E11" s="185"/>
    </row>
    <row r="12" spans="1:5">
      <c r="A12" s="182" t="s">
        <v>8</v>
      </c>
      <c r="B12" s="183"/>
      <c r="C12" s="186"/>
      <c r="D12" s="186"/>
      <c r="E12" s="186"/>
    </row>
    <row r="13" spans="1:5">
      <c r="A13" s="182" t="s">
        <v>9</v>
      </c>
      <c r="B13" s="185" t="s">
        <v>10</v>
      </c>
      <c r="C13" s="185"/>
      <c r="D13" s="181"/>
      <c r="E13" s="182"/>
    </row>
    <row r="14" spans="1:5">
      <c r="A14" s="182" t="s">
        <v>11</v>
      </c>
      <c r="B14" s="187"/>
      <c r="C14" s="186"/>
      <c r="D14" s="181"/>
      <c r="E14" s="182"/>
    </row>
    <row r="15" spans="1:5" ht="18" thickBot="1">
      <c r="A15" s="188"/>
      <c r="B15" s="188"/>
      <c r="C15" s="188"/>
      <c r="D15" s="188"/>
      <c r="E15" s="188"/>
    </row>
    <row r="16" spans="1:5">
      <c r="A16" s="189"/>
      <c r="B16" s="189"/>
      <c r="C16" s="177"/>
      <c r="D16" s="189"/>
      <c r="E16" s="189"/>
    </row>
    <row r="17" spans="1:6" ht="18">
      <c r="A17" s="536" t="s">
        <v>12</v>
      </c>
      <c r="B17" s="536"/>
      <c r="C17" s="190" t="s">
        <v>13</v>
      </c>
      <c r="D17" s="190" t="s">
        <v>14</v>
      </c>
      <c r="E17" s="190" t="s">
        <v>15</v>
      </c>
    </row>
    <row r="18" spans="1:6">
      <c r="A18" s="191"/>
      <c r="B18" s="191"/>
      <c r="C18" s="192">
        <v>1</v>
      </c>
      <c r="D18" s="193"/>
      <c r="E18" s="193">
        <f>Table13[[#This Row],[Column3]]*Table13[[#This Row],[Column4]]</f>
        <v>0</v>
      </c>
    </row>
    <row r="19" spans="1:6">
      <c r="A19" s="191" t="s">
        <v>16</v>
      </c>
      <c r="B19" s="191"/>
      <c r="C19" s="192"/>
      <c r="D19" s="193"/>
      <c r="E19" s="193"/>
    </row>
    <row r="20" spans="1:6" ht="18" thickBot="1">
      <c r="A20" s="194"/>
      <c r="B20" s="194"/>
      <c r="C20" s="195"/>
      <c r="D20" s="195"/>
      <c r="E20" s="193"/>
    </row>
    <row r="21" spans="1:6">
      <c r="A21" s="196" t="s">
        <v>17</v>
      </c>
      <c r="B21" s="196"/>
      <c r="C21" s="197"/>
      <c r="D21" s="198" t="s">
        <v>18</v>
      </c>
      <c r="E21" s="199">
        <f>SUM(E18:E19)</f>
        <v>0</v>
      </c>
    </row>
    <row r="22" spans="1:6">
      <c r="A22" s="200"/>
      <c r="B22" s="200"/>
      <c r="C22" s="201"/>
      <c r="D22" s="202" t="s">
        <v>19</v>
      </c>
      <c r="E22" s="203">
        <v>0</v>
      </c>
    </row>
    <row r="23" spans="1:6" ht="22">
      <c r="A23" s="201"/>
      <c r="B23" s="201"/>
      <c r="C23" s="201"/>
      <c r="D23" s="204" t="s">
        <v>20</v>
      </c>
      <c r="E23" s="205">
        <f>SUM(E21:E22)</f>
        <v>0</v>
      </c>
      <c r="F23" s="206">
        <f>E24/41</f>
        <v>0</v>
      </c>
    </row>
    <row r="24" spans="1:6" ht="22">
      <c r="A24" s="207"/>
      <c r="B24" s="207"/>
      <c r="C24" s="207"/>
      <c r="D24" s="204" t="s">
        <v>21</v>
      </c>
      <c r="E24" s="208">
        <f>E23*B14</f>
        <v>0</v>
      </c>
    </row>
    <row r="25" spans="1:6" ht="27" thickBot="1">
      <c r="A25" s="209"/>
      <c r="B25" s="209"/>
      <c r="C25" s="209"/>
      <c r="D25" s="209"/>
      <c r="E25" s="210"/>
    </row>
    <row r="26" spans="1:6">
      <c r="A26" s="211" t="s">
        <v>22</v>
      </c>
      <c r="B26" s="212" t="s">
        <v>23</v>
      </c>
      <c r="C26" s="213"/>
      <c r="D26" s="214"/>
      <c r="E26" s="215"/>
    </row>
    <row r="27" spans="1:6">
      <c r="A27" s="216" t="s">
        <v>24</v>
      </c>
      <c r="B27" s="217" t="s">
        <v>25</v>
      </c>
      <c r="C27" s="218"/>
      <c r="D27" s="219"/>
      <c r="E27" s="220"/>
    </row>
    <row r="28" spans="1:6">
      <c r="A28" s="216" t="s">
        <v>26</v>
      </c>
      <c r="B28" s="217" t="s">
        <v>27</v>
      </c>
      <c r="C28" s="218"/>
      <c r="D28" s="219"/>
      <c r="E28" s="220"/>
    </row>
    <row r="29" spans="1:6">
      <c r="A29" s="216" t="s">
        <v>28</v>
      </c>
      <c r="B29" s="221">
        <v>852155073</v>
      </c>
      <c r="C29" s="218"/>
      <c r="D29" s="219"/>
      <c r="E29" s="220"/>
    </row>
    <row r="30" spans="1:6">
      <c r="A30" s="216" t="s">
        <v>29</v>
      </c>
      <c r="B30" s="221" t="s">
        <v>30</v>
      </c>
      <c r="C30" s="218"/>
      <c r="D30" s="219"/>
      <c r="E30" s="220"/>
    </row>
    <row r="31" spans="1:6" ht="18" thickBot="1">
      <c r="A31" s="222" t="s">
        <v>31</v>
      </c>
      <c r="B31" s="223" t="s">
        <v>32</v>
      </c>
      <c r="C31" s="224"/>
      <c r="D31" s="225"/>
      <c r="E31" s="226"/>
    </row>
  </sheetData>
  <mergeCells count="1">
    <mergeCell ref="A17:B17"/>
  </mergeCells>
  <phoneticPr fontId="7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5ED7-243A-41A1-A8E5-25FE4E6C57BA}">
  <dimension ref="A1:X42"/>
  <sheetViews>
    <sheetView showGridLines="0" workbookViewId="0">
      <selection activeCell="F10" sqref="F10:O10"/>
    </sheetView>
  </sheetViews>
  <sheetFormatPr baseColWidth="10" defaultColWidth="8.6640625" defaultRowHeight="17"/>
  <cols>
    <col min="1" max="11" width="4" style="160" customWidth="1"/>
    <col min="12" max="12" width="5.1640625" style="160" customWidth="1"/>
    <col min="13" max="14" width="4" style="160" customWidth="1"/>
    <col min="15" max="15" width="4.6640625" style="160" customWidth="1"/>
    <col min="16" max="22" width="4" style="160" customWidth="1"/>
    <col min="23" max="23" width="6.33203125" style="160" customWidth="1"/>
    <col min="24" max="24" width="8" style="160" customWidth="1"/>
    <col min="25" max="256" width="8.6640625" style="160"/>
    <col min="257" max="267" width="4" style="160" customWidth="1"/>
    <col min="268" max="268" width="5.1640625" style="160" customWidth="1"/>
    <col min="269" max="270" width="4" style="160" customWidth="1"/>
    <col min="271" max="271" width="4.6640625" style="160" customWidth="1"/>
    <col min="272" max="278" width="4" style="160" customWidth="1"/>
    <col min="279" max="279" width="6.33203125" style="160" customWidth="1"/>
    <col min="280" max="280" width="8" style="160" customWidth="1"/>
    <col min="281" max="512" width="8.6640625" style="160"/>
    <col min="513" max="523" width="4" style="160" customWidth="1"/>
    <col min="524" max="524" width="5.1640625" style="160" customWidth="1"/>
    <col min="525" max="526" width="4" style="160" customWidth="1"/>
    <col min="527" max="527" width="4.6640625" style="160" customWidth="1"/>
    <col min="528" max="534" width="4" style="160" customWidth="1"/>
    <col min="535" max="535" width="6.33203125" style="160" customWidth="1"/>
    <col min="536" max="536" width="8" style="160" customWidth="1"/>
    <col min="537" max="768" width="8.6640625" style="160"/>
    <col min="769" max="779" width="4" style="160" customWidth="1"/>
    <col min="780" max="780" width="5.1640625" style="160" customWidth="1"/>
    <col min="781" max="782" width="4" style="160" customWidth="1"/>
    <col min="783" max="783" width="4.6640625" style="160" customWidth="1"/>
    <col min="784" max="790" width="4" style="160" customWidth="1"/>
    <col min="791" max="791" width="6.33203125" style="160" customWidth="1"/>
    <col min="792" max="792" width="8" style="160" customWidth="1"/>
    <col min="793" max="1024" width="8.6640625" style="160"/>
    <col min="1025" max="1035" width="4" style="160" customWidth="1"/>
    <col min="1036" max="1036" width="5.1640625" style="160" customWidth="1"/>
    <col min="1037" max="1038" width="4" style="160" customWidth="1"/>
    <col min="1039" max="1039" width="4.6640625" style="160" customWidth="1"/>
    <col min="1040" max="1046" width="4" style="160" customWidth="1"/>
    <col min="1047" max="1047" width="6.33203125" style="160" customWidth="1"/>
    <col min="1048" max="1048" width="8" style="160" customWidth="1"/>
    <col min="1049" max="1280" width="8.6640625" style="160"/>
    <col min="1281" max="1291" width="4" style="160" customWidth="1"/>
    <col min="1292" max="1292" width="5.1640625" style="160" customWidth="1"/>
    <col min="1293" max="1294" width="4" style="160" customWidth="1"/>
    <col min="1295" max="1295" width="4.6640625" style="160" customWidth="1"/>
    <col min="1296" max="1302" width="4" style="160" customWidth="1"/>
    <col min="1303" max="1303" width="6.33203125" style="160" customWidth="1"/>
    <col min="1304" max="1304" width="8" style="160" customWidth="1"/>
    <col min="1305" max="1536" width="8.6640625" style="160"/>
    <col min="1537" max="1547" width="4" style="160" customWidth="1"/>
    <col min="1548" max="1548" width="5.1640625" style="160" customWidth="1"/>
    <col min="1549" max="1550" width="4" style="160" customWidth="1"/>
    <col min="1551" max="1551" width="4.6640625" style="160" customWidth="1"/>
    <col min="1552" max="1558" width="4" style="160" customWidth="1"/>
    <col min="1559" max="1559" width="6.33203125" style="160" customWidth="1"/>
    <col min="1560" max="1560" width="8" style="160" customWidth="1"/>
    <col min="1561" max="1792" width="8.6640625" style="160"/>
    <col min="1793" max="1803" width="4" style="160" customWidth="1"/>
    <col min="1804" max="1804" width="5.1640625" style="160" customWidth="1"/>
    <col min="1805" max="1806" width="4" style="160" customWidth="1"/>
    <col min="1807" max="1807" width="4.6640625" style="160" customWidth="1"/>
    <col min="1808" max="1814" width="4" style="160" customWidth="1"/>
    <col min="1815" max="1815" width="6.33203125" style="160" customWidth="1"/>
    <col min="1816" max="1816" width="8" style="160" customWidth="1"/>
    <col min="1817" max="2048" width="8.6640625" style="160"/>
    <col min="2049" max="2059" width="4" style="160" customWidth="1"/>
    <col min="2060" max="2060" width="5.1640625" style="160" customWidth="1"/>
    <col min="2061" max="2062" width="4" style="160" customWidth="1"/>
    <col min="2063" max="2063" width="4.6640625" style="160" customWidth="1"/>
    <col min="2064" max="2070" width="4" style="160" customWidth="1"/>
    <col min="2071" max="2071" width="6.33203125" style="160" customWidth="1"/>
    <col min="2072" max="2072" width="8" style="160" customWidth="1"/>
    <col min="2073" max="2304" width="8.6640625" style="160"/>
    <col min="2305" max="2315" width="4" style="160" customWidth="1"/>
    <col min="2316" max="2316" width="5.1640625" style="160" customWidth="1"/>
    <col min="2317" max="2318" width="4" style="160" customWidth="1"/>
    <col min="2319" max="2319" width="4.6640625" style="160" customWidth="1"/>
    <col min="2320" max="2326" width="4" style="160" customWidth="1"/>
    <col min="2327" max="2327" width="6.33203125" style="160" customWidth="1"/>
    <col min="2328" max="2328" width="8" style="160" customWidth="1"/>
    <col min="2329" max="2560" width="8.6640625" style="160"/>
    <col min="2561" max="2571" width="4" style="160" customWidth="1"/>
    <col min="2572" max="2572" width="5.1640625" style="160" customWidth="1"/>
    <col min="2573" max="2574" width="4" style="160" customWidth="1"/>
    <col min="2575" max="2575" width="4.6640625" style="160" customWidth="1"/>
    <col min="2576" max="2582" width="4" style="160" customWidth="1"/>
    <col min="2583" max="2583" width="6.33203125" style="160" customWidth="1"/>
    <col min="2584" max="2584" width="8" style="160" customWidth="1"/>
    <col min="2585" max="2816" width="8.6640625" style="160"/>
    <col min="2817" max="2827" width="4" style="160" customWidth="1"/>
    <col min="2828" max="2828" width="5.1640625" style="160" customWidth="1"/>
    <col min="2829" max="2830" width="4" style="160" customWidth="1"/>
    <col min="2831" max="2831" width="4.6640625" style="160" customWidth="1"/>
    <col min="2832" max="2838" width="4" style="160" customWidth="1"/>
    <col min="2839" max="2839" width="6.33203125" style="160" customWidth="1"/>
    <col min="2840" max="2840" width="8" style="160" customWidth="1"/>
    <col min="2841" max="3072" width="8.6640625" style="160"/>
    <col min="3073" max="3083" width="4" style="160" customWidth="1"/>
    <col min="3084" max="3084" width="5.1640625" style="160" customWidth="1"/>
    <col min="3085" max="3086" width="4" style="160" customWidth="1"/>
    <col min="3087" max="3087" width="4.6640625" style="160" customWidth="1"/>
    <col min="3088" max="3094" width="4" style="160" customWidth="1"/>
    <col min="3095" max="3095" width="6.33203125" style="160" customWidth="1"/>
    <col min="3096" max="3096" width="8" style="160" customWidth="1"/>
    <col min="3097" max="3328" width="8.6640625" style="160"/>
    <col min="3329" max="3339" width="4" style="160" customWidth="1"/>
    <col min="3340" max="3340" width="5.1640625" style="160" customWidth="1"/>
    <col min="3341" max="3342" width="4" style="160" customWidth="1"/>
    <col min="3343" max="3343" width="4.6640625" style="160" customWidth="1"/>
    <col min="3344" max="3350" width="4" style="160" customWidth="1"/>
    <col min="3351" max="3351" width="6.33203125" style="160" customWidth="1"/>
    <col min="3352" max="3352" width="8" style="160" customWidth="1"/>
    <col min="3353" max="3584" width="8.6640625" style="160"/>
    <col min="3585" max="3595" width="4" style="160" customWidth="1"/>
    <col min="3596" max="3596" width="5.1640625" style="160" customWidth="1"/>
    <col min="3597" max="3598" width="4" style="160" customWidth="1"/>
    <col min="3599" max="3599" width="4.6640625" style="160" customWidth="1"/>
    <col min="3600" max="3606" width="4" style="160" customWidth="1"/>
    <col min="3607" max="3607" width="6.33203125" style="160" customWidth="1"/>
    <col min="3608" max="3608" width="8" style="160" customWidth="1"/>
    <col min="3609" max="3840" width="8.6640625" style="160"/>
    <col min="3841" max="3851" width="4" style="160" customWidth="1"/>
    <col min="3852" max="3852" width="5.1640625" style="160" customWidth="1"/>
    <col min="3853" max="3854" width="4" style="160" customWidth="1"/>
    <col min="3855" max="3855" width="4.6640625" style="160" customWidth="1"/>
    <col min="3856" max="3862" width="4" style="160" customWidth="1"/>
    <col min="3863" max="3863" width="6.33203125" style="160" customWidth="1"/>
    <col min="3864" max="3864" width="8" style="160" customWidth="1"/>
    <col min="3865" max="4096" width="8.6640625" style="160"/>
    <col min="4097" max="4107" width="4" style="160" customWidth="1"/>
    <col min="4108" max="4108" width="5.1640625" style="160" customWidth="1"/>
    <col min="4109" max="4110" width="4" style="160" customWidth="1"/>
    <col min="4111" max="4111" width="4.6640625" style="160" customWidth="1"/>
    <col min="4112" max="4118" width="4" style="160" customWidth="1"/>
    <col min="4119" max="4119" width="6.33203125" style="160" customWidth="1"/>
    <col min="4120" max="4120" width="8" style="160" customWidth="1"/>
    <col min="4121" max="4352" width="8.6640625" style="160"/>
    <col min="4353" max="4363" width="4" style="160" customWidth="1"/>
    <col min="4364" max="4364" width="5.1640625" style="160" customWidth="1"/>
    <col min="4365" max="4366" width="4" style="160" customWidth="1"/>
    <col min="4367" max="4367" width="4.6640625" style="160" customWidth="1"/>
    <col min="4368" max="4374" width="4" style="160" customWidth="1"/>
    <col min="4375" max="4375" width="6.33203125" style="160" customWidth="1"/>
    <col min="4376" max="4376" width="8" style="160" customWidth="1"/>
    <col min="4377" max="4608" width="8.6640625" style="160"/>
    <col min="4609" max="4619" width="4" style="160" customWidth="1"/>
    <col min="4620" max="4620" width="5.1640625" style="160" customWidth="1"/>
    <col min="4621" max="4622" width="4" style="160" customWidth="1"/>
    <col min="4623" max="4623" width="4.6640625" style="160" customWidth="1"/>
    <col min="4624" max="4630" width="4" style="160" customWidth="1"/>
    <col min="4631" max="4631" width="6.33203125" style="160" customWidth="1"/>
    <col min="4632" max="4632" width="8" style="160" customWidth="1"/>
    <col min="4633" max="4864" width="8.6640625" style="160"/>
    <col min="4865" max="4875" width="4" style="160" customWidth="1"/>
    <col min="4876" max="4876" width="5.1640625" style="160" customWidth="1"/>
    <col min="4877" max="4878" width="4" style="160" customWidth="1"/>
    <col min="4879" max="4879" width="4.6640625" style="160" customWidth="1"/>
    <col min="4880" max="4886" width="4" style="160" customWidth="1"/>
    <col min="4887" max="4887" width="6.33203125" style="160" customWidth="1"/>
    <col min="4888" max="4888" width="8" style="160" customWidth="1"/>
    <col min="4889" max="5120" width="8.6640625" style="160"/>
    <col min="5121" max="5131" width="4" style="160" customWidth="1"/>
    <col min="5132" max="5132" width="5.1640625" style="160" customWidth="1"/>
    <col min="5133" max="5134" width="4" style="160" customWidth="1"/>
    <col min="5135" max="5135" width="4.6640625" style="160" customWidth="1"/>
    <col min="5136" max="5142" width="4" style="160" customWidth="1"/>
    <col min="5143" max="5143" width="6.33203125" style="160" customWidth="1"/>
    <col min="5144" max="5144" width="8" style="160" customWidth="1"/>
    <col min="5145" max="5376" width="8.6640625" style="160"/>
    <col min="5377" max="5387" width="4" style="160" customWidth="1"/>
    <col min="5388" max="5388" width="5.1640625" style="160" customWidth="1"/>
    <col min="5389" max="5390" width="4" style="160" customWidth="1"/>
    <col min="5391" max="5391" width="4.6640625" style="160" customWidth="1"/>
    <col min="5392" max="5398" width="4" style="160" customWidth="1"/>
    <col min="5399" max="5399" width="6.33203125" style="160" customWidth="1"/>
    <col min="5400" max="5400" width="8" style="160" customWidth="1"/>
    <col min="5401" max="5632" width="8.6640625" style="160"/>
    <col min="5633" max="5643" width="4" style="160" customWidth="1"/>
    <col min="5644" max="5644" width="5.1640625" style="160" customWidth="1"/>
    <col min="5645" max="5646" width="4" style="160" customWidth="1"/>
    <col min="5647" max="5647" width="4.6640625" style="160" customWidth="1"/>
    <col min="5648" max="5654" width="4" style="160" customWidth="1"/>
    <col min="5655" max="5655" width="6.33203125" style="160" customWidth="1"/>
    <col min="5656" max="5656" width="8" style="160" customWidth="1"/>
    <col min="5657" max="5888" width="8.6640625" style="160"/>
    <col min="5889" max="5899" width="4" style="160" customWidth="1"/>
    <col min="5900" max="5900" width="5.1640625" style="160" customWidth="1"/>
    <col min="5901" max="5902" width="4" style="160" customWidth="1"/>
    <col min="5903" max="5903" width="4.6640625" style="160" customWidth="1"/>
    <col min="5904" max="5910" width="4" style="160" customWidth="1"/>
    <col min="5911" max="5911" width="6.33203125" style="160" customWidth="1"/>
    <col min="5912" max="5912" width="8" style="160" customWidth="1"/>
    <col min="5913" max="6144" width="8.6640625" style="160"/>
    <col min="6145" max="6155" width="4" style="160" customWidth="1"/>
    <col min="6156" max="6156" width="5.1640625" style="160" customWidth="1"/>
    <col min="6157" max="6158" width="4" style="160" customWidth="1"/>
    <col min="6159" max="6159" width="4.6640625" style="160" customWidth="1"/>
    <col min="6160" max="6166" width="4" style="160" customWidth="1"/>
    <col min="6167" max="6167" width="6.33203125" style="160" customWidth="1"/>
    <col min="6168" max="6168" width="8" style="160" customWidth="1"/>
    <col min="6169" max="6400" width="8.6640625" style="160"/>
    <col min="6401" max="6411" width="4" style="160" customWidth="1"/>
    <col min="6412" max="6412" width="5.1640625" style="160" customWidth="1"/>
    <col min="6413" max="6414" width="4" style="160" customWidth="1"/>
    <col min="6415" max="6415" width="4.6640625" style="160" customWidth="1"/>
    <col min="6416" max="6422" width="4" style="160" customWidth="1"/>
    <col min="6423" max="6423" width="6.33203125" style="160" customWidth="1"/>
    <col min="6424" max="6424" width="8" style="160" customWidth="1"/>
    <col min="6425" max="6656" width="8.6640625" style="160"/>
    <col min="6657" max="6667" width="4" style="160" customWidth="1"/>
    <col min="6668" max="6668" width="5.1640625" style="160" customWidth="1"/>
    <col min="6669" max="6670" width="4" style="160" customWidth="1"/>
    <col min="6671" max="6671" width="4.6640625" style="160" customWidth="1"/>
    <col min="6672" max="6678" width="4" style="160" customWidth="1"/>
    <col min="6679" max="6679" width="6.33203125" style="160" customWidth="1"/>
    <col min="6680" max="6680" width="8" style="160" customWidth="1"/>
    <col min="6681" max="6912" width="8.6640625" style="160"/>
    <col min="6913" max="6923" width="4" style="160" customWidth="1"/>
    <col min="6924" max="6924" width="5.1640625" style="160" customWidth="1"/>
    <col min="6925" max="6926" width="4" style="160" customWidth="1"/>
    <col min="6927" max="6927" width="4.6640625" style="160" customWidth="1"/>
    <col min="6928" max="6934" width="4" style="160" customWidth="1"/>
    <col min="6935" max="6935" width="6.33203125" style="160" customWidth="1"/>
    <col min="6936" max="6936" width="8" style="160" customWidth="1"/>
    <col min="6937" max="7168" width="8.6640625" style="160"/>
    <col min="7169" max="7179" width="4" style="160" customWidth="1"/>
    <col min="7180" max="7180" width="5.1640625" style="160" customWidth="1"/>
    <col min="7181" max="7182" width="4" style="160" customWidth="1"/>
    <col min="7183" max="7183" width="4.6640625" style="160" customWidth="1"/>
    <col min="7184" max="7190" width="4" style="160" customWidth="1"/>
    <col min="7191" max="7191" width="6.33203125" style="160" customWidth="1"/>
    <col min="7192" max="7192" width="8" style="160" customWidth="1"/>
    <col min="7193" max="7424" width="8.6640625" style="160"/>
    <col min="7425" max="7435" width="4" style="160" customWidth="1"/>
    <col min="7436" max="7436" width="5.1640625" style="160" customWidth="1"/>
    <col min="7437" max="7438" width="4" style="160" customWidth="1"/>
    <col min="7439" max="7439" width="4.6640625" style="160" customWidth="1"/>
    <col min="7440" max="7446" width="4" style="160" customWidth="1"/>
    <col min="7447" max="7447" width="6.33203125" style="160" customWidth="1"/>
    <col min="7448" max="7448" width="8" style="160" customWidth="1"/>
    <col min="7449" max="7680" width="8.6640625" style="160"/>
    <col min="7681" max="7691" width="4" style="160" customWidth="1"/>
    <col min="7692" max="7692" width="5.1640625" style="160" customWidth="1"/>
    <col min="7693" max="7694" width="4" style="160" customWidth="1"/>
    <col min="7695" max="7695" width="4.6640625" style="160" customWidth="1"/>
    <col min="7696" max="7702" width="4" style="160" customWidth="1"/>
    <col min="7703" max="7703" width="6.33203125" style="160" customWidth="1"/>
    <col min="7704" max="7704" width="8" style="160" customWidth="1"/>
    <col min="7705" max="7936" width="8.6640625" style="160"/>
    <col min="7937" max="7947" width="4" style="160" customWidth="1"/>
    <col min="7948" max="7948" width="5.1640625" style="160" customWidth="1"/>
    <col min="7949" max="7950" width="4" style="160" customWidth="1"/>
    <col min="7951" max="7951" width="4.6640625" style="160" customWidth="1"/>
    <col min="7952" max="7958" width="4" style="160" customWidth="1"/>
    <col min="7959" max="7959" width="6.33203125" style="160" customWidth="1"/>
    <col min="7960" max="7960" width="8" style="160" customWidth="1"/>
    <col min="7961" max="8192" width="8.6640625" style="160"/>
    <col min="8193" max="8203" width="4" style="160" customWidth="1"/>
    <col min="8204" max="8204" width="5.1640625" style="160" customWidth="1"/>
    <col min="8205" max="8206" width="4" style="160" customWidth="1"/>
    <col min="8207" max="8207" width="4.6640625" style="160" customWidth="1"/>
    <col min="8208" max="8214" width="4" style="160" customWidth="1"/>
    <col min="8215" max="8215" width="6.33203125" style="160" customWidth="1"/>
    <col min="8216" max="8216" width="8" style="160" customWidth="1"/>
    <col min="8217" max="8448" width="8.6640625" style="160"/>
    <col min="8449" max="8459" width="4" style="160" customWidth="1"/>
    <col min="8460" max="8460" width="5.1640625" style="160" customWidth="1"/>
    <col min="8461" max="8462" width="4" style="160" customWidth="1"/>
    <col min="8463" max="8463" width="4.6640625" style="160" customWidth="1"/>
    <col min="8464" max="8470" width="4" style="160" customWidth="1"/>
    <col min="8471" max="8471" width="6.33203125" style="160" customWidth="1"/>
    <col min="8472" max="8472" width="8" style="160" customWidth="1"/>
    <col min="8473" max="8704" width="8.6640625" style="160"/>
    <col min="8705" max="8715" width="4" style="160" customWidth="1"/>
    <col min="8716" max="8716" width="5.1640625" style="160" customWidth="1"/>
    <col min="8717" max="8718" width="4" style="160" customWidth="1"/>
    <col min="8719" max="8719" width="4.6640625" style="160" customWidth="1"/>
    <col min="8720" max="8726" width="4" style="160" customWidth="1"/>
    <col min="8727" max="8727" width="6.33203125" style="160" customWidth="1"/>
    <col min="8728" max="8728" width="8" style="160" customWidth="1"/>
    <col min="8729" max="8960" width="8.6640625" style="160"/>
    <col min="8961" max="8971" width="4" style="160" customWidth="1"/>
    <col min="8972" max="8972" width="5.1640625" style="160" customWidth="1"/>
    <col min="8973" max="8974" width="4" style="160" customWidth="1"/>
    <col min="8975" max="8975" width="4.6640625" style="160" customWidth="1"/>
    <col min="8976" max="8982" width="4" style="160" customWidth="1"/>
    <col min="8983" max="8983" width="6.33203125" style="160" customWidth="1"/>
    <col min="8984" max="8984" width="8" style="160" customWidth="1"/>
    <col min="8985" max="9216" width="8.6640625" style="160"/>
    <col min="9217" max="9227" width="4" style="160" customWidth="1"/>
    <col min="9228" max="9228" width="5.1640625" style="160" customWidth="1"/>
    <col min="9229" max="9230" width="4" style="160" customWidth="1"/>
    <col min="9231" max="9231" width="4.6640625" style="160" customWidth="1"/>
    <col min="9232" max="9238" width="4" style="160" customWidth="1"/>
    <col min="9239" max="9239" width="6.33203125" style="160" customWidth="1"/>
    <col min="9240" max="9240" width="8" style="160" customWidth="1"/>
    <col min="9241" max="9472" width="8.6640625" style="160"/>
    <col min="9473" max="9483" width="4" style="160" customWidth="1"/>
    <col min="9484" max="9484" width="5.1640625" style="160" customWidth="1"/>
    <col min="9485" max="9486" width="4" style="160" customWidth="1"/>
    <col min="9487" max="9487" width="4.6640625" style="160" customWidth="1"/>
    <col min="9488" max="9494" width="4" style="160" customWidth="1"/>
    <col min="9495" max="9495" width="6.33203125" style="160" customWidth="1"/>
    <col min="9496" max="9496" width="8" style="160" customWidth="1"/>
    <col min="9497" max="9728" width="8.6640625" style="160"/>
    <col min="9729" max="9739" width="4" style="160" customWidth="1"/>
    <col min="9740" max="9740" width="5.1640625" style="160" customWidth="1"/>
    <col min="9741" max="9742" width="4" style="160" customWidth="1"/>
    <col min="9743" max="9743" width="4.6640625" style="160" customWidth="1"/>
    <col min="9744" max="9750" width="4" style="160" customWidth="1"/>
    <col min="9751" max="9751" width="6.33203125" style="160" customWidth="1"/>
    <col min="9752" max="9752" width="8" style="160" customWidth="1"/>
    <col min="9753" max="9984" width="8.6640625" style="160"/>
    <col min="9985" max="9995" width="4" style="160" customWidth="1"/>
    <col min="9996" max="9996" width="5.1640625" style="160" customWidth="1"/>
    <col min="9997" max="9998" width="4" style="160" customWidth="1"/>
    <col min="9999" max="9999" width="4.6640625" style="160" customWidth="1"/>
    <col min="10000" max="10006" width="4" style="160" customWidth="1"/>
    <col min="10007" max="10007" width="6.33203125" style="160" customWidth="1"/>
    <col min="10008" max="10008" width="8" style="160" customWidth="1"/>
    <col min="10009" max="10240" width="8.6640625" style="160"/>
    <col min="10241" max="10251" width="4" style="160" customWidth="1"/>
    <col min="10252" max="10252" width="5.1640625" style="160" customWidth="1"/>
    <col min="10253" max="10254" width="4" style="160" customWidth="1"/>
    <col min="10255" max="10255" width="4.6640625" style="160" customWidth="1"/>
    <col min="10256" max="10262" width="4" style="160" customWidth="1"/>
    <col min="10263" max="10263" width="6.33203125" style="160" customWidth="1"/>
    <col min="10264" max="10264" width="8" style="160" customWidth="1"/>
    <col min="10265" max="10496" width="8.6640625" style="160"/>
    <col min="10497" max="10507" width="4" style="160" customWidth="1"/>
    <col min="10508" max="10508" width="5.1640625" style="160" customWidth="1"/>
    <col min="10509" max="10510" width="4" style="160" customWidth="1"/>
    <col min="10511" max="10511" width="4.6640625" style="160" customWidth="1"/>
    <col min="10512" max="10518" width="4" style="160" customWidth="1"/>
    <col min="10519" max="10519" width="6.33203125" style="160" customWidth="1"/>
    <col min="10520" max="10520" width="8" style="160" customWidth="1"/>
    <col min="10521" max="10752" width="8.6640625" style="160"/>
    <col min="10753" max="10763" width="4" style="160" customWidth="1"/>
    <col min="10764" max="10764" width="5.1640625" style="160" customWidth="1"/>
    <col min="10765" max="10766" width="4" style="160" customWidth="1"/>
    <col min="10767" max="10767" width="4.6640625" style="160" customWidth="1"/>
    <col min="10768" max="10774" width="4" style="160" customWidth="1"/>
    <col min="10775" max="10775" width="6.33203125" style="160" customWidth="1"/>
    <col min="10776" max="10776" width="8" style="160" customWidth="1"/>
    <col min="10777" max="11008" width="8.6640625" style="160"/>
    <col min="11009" max="11019" width="4" style="160" customWidth="1"/>
    <col min="11020" max="11020" width="5.1640625" style="160" customWidth="1"/>
    <col min="11021" max="11022" width="4" style="160" customWidth="1"/>
    <col min="11023" max="11023" width="4.6640625" style="160" customWidth="1"/>
    <col min="11024" max="11030" width="4" style="160" customWidth="1"/>
    <col min="11031" max="11031" width="6.33203125" style="160" customWidth="1"/>
    <col min="11032" max="11032" width="8" style="160" customWidth="1"/>
    <col min="11033" max="11264" width="8.6640625" style="160"/>
    <col min="11265" max="11275" width="4" style="160" customWidth="1"/>
    <col min="11276" max="11276" width="5.1640625" style="160" customWidth="1"/>
    <col min="11277" max="11278" width="4" style="160" customWidth="1"/>
    <col min="11279" max="11279" width="4.6640625" style="160" customWidth="1"/>
    <col min="11280" max="11286" width="4" style="160" customWidth="1"/>
    <col min="11287" max="11287" width="6.33203125" style="160" customWidth="1"/>
    <col min="11288" max="11288" width="8" style="160" customWidth="1"/>
    <col min="11289" max="11520" width="8.6640625" style="160"/>
    <col min="11521" max="11531" width="4" style="160" customWidth="1"/>
    <col min="11532" max="11532" width="5.1640625" style="160" customWidth="1"/>
    <col min="11533" max="11534" width="4" style="160" customWidth="1"/>
    <col min="11535" max="11535" width="4.6640625" style="160" customWidth="1"/>
    <col min="11536" max="11542" width="4" style="160" customWidth="1"/>
    <col min="11543" max="11543" width="6.33203125" style="160" customWidth="1"/>
    <col min="11544" max="11544" width="8" style="160" customWidth="1"/>
    <col min="11545" max="11776" width="8.6640625" style="160"/>
    <col min="11777" max="11787" width="4" style="160" customWidth="1"/>
    <col min="11788" max="11788" width="5.1640625" style="160" customWidth="1"/>
    <col min="11789" max="11790" width="4" style="160" customWidth="1"/>
    <col min="11791" max="11791" width="4.6640625" style="160" customWidth="1"/>
    <col min="11792" max="11798" width="4" style="160" customWidth="1"/>
    <col min="11799" max="11799" width="6.33203125" style="160" customWidth="1"/>
    <col min="11800" max="11800" width="8" style="160" customWidth="1"/>
    <col min="11801" max="12032" width="8.6640625" style="160"/>
    <col min="12033" max="12043" width="4" style="160" customWidth="1"/>
    <col min="12044" max="12044" width="5.1640625" style="160" customWidth="1"/>
    <col min="12045" max="12046" width="4" style="160" customWidth="1"/>
    <col min="12047" max="12047" width="4.6640625" style="160" customWidth="1"/>
    <col min="12048" max="12054" width="4" style="160" customWidth="1"/>
    <col min="12055" max="12055" width="6.33203125" style="160" customWidth="1"/>
    <col min="12056" max="12056" width="8" style="160" customWidth="1"/>
    <col min="12057" max="12288" width="8.6640625" style="160"/>
    <col min="12289" max="12299" width="4" style="160" customWidth="1"/>
    <col min="12300" max="12300" width="5.1640625" style="160" customWidth="1"/>
    <col min="12301" max="12302" width="4" style="160" customWidth="1"/>
    <col min="12303" max="12303" width="4.6640625" style="160" customWidth="1"/>
    <col min="12304" max="12310" width="4" style="160" customWidth="1"/>
    <col min="12311" max="12311" width="6.33203125" style="160" customWidth="1"/>
    <col min="12312" max="12312" width="8" style="160" customWidth="1"/>
    <col min="12313" max="12544" width="8.6640625" style="160"/>
    <col min="12545" max="12555" width="4" style="160" customWidth="1"/>
    <col min="12556" max="12556" width="5.1640625" style="160" customWidth="1"/>
    <col min="12557" max="12558" width="4" style="160" customWidth="1"/>
    <col min="12559" max="12559" width="4.6640625" style="160" customWidth="1"/>
    <col min="12560" max="12566" width="4" style="160" customWidth="1"/>
    <col min="12567" max="12567" width="6.33203125" style="160" customWidth="1"/>
    <col min="12568" max="12568" width="8" style="160" customWidth="1"/>
    <col min="12569" max="12800" width="8.6640625" style="160"/>
    <col min="12801" max="12811" width="4" style="160" customWidth="1"/>
    <col min="12812" max="12812" width="5.1640625" style="160" customWidth="1"/>
    <col min="12813" max="12814" width="4" style="160" customWidth="1"/>
    <col min="12815" max="12815" width="4.6640625" style="160" customWidth="1"/>
    <col min="12816" max="12822" width="4" style="160" customWidth="1"/>
    <col min="12823" max="12823" width="6.33203125" style="160" customWidth="1"/>
    <col min="12824" max="12824" width="8" style="160" customWidth="1"/>
    <col min="12825" max="13056" width="8.6640625" style="160"/>
    <col min="13057" max="13067" width="4" style="160" customWidth="1"/>
    <col min="13068" max="13068" width="5.1640625" style="160" customWidth="1"/>
    <col min="13069" max="13070" width="4" style="160" customWidth="1"/>
    <col min="13071" max="13071" width="4.6640625" style="160" customWidth="1"/>
    <col min="13072" max="13078" width="4" style="160" customWidth="1"/>
    <col min="13079" max="13079" width="6.33203125" style="160" customWidth="1"/>
    <col min="13080" max="13080" width="8" style="160" customWidth="1"/>
    <col min="13081" max="13312" width="8.6640625" style="160"/>
    <col min="13313" max="13323" width="4" style="160" customWidth="1"/>
    <col min="13324" max="13324" width="5.1640625" style="160" customWidth="1"/>
    <col min="13325" max="13326" width="4" style="160" customWidth="1"/>
    <col min="13327" max="13327" width="4.6640625" style="160" customWidth="1"/>
    <col min="13328" max="13334" width="4" style="160" customWidth="1"/>
    <col min="13335" max="13335" width="6.33203125" style="160" customWidth="1"/>
    <col min="13336" max="13336" width="8" style="160" customWidth="1"/>
    <col min="13337" max="13568" width="8.6640625" style="160"/>
    <col min="13569" max="13579" width="4" style="160" customWidth="1"/>
    <col min="13580" max="13580" width="5.1640625" style="160" customWidth="1"/>
    <col min="13581" max="13582" width="4" style="160" customWidth="1"/>
    <col min="13583" max="13583" width="4.6640625" style="160" customWidth="1"/>
    <col min="13584" max="13590" width="4" style="160" customWidth="1"/>
    <col min="13591" max="13591" width="6.33203125" style="160" customWidth="1"/>
    <col min="13592" max="13592" width="8" style="160" customWidth="1"/>
    <col min="13593" max="13824" width="8.6640625" style="160"/>
    <col min="13825" max="13835" width="4" style="160" customWidth="1"/>
    <col min="13836" max="13836" width="5.1640625" style="160" customWidth="1"/>
    <col min="13837" max="13838" width="4" style="160" customWidth="1"/>
    <col min="13839" max="13839" width="4.6640625" style="160" customWidth="1"/>
    <col min="13840" max="13846" width="4" style="160" customWidth="1"/>
    <col min="13847" max="13847" width="6.33203125" style="160" customWidth="1"/>
    <col min="13848" max="13848" width="8" style="160" customWidth="1"/>
    <col min="13849" max="14080" width="8.6640625" style="160"/>
    <col min="14081" max="14091" width="4" style="160" customWidth="1"/>
    <col min="14092" max="14092" width="5.1640625" style="160" customWidth="1"/>
    <col min="14093" max="14094" width="4" style="160" customWidth="1"/>
    <col min="14095" max="14095" width="4.6640625" style="160" customWidth="1"/>
    <col min="14096" max="14102" width="4" style="160" customWidth="1"/>
    <col min="14103" max="14103" width="6.33203125" style="160" customWidth="1"/>
    <col min="14104" max="14104" width="8" style="160" customWidth="1"/>
    <col min="14105" max="14336" width="8.6640625" style="160"/>
    <col min="14337" max="14347" width="4" style="160" customWidth="1"/>
    <col min="14348" max="14348" width="5.1640625" style="160" customWidth="1"/>
    <col min="14349" max="14350" width="4" style="160" customWidth="1"/>
    <col min="14351" max="14351" width="4.6640625" style="160" customWidth="1"/>
    <col min="14352" max="14358" width="4" style="160" customWidth="1"/>
    <col min="14359" max="14359" width="6.33203125" style="160" customWidth="1"/>
    <col min="14360" max="14360" width="8" style="160" customWidth="1"/>
    <col min="14361" max="14592" width="8.6640625" style="160"/>
    <col min="14593" max="14603" width="4" style="160" customWidth="1"/>
    <col min="14604" max="14604" width="5.1640625" style="160" customWidth="1"/>
    <col min="14605" max="14606" width="4" style="160" customWidth="1"/>
    <col min="14607" max="14607" width="4.6640625" style="160" customWidth="1"/>
    <col min="14608" max="14614" width="4" style="160" customWidth="1"/>
    <col min="14615" max="14615" width="6.33203125" style="160" customWidth="1"/>
    <col min="14616" max="14616" width="8" style="160" customWidth="1"/>
    <col min="14617" max="14848" width="8.6640625" style="160"/>
    <col min="14849" max="14859" width="4" style="160" customWidth="1"/>
    <col min="14860" max="14860" width="5.1640625" style="160" customWidth="1"/>
    <col min="14861" max="14862" width="4" style="160" customWidth="1"/>
    <col min="14863" max="14863" width="4.6640625" style="160" customWidth="1"/>
    <col min="14864" max="14870" width="4" style="160" customWidth="1"/>
    <col min="14871" max="14871" width="6.33203125" style="160" customWidth="1"/>
    <col min="14872" max="14872" width="8" style="160" customWidth="1"/>
    <col min="14873" max="15104" width="8.6640625" style="160"/>
    <col min="15105" max="15115" width="4" style="160" customWidth="1"/>
    <col min="15116" max="15116" width="5.1640625" style="160" customWidth="1"/>
    <col min="15117" max="15118" width="4" style="160" customWidth="1"/>
    <col min="15119" max="15119" width="4.6640625" style="160" customWidth="1"/>
    <col min="15120" max="15126" width="4" style="160" customWidth="1"/>
    <col min="15127" max="15127" width="6.33203125" style="160" customWidth="1"/>
    <col min="15128" max="15128" width="8" style="160" customWidth="1"/>
    <col min="15129" max="15360" width="8.6640625" style="160"/>
    <col min="15361" max="15371" width="4" style="160" customWidth="1"/>
    <col min="15372" max="15372" width="5.1640625" style="160" customWidth="1"/>
    <col min="15373" max="15374" width="4" style="160" customWidth="1"/>
    <col min="15375" max="15375" width="4.6640625" style="160" customWidth="1"/>
    <col min="15376" max="15382" width="4" style="160" customWidth="1"/>
    <col min="15383" max="15383" width="6.33203125" style="160" customWidth="1"/>
    <col min="15384" max="15384" width="8" style="160" customWidth="1"/>
    <col min="15385" max="15616" width="8.6640625" style="160"/>
    <col min="15617" max="15627" width="4" style="160" customWidth="1"/>
    <col min="15628" max="15628" width="5.1640625" style="160" customWidth="1"/>
    <col min="15629" max="15630" width="4" style="160" customWidth="1"/>
    <col min="15631" max="15631" width="4.6640625" style="160" customWidth="1"/>
    <col min="15632" max="15638" width="4" style="160" customWidth="1"/>
    <col min="15639" max="15639" width="6.33203125" style="160" customWidth="1"/>
    <col min="15640" max="15640" width="8" style="160" customWidth="1"/>
    <col min="15641" max="15872" width="8.6640625" style="160"/>
    <col min="15873" max="15883" width="4" style="160" customWidth="1"/>
    <col min="15884" max="15884" width="5.1640625" style="160" customWidth="1"/>
    <col min="15885" max="15886" width="4" style="160" customWidth="1"/>
    <col min="15887" max="15887" width="4.6640625" style="160" customWidth="1"/>
    <col min="15888" max="15894" width="4" style="160" customWidth="1"/>
    <col min="15895" max="15895" width="6.33203125" style="160" customWidth="1"/>
    <col min="15896" max="15896" width="8" style="160" customWidth="1"/>
    <col min="15897" max="16128" width="8.6640625" style="160"/>
    <col min="16129" max="16139" width="4" style="160" customWidth="1"/>
    <col min="16140" max="16140" width="5.1640625" style="160" customWidth="1"/>
    <col min="16141" max="16142" width="4" style="160" customWidth="1"/>
    <col min="16143" max="16143" width="4.6640625" style="160" customWidth="1"/>
    <col min="16144" max="16150" width="4" style="160" customWidth="1"/>
    <col min="16151" max="16151" width="6.33203125" style="160" customWidth="1"/>
    <col min="16152" max="16152" width="8" style="160" customWidth="1"/>
    <col min="16153" max="16384" width="8.6640625" style="160"/>
  </cols>
  <sheetData>
    <row r="1" spans="1:24" ht="3.5" customHeight="1">
      <c r="A1" s="158"/>
      <c r="B1" s="158"/>
      <c r="C1" s="158"/>
      <c r="D1" s="159"/>
      <c r="E1" s="158"/>
      <c r="F1" s="158"/>
      <c r="G1" s="158"/>
      <c r="H1" s="158"/>
      <c r="I1" s="158"/>
      <c r="J1" s="158"/>
      <c r="K1" s="159"/>
      <c r="L1" s="158"/>
      <c r="M1" s="158"/>
      <c r="N1" s="158"/>
      <c r="O1" s="158"/>
      <c r="P1" s="159"/>
      <c r="Q1" s="158"/>
      <c r="R1" s="158"/>
      <c r="S1" s="158"/>
      <c r="T1" s="158"/>
      <c r="U1" s="158"/>
      <c r="V1" s="159"/>
      <c r="W1" s="158"/>
      <c r="X1" s="158"/>
    </row>
    <row r="2" spans="1:24" ht="15" customHeight="1">
      <c r="D2" s="161"/>
    </row>
    <row r="3" spans="1:24" ht="27">
      <c r="D3" s="162"/>
      <c r="E3" s="163"/>
      <c r="G3" s="164"/>
      <c r="X3" s="164" t="s">
        <v>0</v>
      </c>
    </row>
    <row r="4" spans="1:24">
      <c r="B4" s="161"/>
      <c r="C4" s="161"/>
      <c r="D4" s="162"/>
      <c r="E4" s="163"/>
      <c r="G4" s="165"/>
      <c r="X4" s="165" t="s">
        <v>33</v>
      </c>
    </row>
    <row r="5" spans="1:24">
      <c r="B5" s="161"/>
      <c r="C5" s="161"/>
      <c r="D5" s="162"/>
      <c r="E5" s="163"/>
      <c r="G5" s="166"/>
      <c r="X5" s="166" t="s">
        <v>34</v>
      </c>
    </row>
    <row r="6" spans="1:24" ht="11.5" customHeight="1">
      <c r="B6" s="161"/>
      <c r="C6" s="161"/>
      <c r="D6" s="162"/>
      <c r="E6" s="163"/>
      <c r="G6" s="166"/>
    </row>
    <row r="7" spans="1:24" ht="49">
      <c r="A7" s="546" t="s">
        <v>35</v>
      </c>
      <c r="B7" s="546"/>
      <c r="C7" s="546"/>
      <c r="D7" s="546"/>
      <c r="E7" s="546"/>
      <c r="F7" s="546"/>
      <c r="G7" s="546"/>
      <c r="H7" s="546"/>
      <c r="I7" s="546"/>
      <c r="J7" s="546"/>
      <c r="K7" s="546"/>
      <c r="L7" s="546"/>
      <c r="M7" s="546"/>
      <c r="N7" s="546"/>
      <c r="O7" s="546"/>
      <c r="P7" s="546"/>
      <c r="Q7" s="546"/>
      <c r="R7" s="546"/>
      <c r="S7" s="546"/>
      <c r="T7" s="546"/>
      <c r="U7" s="546"/>
      <c r="V7" s="546"/>
      <c r="W7" s="546"/>
      <c r="X7" s="546"/>
    </row>
    <row r="8" spans="1:24" ht="5.5" customHeight="1">
      <c r="B8" s="161"/>
      <c r="C8" s="161"/>
      <c r="D8" s="163"/>
      <c r="E8" s="163"/>
      <c r="F8" s="163"/>
      <c r="G8" s="163"/>
      <c r="H8" s="163"/>
      <c r="I8" s="163"/>
      <c r="J8" s="163"/>
      <c r="X8" s="167"/>
    </row>
    <row r="9" spans="1:24" s="168" customFormat="1" ht="20" customHeight="1">
      <c r="A9" s="547" t="s">
        <v>36</v>
      </c>
      <c r="B9" s="548"/>
      <c r="C9" s="548"/>
      <c r="D9" s="548"/>
      <c r="E9" s="549"/>
      <c r="F9" s="540" t="s">
        <v>37</v>
      </c>
      <c r="G9" s="541"/>
      <c r="H9" s="541"/>
      <c r="I9" s="541"/>
      <c r="J9" s="541"/>
      <c r="K9" s="541"/>
      <c r="L9" s="541"/>
      <c r="M9" s="541"/>
      <c r="N9" s="541"/>
      <c r="O9" s="542"/>
      <c r="P9" s="547" t="s">
        <v>38</v>
      </c>
      <c r="Q9" s="550"/>
      <c r="R9" s="550"/>
      <c r="S9" s="550"/>
      <c r="T9" s="551"/>
      <c r="U9" s="543"/>
      <c r="V9" s="544"/>
      <c r="W9" s="544"/>
      <c r="X9" s="545"/>
    </row>
    <row r="10" spans="1:24" s="168" customFormat="1" ht="20" customHeight="1">
      <c r="A10" s="537" t="s">
        <v>39</v>
      </c>
      <c r="B10" s="538"/>
      <c r="C10" s="538"/>
      <c r="D10" s="538"/>
      <c r="E10" s="539"/>
      <c r="F10" s="540" t="s">
        <v>40</v>
      </c>
      <c r="G10" s="541"/>
      <c r="H10" s="541"/>
      <c r="I10" s="541"/>
      <c r="J10" s="541"/>
      <c r="K10" s="541"/>
      <c r="L10" s="541"/>
      <c r="M10" s="541"/>
      <c r="N10" s="541"/>
      <c r="O10" s="542"/>
      <c r="P10" s="537" t="s">
        <v>41</v>
      </c>
      <c r="Q10" s="538"/>
      <c r="R10" s="538"/>
      <c r="S10" s="538"/>
      <c r="T10" s="539"/>
      <c r="U10" s="543"/>
      <c r="V10" s="544"/>
      <c r="W10" s="544"/>
      <c r="X10" s="545"/>
    </row>
    <row r="11" spans="1:24" ht="5.5" customHeight="1">
      <c r="B11" s="161"/>
      <c r="C11" s="161"/>
      <c r="D11" s="163"/>
      <c r="E11" s="163"/>
      <c r="F11" s="163"/>
      <c r="G11" s="163"/>
      <c r="H11" s="163"/>
      <c r="I11" s="163"/>
      <c r="J11" s="163"/>
      <c r="X11" s="167"/>
    </row>
    <row r="12" spans="1:24" s="168" customFormat="1" ht="18" thickBot="1">
      <c r="A12" s="169"/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</row>
    <row r="13" spans="1:24" s="168" customFormat="1" ht="18" thickBot="1">
      <c r="A13" s="552" t="s">
        <v>42</v>
      </c>
      <c r="B13" s="553"/>
      <c r="C13" s="553"/>
      <c r="D13" s="553"/>
      <c r="E13" s="554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</row>
    <row r="14" spans="1:24" s="168" customFormat="1" ht="3" customHeight="1">
      <c r="A14" s="169"/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</row>
    <row r="15" spans="1:24" s="168" customFormat="1" ht="20" customHeight="1">
      <c r="A15" s="547" t="s">
        <v>43</v>
      </c>
      <c r="B15" s="550"/>
      <c r="C15" s="550"/>
      <c r="D15" s="550"/>
      <c r="E15" s="551"/>
      <c r="F15" s="555"/>
      <c r="G15" s="555"/>
      <c r="H15" s="555"/>
      <c r="I15" s="555"/>
      <c r="J15" s="555"/>
      <c r="K15" s="555"/>
      <c r="L15" s="555"/>
      <c r="M15" s="555"/>
      <c r="N15" s="555"/>
      <c r="O15" s="555"/>
      <c r="P15" s="547" t="s">
        <v>44</v>
      </c>
      <c r="Q15" s="550"/>
      <c r="R15" s="550"/>
      <c r="S15" s="550"/>
      <c r="T15" s="551"/>
      <c r="U15" s="556"/>
      <c r="V15" s="557"/>
      <c r="W15" s="557"/>
      <c r="X15" s="558"/>
    </row>
    <row r="16" spans="1:24" s="168" customFormat="1" ht="20" customHeight="1">
      <c r="A16" s="594" t="s">
        <v>45</v>
      </c>
      <c r="B16" s="595"/>
      <c r="C16" s="595"/>
      <c r="D16" s="595"/>
      <c r="E16" s="596"/>
      <c r="F16" s="547" t="s">
        <v>46</v>
      </c>
      <c r="G16" s="550"/>
      <c r="H16" s="550"/>
      <c r="I16" s="551"/>
      <c r="J16" s="547" t="s">
        <v>47</v>
      </c>
      <c r="K16" s="550"/>
      <c r="L16" s="551"/>
      <c r="M16" s="547" t="s">
        <v>48</v>
      </c>
      <c r="N16" s="550"/>
      <c r="O16" s="551"/>
      <c r="P16" s="547" t="s">
        <v>49</v>
      </c>
      <c r="Q16" s="550"/>
      <c r="R16" s="550"/>
      <c r="S16" s="550"/>
      <c r="T16" s="551"/>
      <c r="U16" s="550" t="s">
        <v>50</v>
      </c>
      <c r="V16" s="550"/>
      <c r="W16" s="550"/>
      <c r="X16" s="551"/>
    </row>
    <row r="17" spans="1:24" s="168" customFormat="1" ht="20" customHeight="1">
      <c r="A17" s="594"/>
      <c r="B17" s="595"/>
      <c r="C17" s="595"/>
      <c r="D17" s="595"/>
      <c r="E17" s="596"/>
      <c r="F17" s="605"/>
      <c r="G17" s="606"/>
      <c r="H17" s="606"/>
      <c r="I17" s="607"/>
      <c r="J17" s="559"/>
      <c r="K17" s="560"/>
      <c r="L17" s="561"/>
      <c r="M17" s="562"/>
      <c r="N17" s="563"/>
      <c r="O17" s="564"/>
      <c r="P17" s="565"/>
      <c r="Q17" s="566"/>
      <c r="R17" s="566"/>
      <c r="S17" s="566"/>
      <c r="T17" s="567"/>
      <c r="U17" s="568"/>
      <c r="V17" s="569"/>
      <c r="W17" s="569"/>
      <c r="X17" s="570"/>
    </row>
    <row r="18" spans="1:24" s="168" customFormat="1" ht="20" customHeight="1">
      <c r="A18" s="594"/>
      <c r="B18" s="595"/>
      <c r="C18" s="595"/>
      <c r="D18" s="595"/>
      <c r="E18" s="596"/>
      <c r="F18" s="577"/>
      <c r="G18" s="578"/>
      <c r="H18" s="578"/>
      <c r="I18" s="579"/>
      <c r="J18" s="580"/>
      <c r="K18" s="581"/>
      <c r="L18" s="582"/>
      <c r="M18" s="583"/>
      <c r="N18" s="584"/>
      <c r="O18" s="585"/>
      <c r="P18" s="586"/>
      <c r="Q18" s="587"/>
      <c r="R18" s="587"/>
      <c r="S18" s="587"/>
      <c r="T18" s="588"/>
      <c r="U18" s="589"/>
      <c r="V18" s="590"/>
      <c r="W18" s="590"/>
      <c r="X18" s="591"/>
    </row>
    <row r="19" spans="1:24" s="168" customFormat="1" ht="20" customHeight="1">
      <c r="A19" s="594"/>
      <c r="B19" s="595"/>
      <c r="C19" s="595"/>
      <c r="D19" s="595"/>
      <c r="E19" s="596"/>
      <c r="F19" s="592" t="s">
        <v>51</v>
      </c>
      <c r="G19" s="592"/>
      <c r="H19" s="592"/>
      <c r="I19" s="592"/>
      <c r="J19" s="592"/>
      <c r="K19" s="592"/>
      <c r="L19" s="592"/>
      <c r="M19" s="592"/>
      <c r="N19" s="592"/>
      <c r="O19" s="592"/>
      <c r="P19" s="592"/>
      <c r="Q19" s="592"/>
      <c r="R19" s="592"/>
      <c r="S19" s="592"/>
      <c r="T19" s="592"/>
      <c r="U19" s="592"/>
      <c r="V19" s="592"/>
      <c r="W19" s="592"/>
      <c r="X19" s="593"/>
    </row>
    <row r="20" spans="1:24" s="168" customFormat="1" ht="20.5" customHeight="1">
      <c r="A20" s="594"/>
      <c r="B20" s="595"/>
      <c r="C20" s="595"/>
      <c r="D20" s="595"/>
      <c r="E20" s="596"/>
      <c r="F20" s="600" t="s">
        <v>52</v>
      </c>
      <c r="G20" s="601"/>
      <c r="H20" s="601"/>
      <c r="I20" s="601"/>
      <c r="J20" s="601"/>
      <c r="K20" s="601"/>
      <c r="L20" s="601"/>
      <c r="M20" s="601"/>
      <c r="N20" s="601"/>
      <c r="O20" s="601"/>
      <c r="P20" s="601"/>
      <c r="Q20" s="601"/>
      <c r="R20" s="601"/>
      <c r="S20" s="601"/>
      <c r="T20" s="601"/>
      <c r="U20" s="601"/>
      <c r="V20" s="601"/>
      <c r="W20" s="601"/>
      <c r="X20" s="602"/>
    </row>
    <row r="21" spans="1:24" s="168" customFormat="1" ht="20" customHeight="1">
      <c r="A21" s="594"/>
      <c r="B21" s="595"/>
      <c r="C21" s="595"/>
      <c r="D21" s="595"/>
      <c r="E21" s="596"/>
      <c r="F21" s="600" t="s">
        <v>53</v>
      </c>
      <c r="G21" s="601"/>
      <c r="H21" s="601"/>
      <c r="I21" s="601"/>
      <c r="J21" s="601"/>
      <c r="K21" s="601"/>
      <c r="L21" s="601"/>
      <c r="M21" s="601"/>
      <c r="N21" s="601"/>
      <c r="O21" s="601"/>
      <c r="P21" s="601"/>
      <c r="Q21" s="601"/>
      <c r="R21" s="601"/>
      <c r="S21" s="601"/>
      <c r="T21" s="601"/>
      <c r="U21" s="601"/>
      <c r="V21" s="601"/>
      <c r="W21" s="601"/>
      <c r="X21" s="602"/>
    </row>
    <row r="22" spans="1:24" s="168" customFormat="1" ht="20" customHeight="1">
      <c r="A22" s="594"/>
      <c r="B22" s="595"/>
      <c r="C22" s="595"/>
      <c r="D22" s="595"/>
      <c r="E22" s="596"/>
      <c r="F22" s="600" t="s">
        <v>54</v>
      </c>
      <c r="G22" s="601"/>
      <c r="H22" s="601"/>
      <c r="I22" s="601"/>
      <c r="J22" s="601"/>
      <c r="K22" s="601"/>
      <c r="L22" s="601"/>
      <c r="M22" s="601"/>
      <c r="N22" s="601"/>
      <c r="O22" s="601"/>
      <c r="P22" s="601"/>
      <c r="Q22" s="601"/>
      <c r="R22" s="601"/>
      <c r="S22" s="601"/>
      <c r="T22" s="601"/>
      <c r="U22" s="601"/>
      <c r="V22" s="601"/>
      <c r="W22" s="601"/>
      <c r="X22" s="602"/>
    </row>
    <row r="23" spans="1:24" s="168" customFormat="1" ht="20" customHeight="1">
      <c r="A23" s="597"/>
      <c r="B23" s="598"/>
      <c r="C23" s="598"/>
      <c r="D23" s="598"/>
      <c r="E23" s="599"/>
      <c r="F23" s="603" t="s">
        <v>55</v>
      </c>
      <c r="G23" s="603"/>
      <c r="H23" s="603"/>
      <c r="I23" s="603"/>
      <c r="J23" s="603"/>
      <c r="K23" s="603"/>
      <c r="L23" s="603"/>
      <c r="M23" s="603"/>
      <c r="N23" s="603"/>
      <c r="O23" s="603"/>
      <c r="P23" s="603"/>
      <c r="Q23" s="603"/>
      <c r="R23" s="603"/>
      <c r="S23" s="603"/>
      <c r="T23" s="603"/>
      <c r="U23" s="603"/>
      <c r="V23" s="603"/>
      <c r="W23" s="603"/>
      <c r="X23" s="604"/>
    </row>
    <row r="24" spans="1:24" s="168" customFormat="1" ht="18" thickBot="1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</row>
    <row r="25" spans="1:24" s="168" customFormat="1" ht="18" thickBot="1">
      <c r="A25" s="552" t="s">
        <v>56</v>
      </c>
      <c r="B25" s="553"/>
      <c r="C25" s="553"/>
      <c r="D25" s="553"/>
      <c r="E25" s="554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</row>
    <row r="26" spans="1:24" s="168" customFormat="1" ht="3" customHeight="1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</row>
    <row r="27" spans="1:24" s="168" customFormat="1" ht="23.5" customHeight="1">
      <c r="A27" s="571" t="s">
        <v>57</v>
      </c>
      <c r="B27" s="572"/>
      <c r="C27" s="572"/>
      <c r="D27" s="572"/>
      <c r="E27" s="573"/>
      <c r="F27" s="574" t="s">
        <v>58</v>
      </c>
      <c r="G27" s="575"/>
      <c r="H27" s="575"/>
      <c r="I27" s="575"/>
      <c r="J27" s="575"/>
      <c r="K27" s="575"/>
      <c r="L27" s="575"/>
      <c r="M27" s="575"/>
      <c r="N27" s="575"/>
      <c r="O27" s="575"/>
      <c r="P27" s="575"/>
      <c r="Q27" s="575"/>
      <c r="R27" s="575"/>
      <c r="S27" s="575"/>
      <c r="T27" s="575"/>
      <c r="U27" s="575"/>
      <c r="V27" s="575"/>
      <c r="W27" s="575"/>
      <c r="X27" s="576"/>
    </row>
    <row r="28" spans="1:24" s="168" customFormat="1" ht="20" customHeight="1">
      <c r="A28" s="608" t="s">
        <v>59</v>
      </c>
      <c r="B28" s="609"/>
      <c r="C28" s="609"/>
      <c r="D28" s="609"/>
      <c r="E28" s="610"/>
      <c r="F28" s="574" t="s">
        <v>58</v>
      </c>
      <c r="G28" s="575"/>
      <c r="H28" s="575"/>
      <c r="I28" s="575"/>
      <c r="J28" s="575"/>
      <c r="K28" s="575"/>
      <c r="L28" s="575"/>
      <c r="M28" s="575"/>
      <c r="N28" s="575"/>
      <c r="O28" s="575"/>
      <c r="P28" s="575"/>
      <c r="Q28" s="575"/>
      <c r="R28" s="575"/>
      <c r="S28" s="575"/>
      <c r="T28" s="575"/>
      <c r="U28" s="575"/>
      <c r="V28" s="575"/>
      <c r="W28" s="575"/>
      <c r="X28" s="576"/>
    </row>
    <row r="29" spans="1:24" s="168" customFormat="1" ht="22.25" customHeight="1">
      <c r="A29" s="611" t="s">
        <v>60</v>
      </c>
      <c r="B29" s="612"/>
      <c r="C29" s="612"/>
      <c r="D29" s="612"/>
      <c r="E29" s="613"/>
      <c r="F29" s="614" t="s">
        <v>61</v>
      </c>
      <c r="G29" s="615"/>
      <c r="H29" s="615"/>
      <c r="I29" s="615"/>
      <c r="J29" s="615"/>
      <c r="K29" s="615"/>
      <c r="L29" s="615"/>
      <c r="M29" s="615"/>
      <c r="N29" s="615"/>
      <c r="O29" s="615"/>
      <c r="P29" s="615"/>
      <c r="Q29" s="615"/>
      <c r="R29" s="615"/>
      <c r="S29" s="615"/>
      <c r="T29" s="615"/>
      <c r="U29" s="615"/>
      <c r="V29" s="615"/>
      <c r="W29" s="615"/>
      <c r="X29" s="616"/>
    </row>
    <row r="30" spans="1:24" s="168" customFormat="1" ht="20" customHeight="1">
      <c r="A30" s="608" t="s">
        <v>62</v>
      </c>
      <c r="B30" s="609"/>
      <c r="C30" s="609"/>
      <c r="D30" s="609"/>
      <c r="E30" s="610"/>
      <c r="F30" s="617" t="s">
        <v>63</v>
      </c>
      <c r="G30" s="617"/>
      <c r="H30" s="617"/>
      <c r="I30" s="617"/>
      <c r="J30" s="617"/>
      <c r="K30" s="617"/>
      <c r="L30" s="617"/>
      <c r="M30" s="617"/>
      <c r="N30" s="617"/>
      <c r="O30" s="617"/>
      <c r="P30" s="617"/>
      <c r="Q30" s="617"/>
      <c r="R30" s="617"/>
      <c r="S30" s="617"/>
      <c r="T30" s="617"/>
      <c r="U30" s="617"/>
      <c r="V30" s="617"/>
      <c r="W30" s="617"/>
      <c r="X30" s="618"/>
    </row>
    <row r="31" spans="1:24" s="168" customFormat="1" ht="20" customHeight="1">
      <c r="A31" s="619" t="s">
        <v>64</v>
      </c>
      <c r="B31" s="620"/>
      <c r="C31" s="620"/>
      <c r="D31" s="620"/>
      <c r="E31" s="621"/>
      <c r="F31" s="622" t="s">
        <v>58</v>
      </c>
      <c r="G31" s="622"/>
      <c r="H31" s="622"/>
      <c r="I31" s="622"/>
      <c r="J31" s="622"/>
      <c r="K31" s="622"/>
      <c r="L31" s="622"/>
      <c r="M31" s="622"/>
      <c r="N31" s="622"/>
      <c r="O31" s="622"/>
      <c r="P31" s="622"/>
      <c r="Q31" s="622"/>
      <c r="R31" s="622"/>
      <c r="S31" s="622"/>
      <c r="T31" s="622"/>
      <c r="U31" s="622"/>
      <c r="V31" s="622"/>
      <c r="W31" s="622"/>
      <c r="X31" s="623"/>
    </row>
    <row r="32" spans="1:24" s="168" customFormat="1" ht="20" customHeight="1">
      <c r="A32" s="537" t="s">
        <v>65</v>
      </c>
      <c r="B32" s="538"/>
      <c r="C32" s="538"/>
      <c r="D32" s="538"/>
      <c r="E32" s="539"/>
      <c r="F32" s="603" t="s">
        <v>66</v>
      </c>
      <c r="G32" s="603"/>
      <c r="H32" s="603"/>
      <c r="I32" s="603"/>
      <c r="J32" s="603"/>
      <c r="K32" s="603"/>
      <c r="L32" s="603"/>
      <c r="M32" s="603"/>
      <c r="N32" s="603"/>
      <c r="O32" s="603"/>
      <c r="P32" s="603"/>
      <c r="Q32" s="603"/>
      <c r="R32" s="603"/>
      <c r="S32" s="603"/>
      <c r="T32" s="603"/>
      <c r="U32" s="603"/>
      <c r="V32" s="603"/>
      <c r="W32" s="603"/>
      <c r="X32" s="604"/>
    </row>
    <row r="33" spans="1:24" s="168" customFormat="1" ht="18" thickBot="1">
      <c r="A33" s="170"/>
      <c r="B33" s="170"/>
      <c r="C33" s="170"/>
      <c r="D33" s="170"/>
      <c r="E33" s="170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</row>
    <row r="34" spans="1:24" s="168" customFormat="1" ht="18" thickBot="1">
      <c r="A34" s="624" t="s">
        <v>67</v>
      </c>
      <c r="B34" s="625"/>
      <c r="C34" s="625"/>
      <c r="D34" s="625"/>
      <c r="E34" s="626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</row>
    <row r="35" spans="1:24" s="168" customFormat="1" ht="2.5" customHeight="1">
      <c r="A35" s="172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</row>
    <row r="36" spans="1:24" s="168" customFormat="1" ht="23.5" customHeight="1">
      <c r="A36" s="643" t="s">
        <v>68</v>
      </c>
      <c r="B36" s="644"/>
      <c r="C36" s="644"/>
      <c r="D36" s="644"/>
      <c r="E36" s="645"/>
      <c r="F36" s="652" t="s">
        <v>69</v>
      </c>
      <c r="G36" s="653"/>
      <c r="H36" s="653"/>
      <c r="I36" s="653"/>
      <c r="J36" s="653"/>
      <c r="K36" s="653"/>
      <c r="L36" s="654" t="s">
        <v>70</v>
      </c>
      <c r="M36" s="655"/>
      <c r="N36" s="655"/>
      <c r="O36" s="655"/>
      <c r="P36" s="655"/>
      <c r="Q36" s="656"/>
      <c r="R36" s="653" t="s">
        <v>71</v>
      </c>
      <c r="S36" s="653"/>
      <c r="T36" s="653"/>
      <c r="U36" s="653"/>
      <c r="V36" s="653"/>
      <c r="W36" s="653"/>
      <c r="X36" s="657"/>
    </row>
    <row r="37" spans="1:24" s="168" customFormat="1" ht="23.5" customHeight="1">
      <c r="A37" s="646"/>
      <c r="B37" s="647"/>
      <c r="C37" s="647"/>
      <c r="D37" s="647"/>
      <c r="E37" s="648"/>
      <c r="F37" s="658">
        <v>0</v>
      </c>
      <c r="G37" s="659"/>
      <c r="H37" s="659"/>
      <c r="I37" s="659"/>
      <c r="J37" s="659"/>
      <c r="K37" s="660"/>
      <c r="L37" s="631">
        <f>U17+U18</f>
        <v>0</v>
      </c>
      <c r="M37" s="632"/>
      <c r="N37" s="632"/>
      <c r="O37" s="632"/>
      <c r="P37" s="632"/>
      <c r="Q37" s="633"/>
      <c r="R37" s="634">
        <f>F37+L37</f>
        <v>0</v>
      </c>
      <c r="S37" s="634"/>
      <c r="T37" s="634"/>
      <c r="U37" s="634"/>
      <c r="V37" s="634"/>
      <c r="W37" s="634"/>
      <c r="X37" s="635"/>
    </row>
    <row r="38" spans="1:24" s="168" customFormat="1" ht="10.25" customHeight="1">
      <c r="A38" s="649"/>
      <c r="B38" s="650"/>
      <c r="C38" s="650"/>
      <c r="D38" s="650"/>
      <c r="E38" s="651"/>
      <c r="F38" s="636"/>
      <c r="G38" s="637"/>
      <c r="H38" s="637"/>
      <c r="I38" s="637"/>
      <c r="J38" s="637"/>
      <c r="K38" s="637"/>
      <c r="L38" s="638"/>
      <c r="M38" s="639"/>
      <c r="N38" s="639"/>
      <c r="O38" s="639"/>
      <c r="P38" s="639"/>
      <c r="Q38" s="640"/>
      <c r="R38" s="641"/>
      <c r="S38" s="641"/>
      <c r="T38" s="641"/>
      <c r="U38" s="641"/>
      <c r="V38" s="641"/>
      <c r="W38" s="641"/>
      <c r="X38" s="642"/>
    </row>
    <row r="39" spans="1:24" s="168" customFormat="1" ht="18" thickBot="1">
      <c r="A39" s="170"/>
      <c r="B39" s="170"/>
      <c r="C39" s="170"/>
      <c r="D39" s="170"/>
      <c r="E39" s="170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</row>
    <row r="40" spans="1:24" s="168" customFormat="1" ht="18" thickBot="1">
      <c r="A40" s="552" t="s">
        <v>72</v>
      </c>
      <c r="B40" s="553"/>
      <c r="C40" s="553"/>
      <c r="D40" s="553"/>
      <c r="E40" s="554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</row>
    <row r="41" spans="1:24" s="168" customFormat="1" ht="3" customHeight="1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</row>
    <row r="42" spans="1:24" s="168" customFormat="1" ht="33" customHeight="1">
      <c r="A42" s="547" t="s">
        <v>73</v>
      </c>
      <c r="B42" s="550"/>
      <c r="C42" s="550"/>
      <c r="D42" s="550"/>
      <c r="E42" s="551"/>
      <c r="F42" s="627"/>
      <c r="G42" s="628"/>
      <c r="H42" s="628"/>
      <c r="I42" s="628"/>
      <c r="J42" s="628"/>
      <c r="K42" s="628"/>
      <c r="L42" s="629"/>
      <c r="M42" s="547" t="s">
        <v>74</v>
      </c>
      <c r="N42" s="550"/>
      <c r="O42" s="550"/>
      <c r="P42" s="550"/>
      <c r="Q42" s="551"/>
      <c r="R42" s="630" t="s">
        <v>75</v>
      </c>
      <c r="S42" s="628"/>
      <c r="T42" s="628"/>
      <c r="U42" s="628"/>
      <c r="V42" s="628"/>
      <c r="W42" s="628"/>
      <c r="X42" s="629"/>
    </row>
  </sheetData>
  <mergeCells count="64">
    <mergeCell ref="A42:E42"/>
    <mergeCell ref="F42:L42"/>
    <mergeCell ref="M42:Q42"/>
    <mergeCell ref="R42:X42"/>
    <mergeCell ref="L37:Q37"/>
    <mergeCell ref="R37:X37"/>
    <mergeCell ref="F38:K38"/>
    <mergeCell ref="L38:Q38"/>
    <mergeCell ref="R38:X38"/>
    <mergeCell ref="A40:E40"/>
    <mergeCell ref="A36:E38"/>
    <mergeCell ref="F36:K36"/>
    <mergeCell ref="L36:Q36"/>
    <mergeCell ref="R36:X36"/>
    <mergeCell ref="F37:K37"/>
    <mergeCell ref="A31:E31"/>
    <mergeCell ref="F31:X31"/>
    <mergeCell ref="A32:E32"/>
    <mergeCell ref="F32:X32"/>
    <mergeCell ref="A34:E34"/>
    <mergeCell ref="A28:E28"/>
    <mergeCell ref="F28:X28"/>
    <mergeCell ref="A29:E29"/>
    <mergeCell ref="F29:X29"/>
    <mergeCell ref="A30:E30"/>
    <mergeCell ref="F30:X30"/>
    <mergeCell ref="A27:E27"/>
    <mergeCell ref="F27:X27"/>
    <mergeCell ref="F18:I18"/>
    <mergeCell ref="J18:L18"/>
    <mergeCell ref="M18:O18"/>
    <mergeCell ref="P18:T18"/>
    <mergeCell ref="U18:X18"/>
    <mergeCell ref="F19:X19"/>
    <mergeCell ref="A16:E23"/>
    <mergeCell ref="F20:X20"/>
    <mergeCell ref="F21:X21"/>
    <mergeCell ref="F22:X22"/>
    <mergeCell ref="F23:X23"/>
    <mergeCell ref="A25:E25"/>
    <mergeCell ref="U16:X16"/>
    <mergeCell ref="F17:I17"/>
    <mergeCell ref="J17:L17"/>
    <mergeCell ref="M17:O17"/>
    <mergeCell ref="P17:T17"/>
    <mergeCell ref="U17:X17"/>
    <mergeCell ref="F16:I16"/>
    <mergeCell ref="J16:L16"/>
    <mergeCell ref="M16:O16"/>
    <mergeCell ref="P16:T16"/>
    <mergeCell ref="A13:E13"/>
    <mergeCell ref="A15:E15"/>
    <mergeCell ref="F15:O15"/>
    <mergeCell ref="P15:T15"/>
    <mergeCell ref="U15:X15"/>
    <mergeCell ref="A10:E10"/>
    <mergeCell ref="F10:O10"/>
    <mergeCell ref="P10:T10"/>
    <mergeCell ref="U10:X10"/>
    <mergeCell ref="A7:X7"/>
    <mergeCell ref="A9:E9"/>
    <mergeCell ref="F9:O9"/>
    <mergeCell ref="P9:T9"/>
    <mergeCell ref="U9:X9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6189-8DAB-409D-B5FB-1D6C1FF01E6A}">
  <sheetPr>
    <pageSetUpPr fitToPage="1"/>
  </sheetPr>
  <dimension ref="B1:G63"/>
  <sheetViews>
    <sheetView tabSelected="1" zoomScale="150" workbookViewId="0">
      <selection activeCell="F27" sqref="F27"/>
    </sheetView>
  </sheetViews>
  <sheetFormatPr baseColWidth="10" defaultColWidth="8.83203125" defaultRowHeight="15"/>
  <cols>
    <col min="1" max="1" width="0.6640625" style="260" customWidth="1"/>
    <col min="2" max="2" width="8.1640625" style="260" customWidth="1"/>
    <col min="3" max="4" width="10.1640625" style="260" customWidth="1"/>
    <col min="5" max="5" width="8.1640625" style="260" customWidth="1"/>
    <col min="6" max="6" width="73.83203125" style="311" customWidth="1"/>
    <col min="7" max="7" width="12.1640625" style="260" customWidth="1"/>
    <col min="8" max="8" width="0.6640625" style="260" customWidth="1"/>
    <col min="9" max="9" width="19.1640625" style="260" customWidth="1"/>
    <col min="10" max="201" width="8.6640625" style="260"/>
    <col min="202" max="202" width="5.83203125" style="260" customWidth="1"/>
    <col min="203" max="203" width="11.6640625" style="260" customWidth="1"/>
    <col min="204" max="204" width="9.6640625" style="260" customWidth="1"/>
    <col min="205" max="205" width="9.1640625" style="260" customWidth="1"/>
    <col min="206" max="206" width="54.83203125" style="260" customWidth="1"/>
    <col min="207" max="207" width="10.6640625" style="260" customWidth="1"/>
    <col min="208" max="209" width="19.1640625" style="260" customWidth="1"/>
    <col min="210" max="457" width="8.6640625" style="260"/>
    <col min="458" max="458" width="5.83203125" style="260" customWidth="1"/>
    <col min="459" max="459" width="11.6640625" style="260" customWidth="1"/>
    <col min="460" max="460" width="9.6640625" style="260" customWidth="1"/>
    <col min="461" max="461" width="9.1640625" style="260" customWidth="1"/>
    <col min="462" max="462" width="54.83203125" style="260" customWidth="1"/>
    <col min="463" max="463" width="10.6640625" style="260" customWidth="1"/>
    <col min="464" max="465" width="19.1640625" style="260" customWidth="1"/>
    <col min="466" max="713" width="8.6640625" style="260"/>
    <col min="714" max="714" width="5.83203125" style="260" customWidth="1"/>
    <col min="715" max="715" width="11.6640625" style="260" customWidth="1"/>
    <col min="716" max="716" width="9.6640625" style="260" customWidth="1"/>
    <col min="717" max="717" width="9.1640625" style="260" customWidth="1"/>
    <col min="718" max="718" width="54.83203125" style="260" customWidth="1"/>
    <col min="719" max="719" width="10.6640625" style="260" customWidth="1"/>
    <col min="720" max="721" width="19.1640625" style="260" customWidth="1"/>
    <col min="722" max="969" width="8.6640625" style="260"/>
    <col min="970" max="970" width="5.83203125" style="260" customWidth="1"/>
    <col min="971" max="971" width="11.6640625" style="260" customWidth="1"/>
    <col min="972" max="972" width="9.6640625" style="260" customWidth="1"/>
    <col min="973" max="973" width="9.1640625" style="260" customWidth="1"/>
    <col min="974" max="974" width="54.83203125" style="260" customWidth="1"/>
    <col min="975" max="975" width="10.6640625" style="260" customWidth="1"/>
    <col min="976" max="977" width="19.1640625" style="260" customWidth="1"/>
    <col min="978" max="1225" width="8.6640625" style="260"/>
    <col min="1226" max="1226" width="5.83203125" style="260" customWidth="1"/>
    <col min="1227" max="1227" width="11.6640625" style="260" customWidth="1"/>
    <col min="1228" max="1228" width="9.6640625" style="260" customWidth="1"/>
    <col min="1229" max="1229" width="9.1640625" style="260" customWidth="1"/>
    <col min="1230" max="1230" width="54.83203125" style="260" customWidth="1"/>
    <col min="1231" max="1231" width="10.6640625" style="260" customWidth="1"/>
    <col min="1232" max="1233" width="19.1640625" style="260" customWidth="1"/>
    <col min="1234" max="1481" width="8.6640625" style="260"/>
    <col min="1482" max="1482" width="5.83203125" style="260" customWidth="1"/>
    <col min="1483" max="1483" width="11.6640625" style="260" customWidth="1"/>
    <col min="1484" max="1484" width="9.6640625" style="260" customWidth="1"/>
    <col min="1485" max="1485" width="9.1640625" style="260" customWidth="1"/>
    <col min="1486" max="1486" width="54.83203125" style="260" customWidth="1"/>
    <col min="1487" max="1487" width="10.6640625" style="260" customWidth="1"/>
    <col min="1488" max="1489" width="19.1640625" style="260" customWidth="1"/>
    <col min="1490" max="1737" width="8.6640625" style="260"/>
    <col min="1738" max="1738" width="5.83203125" style="260" customWidth="1"/>
    <col min="1739" max="1739" width="11.6640625" style="260" customWidth="1"/>
    <col min="1740" max="1740" width="9.6640625" style="260" customWidth="1"/>
    <col min="1741" max="1741" width="9.1640625" style="260" customWidth="1"/>
    <col min="1742" max="1742" width="54.83203125" style="260" customWidth="1"/>
    <col min="1743" max="1743" width="10.6640625" style="260" customWidth="1"/>
    <col min="1744" max="1745" width="19.1640625" style="260" customWidth="1"/>
    <col min="1746" max="1993" width="8.6640625" style="260"/>
    <col min="1994" max="1994" width="5.83203125" style="260" customWidth="1"/>
    <col min="1995" max="1995" width="11.6640625" style="260" customWidth="1"/>
    <col min="1996" max="1996" width="9.6640625" style="260" customWidth="1"/>
    <col min="1997" max="1997" width="9.1640625" style="260" customWidth="1"/>
    <col min="1998" max="1998" width="54.83203125" style="260" customWidth="1"/>
    <col min="1999" max="1999" width="10.6640625" style="260" customWidth="1"/>
    <col min="2000" max="2001" width="19.1640625" style="260" customWidth="1"/>
    <col min="2002" max="2249" width="8.6640625" style="260"/>
    <col min="2250" max="2250" width="5.83203125" style="260" customWidth="1"/>
    <col min="2251" max="2251" width="11.6640625" style="260" customWidth="1"/>
    <col min="2252" max="2252" width="9.6640625" style="260" customWidth="1"/>
    <col min="2253" max="2253" width="9.1640625" style="260" customWidth="1"/>
    <col min="2254" max="2254" width="54.83203125" style="260" customWidth="1"/>
    <col min="2255" max="2255" width="10.6640625" style="260" customWidth="1"/>
    <col min="2256" max="2257" width="19.1640625" style="260" customWidth="1"/>
    <col min="2258" max="2505" width="8.6640625" style="260"/>
    <col min="2506" max="2506" width="5.83203125" style="260" customWidth="1"/>
    <col min="2507" max="2507" width="11.6640625" style="260" customWidth="1"/>
    <col min="2508" max="2508" width="9.6640625" style="260" customWidth="1"/>
    <col min="2509" max="2509" width="9.1640625" style="260" customWidth="1"/>
    <col min="2510" max="2510" width="54.83203125" style="260" customWidth="1"/>
    <col min="2511" max="2511" width="10.6640625" style="260" customWidth="1"/>
    <col min="2512" max="2513" width="19.1640625" style="260" customWidth="1"/>
    <col min="2514" max="2761" width="8.6640625" style="260"/>
    <col min="2762" max="2762" width="5.83203125" style="260" customWidth="1"/>
    <col min="2763" max="2763" width="11.6640625" style="260" customWidth="1"/>
    <col min="2764" max="2764" width="9.6640625" style="260" customWidth="1"/>
    <col min="2765" max="2765" width="9.1640625" style="260" customWidth="1"/>
    <col min="2766" max="2766" width="54.83203125" style="260" customWidth="1"/>
    <col min="2767" max="2767" width="10.6640625" style="260" customWidth="1"/>
    <col min="2768" max="2769" width="19.1640625" style="260" customWidth="1"/>
    <col min="2770" max="3017" width="8.6640625" style="260"/>
    <col min="3018" max="3018" width="5.83203125" style="260" customWidth="1"/>
    <col min="3019" max="3019" width="11.6640625" style="260" customWidth="1"/>
    <col min="3020" max="3020" width="9.6640625" style="260" customWidth="1"/>
    <col min="3021" max="3021" width="9.1640625" style="260" customWidth="1"/>
    <col min="3022" max="3022" width="54.83203125" style="260" customWidth="1"/>
    <col min="3023" max="3023" width="10.6640625" style="260" customWidth="1"/>
    <col min="3024" max="3025" width="19.1640625" style="260" customWidth="1"/>
    <col min="3026" max="3273" width="8.6640625" style="260"/>
    <col min="3274" max="3274" width="5.83203125" style="260" customWidth="1"/>
    <col min="3275" max="3275" width="11.6640625" style="260" customWidth="1"/>
    <col min="3276" max="3276" width="9.6640625" style="260" customWidth="1"/>
    <col min="3277" max="3277" width="9.1640625" style="260" customWidth="1"/>
    <col min="3278" max="3278" width="54.83203125" style="260" customWidth="1"/>
    <col min="3279" max="3279" width="10.6640625" style="260" customWidth="1"/>
    <col min="3280" max="3281" width="19.1640625" style="260" customWidth="1"/>
    <col min="3282" max="3529" width="8.6640625" style="260"/>
    <col min="3530" max="3530" width="5.83203125" style="260" customWidth="1"/>
    <col min="3531" max="3531" width="11.6640625" style="260" customWidth="1"/>
    <col min="3532" max="3532" width="9.6640625" style="260" customWidth="1"/>
    <col min="3533" max="3533" width="9.1640625" style="260" customWidth="1"/>
    <col min="3534" max="3534" width="54.83203125" style="260" customWidth="1"/>
    <col min="3535" max="3535" width="10.6640625" style="260" customWidth="1"/>
    <col min="3536" max="3537" width="19.1640625" style="260" customWidth="1"/>
    <col min="3538" max="3785" width="8.6640625" style="260"/>
    <col min="3786" max="3786" width="5.83203125" style="260" customWidth="1"/>
    <col min="3787" max="3787" width="11.6640625" style="260" customWidth="1"/>
    <col min="3788" max="3788" width="9.6640625" style="260" customWidth="1"/>
    <col min="3789" max="3789" width="9.1640625" style="260" customWidth="1"/>
    <col min="3790" max="3790" width="54.83203125" style="260" customWidth="1"/>
    <col min="3791" max="3791" width="10.6640625" style="260" customWidth="1"/>
    <col min="3792" max="3793" width="19.1640625" style="260" customWidth="1"/>
    <col min="3794" max="4041" width="8.6640625" style="260"/>
    <col min="4042" max="4042" width="5.83203125" style="260" customWidth="1"/>
    <col min="4043" max="4043" width="11.6640625" style="260" customWidth="1"/>
    <col min="4044" max="4044" width="9.6640625" style="260" customWidth="1"/>
    <col min="4045" max="4045" width="9.1640625" style="260" customWidth="1"/>
    <col min="4046" max="4046" width="54.83203125" style="260" customWidth="1"/>
    <col min="4047" max="4047" width="10.6640625" style="260" customWidth="1"/>
    <col min="4048" max="4049" width="19.1640625" style="260" customWidth="1"/>
    <col min="4050" max="4297" width="8.6640625" style="260"/>
    <col min="4298" max="4298" width="5.83203125" style="260" customWidth="1"/>
    <col min="4299" max="4299" width="11.6640625" style="260" customWidth="1"/>
    <col min="4300" max="4300" width="9.6640625" style="260" customWidth="1"/>
    <col min="4301" max="4301" width="9.1640625" style="260" customWidth="1"/>
    <col min="4302" max="4302" width="54.83203125" style="260" customWidth="1"/>
    <col min="4303" max="4303" width="10.6640625" style="260" customWidth="1"/>
    <col min="4304" max="4305" width="19.1640625" style="260" customWidth="1"/>
    <col min="4306" max="4553" width="8.6640625" style="260"/>
    <col min="4554" max="4554" width="5.83203125" style="260" customWidth="1"/>
    <col min="4555" max="4555" width="11.6640625" style="260" customWidth="1"/>
    <col min="4556" max="4556" width="9.6640625" style="260" customWidth="1"/>
    <col min="4557" max="4557" width="9.1640625" style="260" customWidth="1"/>
    <col min="4558" max="4558" width="54.83203125" style="260" customWidth="1"/>
    <col min="4559" max="4559" width="10.6640625" style="260" customWidth="1"/>
    <col min="4560" max="4561" width="19.1640625" style="260" customWidth="1"/>
    <col min="4562" max="4809" width="8.6640625" style="260"/>
    <col min="4810" max="4810" width="5.83203125" style="260" customWidth="1"/>
    <col min="4811" max="4811" width="11.6640625" style="260" customWidth="1"/>
    <col min="4812" max="4812" width="9.6640625" style="260" customWidth="1"/>
    <col min="4813" max="4813" width="9.1640625" style="260" customWidth="1"/>
    <col min="4814" max="4814" width="54.83203125" style="260" customWidth="1"/>
    <col min="4815" max="4815" width="10.6640625" style="260" customWidth="1"/>
    <col min="4816" max="4817" width="19.1640625" style="260" customWidth="1"/>
    <col min="4818" max="5065" width="8.6640625" style="260"/>
    <col min="5066" max="5066" width="5.83203125" style="260" customWidth="1"/>
    <col min="5067" max="5067" width="11.6640625" style="260" customWidth="1"/>
    <col min="5068" max="5068" width="9.6640625" style="260" customWidth="1"/>
    <col min="5069" max="5069" width="9.1640625" style="260" customWidth="1"/>
    <col min="5070" max="5070" width="54.83203125" style="260" customWidth="1"/>
    <col min="5071" max="5071" width="10.6640625" style="260" customWidth="1"/>
    <col min="5072" max="5073" width="19.1640625" style="260" customWidth="1"/>
    <col min="5074" max="5321" width="8.6640625" style="260"/>
    <col min="5322" max="5322" width="5.83203125" style="260" customWidth="1"/>
    <col min="5323" max="5323" width="11.6640625" style="260" customWidth="1"/>
    <col min="5324" max="5324" width="9.6640625" style="260" customWidth="1"/>
    <col min="5325" max="5325" width="9.1640625" style="260" customWidth="1"/>
    <col min="5326" max="5326" width="54.83203125" style="260" customWidth="1"/>
    <col min="5327" max="5327" width="10.6640625" style="260" customWidth="1"/>
    <col min="5328" max="5329" width="19.1640625" style="260" customWidth="1"/>
    <col min="5330" max="5577" width="8.6640625" style="260"/>
    <col min="5578" max="5578" width="5.83203125" style="260" customWidth="1"/>
    <col min="5579" max="5579" width="11.6640625" style="260" customWidth="1"/>
    <col min="5580" max="5580" width="9.6640625" style="260" customWidth="1"/>
    <col min="5581" max="5581" width="9.1640625" style="260" customWidth="1"/>
    <col min="5582" max="5582" width="54.83203125" style="260" customWidth="1"/>
    <col min="5583" max="5583" width="10.6640625" style="260" customWidth="1"/>
    <col min="5584" max="5585" width="19.1640625" style="260" customWidth="1"/>
    <col min="5586" max="5833" width="8.6640625" style="260"/>
    <col min="5834" max="5834" width="5.83203125" style="260" customWidth="1"/>
    <col min="5835" max="5835" width="11.6640625" style="260" customWidth="1"/>
    <col min="5836" max="5836" width="9.6640625" style="260" customWidth="1"/>
    <col min="5837" max="5837" width="9.1640625" style="260" customWidth="1"/>
    <col min="5838" max="5838" width="54.83203125" style="260" customWidth="1"/>
    <col min="5839" max="5839" width="10.6640625" style="260" customWidth="1"/>
    <col min="5840" max="5841" width="19.1640625" style="260" customWidth="1"/>
    <col min="5842" max="6089" width="8.6640625" style="260"/>
    <col min="6090" max="6090" width="5.83203125" style="260" customWidth="1"/>
    <col min="6091" max="6091" width="11.6640625" style="260" customWidth="1"/>
    <col min="6092" max="6092" width="9.6640625" style="260" customWidth="1"/>
    <col min="6093" max="6093" width="9.1640625" style="260" customWidth="1"/>
    <col min="6094" max="6094" width="54.83203125" style="260" customWidth="1"/>
    <col min="6095" max="6095" width="10.6640625" style="260" customWidth="1"/>
    <col min="6096" max="6097" width="19.1640625" style="260" customWidth="1"/>
    <col min="6098" max="6345" width="8.6640625" style="260"/>
    <col min="6346" max="6346" width="5.83203125" style="260" customWidth="1"/>
    <col min="6347" max="6347" width="11.6640625" style="260" customWidth="1"/>
    <col min="6348" max="6348" width="9.6640625" style="260" customWidth="1"/>
    <col min="6349" max="6349" width="9.1640625" style="260" customWidth="1"/>
    <col min="6350" max="6350" width="54.83203125" style="260" customWidth="1"/>
    <col min="6351" max="6351" width="10.6640625" style="260" customWidth="1"/>
    <col min="6352" max="6353" width="19.1640625" style="260" customWidth="1"/>
    <col min="6354" max="6601" width="8.6640625" style="260"/>
    <col min="6602" max="6602" width="5.83203125" style="260" customWidth="1"/>
    <col min="6603" max="6603" width="11.6640625" style="260" customWidth="1"/>
    <col min="6604" max="6604" width="9.6640625" style="260" customWidth="1"/>
    <col min="6605" max="6605" width="9.1640625" style="260" customWidth="1"/>
    <col min="6606" max="6606" width="54.83203125" style="260" customWidth="1"/>
    <col min="6607" max="6607" width="10.6640625" style="260" customWidth="1"/>
    <col min="6608" max="6609" width="19.1640625" style="260" customWidth="1"/>
    <col min="6610" max="6857" width="8.6640625" style="260"/>
    <col min="6858" max="6858" width="5.83203125" style="260" customWidth="1"/>
    <col min="6859" max="6859" width="11.6640625" style="260" customWidth="1"/>
    <col min="6860" max="6860" width="9.6640625" style="260" customWidth="1"/>
    <col min="6861" max="6861" width="9.1640625" style="260" customWidth="1"/>
    <col min="6862" max="6862" width="54.83203125" style="260" customWidth="1"/>
    <col min="6863" max="6863" width="10.6640625" style="260" customWidth="1"/>
    <col min="6864" max="6865" width="19.1640625" style="260" customWidth="1"/>
    <col min="6866" max="7113" width="8.6640625" style="260"/>
    <col min="7114" max="7114" width="5.83203125" style="260" customWidth="1"/>
    <col min="7115" max="7115" width="11.6640625" style="260" customWidth="1"/>
    <col min="7116" max="7116" width="9.6640625" style="260" customWidth="1"/>
    <col min="7117" max="7117" width="9.1640625" style="260" customWidth="1"/>
    <col min="7118" max="7118" width="54.83203125" style="260" customWidth="1"/>
    <col min="7119" max="7119" width="10.6640625" style="260" customWidth="1"/>
    <col min="7120" max="7121" width="19.1640625" style="260" customWidth="1"/>
    <col min="7122" max="7369" width="8.6640625" style="260"/>
    <col min="7370" max="7370" width="5.83203125" style="260" customWidth="1"/>
    <col min="7371" max="7371" width="11.6640625" style="260" customWidth="1"/>
    <col min="7372" max="7372" width="9.6640625" style="260" customWidth="1"/>
    <col min="7373" max="7373" width="9.1640625" style="260" customWidth="1"/>
    <col min="7374" max="7374" width="54.83203125" style="260" customWidth="1"/>
    <col min="7375" max="7375" width="10.6640625" style="260" customWidth="1"/>
    <col min="7376" max="7377" width="19.1640625" style="260" customWidth="1"/>
    <col min="7378" max="7625" width="8.6640625" style="260"/>
    <col min="7626" max="7626" width="5.83203125" style="260" customWidth="1"/>
    <col min="7627" max="7627" width="11.6640625" style="260" customWidth="1"/>
    <col min="7628" max="7628" width="9.6640625" style="260" customWidth="1"/>
    <col min="7629" max="7629" width="9.1640625" style="260" customWidth="1"/>
    <col min="7630" max="7630" width="54.83203125" style="260" customWidth="1"/>
    <col min="7631" max="7631" width="10.6640625" style="260" customWidth="1"/>
    <col min="7632" max="7633" width="19.1640625" style="260" customWidth="1"/>
    <col min="7634" max="7881" width="8.6640625" style="260"/>
    <col min="7882" max="7882" width="5.83203125" style="260" customWidth="1"/>
    <col min="7883" max="7883" width="11.6640625" style="260" customWidth="1"/>
    <col min="7884" max="7884" width="9.6640625" style="260" customWidth="1"/>
    <col min="7885" max="7885" width="9.1640625" style="260" customWidth="1"/>
    <col min="7886" max="7886" width="54.83203125" style="260" customWidth="1"/>
    <col min="7887" max="7887" width="10.6640625" style="260" customWidth="1"/>
    <col min="7888" max="7889" width="19.1640625" style="260" customWidth="1"/>
    <col min="7890" max="8137" width="8.6640625" style="260"/>
    <col min="8138" max="8138" width="5.83203125" style="260" customWidth="1"/>
    <col min="8139" max="8139" width="11.6640625" style="260" customWidth="1"/>
    <col min="8140" max="8140" width="9.6640625" style="260" customWidth="1"/>
    <col min="8141" max="8141" width="9.1640625" style="260" customWidth="1"/>
    <col min="8142" max="8142" width="54.83203125" style="260" customWidth="1"/>
    <col min="8143" max="8143" width="10.6640625" style="260" customWidth="1"/>
    <col min="8144" max="8145" width="19.1640625" style="260" customWidth="1"/>
    <col min="8146" max="8393" width="8.6640625" style="260"/>
    <col min="8394" max="8394" width="5.83203125" style="260" customWidth="1"/>
    <col min="8395" max="8395" width="11.6640625" style="260" customWidth="1"/>
    <col min="8396" max="8396" width="9.6640625" style="260" customWidth="1"/>
    <col min="8397" max="8397" width="9.1640625" style="260" customWidth="1"/>
    <col min="8398" max="8398" width="54.83203125" style="260" customWidth="1"/>
    <col min="8399" max="8399" width="10.6640625" style="260" customWidth="1"/>
    <col min="8400" max="8401" width="19.1640625" style="260" customWidth="1"/>
    <col min="8402" max="8649" width="8.6640625" style="260"/>
    <col min="8650" max="8650" width="5.83203125" style="260" customWidth="1"/>
    <col min="8651" max="8651" width="11.6640625" style="260" customWidth="1"/>
    <col min="8652" max="8652" width="9.6640625" style="260" customWidth="1"/>
    <col min="8653" max="8653" width="9.1640625" style="260" customWidth="1"/>
    <col min="8654" max="8654" width="54.83203125" style="260" customWidth="1"/>
    <col min="8655" max="8655" width="10.6640625" style="260" customWidth="1"/>
    <col min="8656" max="8657" width="19.1640625" style="260" customWidth="1"/>
    <col min="8658" max="8905" width="8.6640625" style="260"/>
    <col min="8906" max="8906" width="5.83203125" style="260" customWidth="1"/>
    <col min="8907" max="8907" width="11.6640625" style="260" customWidth="1"/>
    <col min="8908" max="8908" width="9.6640625" style="260" customWidth="1"/>
    <col min="8909" max="8909" width="9.1640625" style="260" customWidth="1"/>
    <col min="8910" max="8910" width="54.83203125" style="260" customWidth="1"/>
    <col min="8911" max="8911" width="10.6640625" style="260" customWidth="1"/>
    <col min="8912" max="8913" width="19.1640625" style="260" customWidth="1"/>
    <col min="8914" max="9161" width="8.6640625" style="260"/>
    <col min="9162" max="9162" width="5.83203125" style="260" customWidth="1"/>
    <col min="9163" max="9163" width="11.6640625" style="260" customWidth="1"/>
    <col min="9164" max="9164" width="9.6640625" style="260" customWidth="1"/>
    <col min="9165" max="9165" width="9.1640625" style="260" customWidth="1"/>
    <col min="9166" max="9166" width="54.83203125" style="260" customWidth="1"/>
    <col min="9167" max="9167" width="10.6640625" style="260" customWidth="1"/>
    <col min="9168" max="9169" width="19.1640625" style="260" customWidth="1"/>
    <col min="9170" max="9417" width="8.6640625" style="260"/>
    <col min="9418" max="9418" width="5.83203125" style="260" customWidth="1"/>
    <col min="9419" max="9419" width="11.6640625" style="260" customWidth="1"/>
    <col min="9420" max="9420" width="9.6640625" style="260" customWidth="1"/>
    <col min="9421" max="9421" width="9.1640625" style="260" customWidth="1"/>
    <col min="9422" max="9422" width="54.83203125" style="260" customWidth="1"/>
    <col min="9423" max="9423" width="10.6640625" style="260" customWidth="1"/>
    <col min="9424" max="9425" width="19.1640625" style="260" customWidth="1"/>
    <col min="9426" max="9673" width="8.6640625" style="260"/>
    <col min="9674" max="9674" width="5.83203125" style="260" customWidth="1"/>
    <col min="9675" max="9675" width="11.6640625" style="260" customWidth="1"/>
    <col min="9676" max="9676" width="9.6640625" style="260" customWidth="1"/>
    <col min="9677" max="9677" width="9.1640625" style="260" customWidth="1"/>
    <col min="9678" max="9678" width="54.83203125" style="260" customWidth="1"/>
    <col min="9679" max="9679" width="10.6640625" style="260" customWidth="1"/>
    <col min="9680" max="9681" width="19.1640625" style="260" customWidth="1"/>
    <col min="9682" max="9929" width="8.6640625" style="260"/>
    <col min="9930" max="9930" width="5.83203125" style="260" customWidth="1"/>
    <col min="9931" max="9931" width="11.6640625" style="260" customWidth="1"/>
    <col min="9932" max="9932" width="9.6640625" style="260" customWidth="1"/>
    <col min="9933" max="9933" width="9.1640625" style="260" customWidth="1"/>
    <col min="9934" max="9934" width="54.83203125" style="260" customWidth="1"/>
    <col min="9935" max="9935" width="10.6640625" style="260" customWidth="1"/>
    <col min="9936" max="9937" width="19.1640625" style="260" customWidth="1"/>
    <col min="9938" max="10185" width="8.6640625" style="260"/>
    <col min="10186" max="10186" width="5.83203125" style="260" customWidth="1"/>
    <col min="10187" max="10187" width="11.6640625" style="260" customWidth="1"/>
    <col min="10188" max="10188" width="9.6640625" style="260" customWidth="1"/>
    <col min="10189" max="10189" width="9.1640625" style="260" customWidth="1"/>
    <col min="10190" max="10190" width="54.83203125" style="260" customWidth="1"/>
    <col min="10191" max="10191" width="10.6640625" style="260" customWidth="1"/>
    <col min="10192" max="10193" width="19.1640625" style="260" customWidth="1"/>
    <col min="10194" max="10441" width="8.6640625" style="260"/>
    <col min="10442" max="10442" width="5.83203125" style="260" customWidth="1"/>
    <col min="10443" max="10443" width="11.6640625" style="260" customWidth="1"/>
    <col min="10444" max="10444" width="9.6640625" style="260" customWidth="1"/>
    <col min="10445" max="10445" width="9.1640625" style="260" customWidth="1"/>
    <col min="10446" max="10446" width="54.83203125" style="260" customWidth="1"/>
    <col min="10447" max="10447" width="10.6640625" style="260" customWidth="1"/>
    <col min="10448" max="10449" width="19.1640625" style="260" customWidth="1"/>
    <col min="10450" max="10697" width="8.6640625" style="260"/>
    <col min="10698" max="10698" width="5.83203125" style="260" customWidth="1"/>
    <col min="10699" max="10699" width="11.6640625" style="260" customWidth="1"/>
    <col min="10700" max="10700" width="9.6640625" style="260" customWidth="1"/>
    <col min="10701" max="10701" width="9.1640625" style="260" customWidth="1"/>
    <col min="10702" max="10702" width="54.83203125" style="260" customWidth="1"/>
    <col min="10703" max="10703" width="10.6640625" style="260" customWidth="1"/>
    <col min="10704" max="10705" width="19.1640625" style="260" customWidth="1"/>
    <col min="10706" max="10953" width="8.6640625" style="260"/>
    <col min="10954" max="10954" width="5.83203125" style="260" customWidth="1"/>
    <col min="10955" max="10955" width="11.6640625" style="260" customWidth="1"/>
    <col min="10956" max="10956" width="9.6640625" style="260" customWidth="1"/>
    <col min="10957" max="10957" width="9.1640625" style="260" customWidth="1"/>
    <col min="10958" max="10958" width="54.83203125" style="260" customWidth="1"/>
    <col min="10959" max="10959" width="10.6640625" style="260" customWidth="1"/>
    <col min="10960" max="10961" width="19.1640625" style="260" customWidth="1"/>
    <col min="10962" max="11209" width="8.6640625" style="260"/>
    <col min="11210" max="11210" width="5.83203125" style="260" customWidth="1"/>
    <col min="11211" max="11211" width="11.6640625" style="260" customWidth="1"/>
    <col min="11212" max="11212" width="9.6640625" style="260" customWidth="1"/>
    <col min="11213" max="11213" width="9.1640625" style="260" customWidth="1"/>
    <col min="11214" max="11214" width="54.83203125" style="260" customWidth="1"/>
    <col min="11215" max="11215" width="10.6640625" style="260" customWidth="1"/>
    <col min="11216" max="11217" width="19.1640625" style="260" customWidth="1"/>
    <col min="11218" max="11465" width="8.6640625" style="260"/>
    <col min="11466" max="11466" width="5.83203125" style="260" customWidth="1"/>
    <col min="11467" max="11467" width="11.6640625" style="260" customWidth="1"/>
    <col min="11468" max="11468" width="9.6640625" style="260" customWidth="1"/>
    <col min="11469" max="11469" width="9.1640625" style="260" customWidth="1"/>
    <col min="11470" max="11470" width="54.83203125" style="260" customWidth="1"/>
    <col min="11471" max="11471" width="10.6640625" style="260" customWidth="1"/>
    <col min="11472" max="11473" width="19.1640625" style="260" customWidth="1"/>
    <col min="11474" max="11721" width="8.6640625" style="260"/>
    <col min="11722" max="11722" width="5.83203125" style="260" customWidth="1"/>
    <col min="11723" max="11723" width="11.6640625" style="260" customWidth="1"/>
    <col min="11724" max="11724" width="9.6640625" style="260" customWidth="1"/>
    <col min="11725" max="11725" width="9.1640625" style="260" customWidth="1"/>
    <col min="11726" max="11726" width="54.83203125" style="260" customWidth="1"/>
    <col min="11727" max="11727" width="10.6640625" style="260" customWidth="1"/>
    <col min="11728" max="11729" width="19.1640625" style="260" customWidth="1"/>
    <col min="11730" max="11977" width="8.6640625" style="260"/>
    <col min="11978" max="11978" width="5.83203125" style="260" customWidth="1"/>
    <col min="11979" max="11979" width="11.6640625" style="260" customWidth="1"/>
    <col min="11980" max="11980" width="9.6640625" style="260" customWidth="1"/>
    <col min="11981" max="11981" width="9.1640625" style="260" customWidth="1"/>
    <col min="11982" max="11982" width="54.83203125" style="260" customWidth="1"/>
    <col min="11983" max="11983" width="10.6640625" style="260" customWidth="1"/>
    <col min="11984" max="11985" width="19.1640625" style="260" customWidth="1"/>
    <col min="11986" max="12233" width="8.6640625" style="260"/>
    <col min="12234" max="12234" width="5.83203125" style="260" customWidth="1"/>
    <col min="12235" max="12235" width="11.6640625" style="260" customWidth="1"/>
    <col min="12236" max="12236" width="9.6640625" style="260" customWidth="1"/>
    <col min="12237" max="12237" width="9.1640625" style="260" customWidth="1"/>
    <col min="12238" max="12238" width="54.83203125" style="260" customWidth="1"/>
    <col min="12239" max="12239" width="10.6640625" style="260" customWidth="1"/>
    <col min="12240" max="12241" width="19.1640625" style="260" customWidth="1"/>
    <col min="12242" max="12489" width="8.6640625" style="260"/>
    <col min="12490" max="12490" width="5.83203125" style="260" customWidth="1"/>
    <col min="12491" max="12491" width="11.6640625" style="260" customWidth="1"/>
    <col min="12492" max="12492" width="9.6640625" style="260" customWidth="1"/>
    <col min="12493" max="12493" width="9.1640625" style="260" customWidth="1"/>
    <col min="12494" max="12494" width="54.83203125" style="260" customWidth="1"/>
    <col min="12495" max="12495" width="10.6640625" style="260" customWidth="1"/>
    <col min="12496" max="12497" width="19.1640625" style="260" customWidth="1"/>
    <col min="12498" max="12745" width="8.6640625" style="260"/>
    <col min="12746" max="12746" width="5.83203125" style="260" customWidth="1"/>
    <col min="12747" max="12747" width="11.6640625" style="260" customWidth="1"/>
    <col min="12748" max="12748" width="9.6640625" style="260" customWidth="1"/>
    <col min="12749" max="12749" width="9.1640625" style="260" customWidth="1"/>
    <col min="12750" max="12750" width="54.83203125" style="260" customWidth="1"/>
    <col min="12751" max="12751" width="10.6640625" style="260" customWidth="1"/>
    <col min="12752" max="12753" width="19.1640625" style="260" customWidth="1"/>
    <col min="12754" max="13001" width="8.6640625" style="260"/>
    <col min="13002" max="13002" width="5.83203125" style="260" customWidth="1"/>
    <col min="13003" max="13003" width="11.6640625" style="260" customWidth="1"/>
    <col min="13004" max="13004" width="9.6640625" style="260" customWidth="1"/>
    <col min="13005" max="13005" width="9.1640625" style="260" customWidth="1"/>
    <col min="13006" max="13006" width="54.83203125" style="260" customWidth="1"/>
    <col min="13007" max="13007" width="10.6640625" style="260" customWidth="1"/>
    <col min="13008" max="13009" width="19.1640625" style="260" customWidth="1"/>
    <col min="13010" max="13257" width="8.6640625" style="260"/>
    <col min="13258" max="13258" width="5.83203125" style="260" customWidth="1"/>
    <col min="13259" max="13259" width="11.6640625" style="260" customWidth="1"/>
    <col min="13260" max="13260" width="9.6640625" style="260" customWidth="1"/>
    <col min="13261" max="13261" width="9.1640625" style="260" customWidth="1"/>
    <col min="13262" max="13262" width="54.83203125" style="260" customWidth="1"/>
    <col min="13263" max="13263" width="10.6640625" style="260" customWidth="1"/>
    <col min="13264" max="13265" width="19.1640625" style="260" customWidth="1"/>
    <col min="13266" max="13513" width="8.6640625" style="260"/>
    <col min="13514" max="13514" width="5.83203125" style="260" customWidth="1"/>
    <col min="13515" max="13515" width="11.6640625" style="260" customWidth="1"/>
    <col min="13516" max="13516" width="9.6640625" style="260" customWidth="1"/>
    <col min="13517" max="13517" width="9.1640625" style="260" customWidth="1"/>
    <col min="13518" max="13518" width="54.83203125" style="260" customWidth="1"/>
    <col min="13519" max="13519" width="10.6640625" style="260" customWidth="1"/>
    <col min="13520" max="13521" width="19.1640625" style="260" customWidth="1"/>
    <col min="13522" max="13769" width="8.6640625" style="260"/>
    <col min="13770" max="13770" width="5.83203125" style="260" customWidth="1"/>
    <col min="13771" max="13771" width="11.6640625" style="260" customWidth="1"/>
    <col min="13772" max="13772" width="9.6640625" style="260" customWidth="1"/>
    <col min="13773" max="13773" width="9.1640625" style="260" customWidth="1"/>
    <col min="13774" max="13774" width="54.83203125" style="260" customWidth="1"/>
    <col min="13775" max="13775" width="10.6640625" style="260" customWidth="1"/>
    <col min="13776" max="13777" width="19.1640625" style="260" customWidth="1"/>
    <col min="13778" max="14025" width="8.6640625" style="260"/>
    <col min="14026" max="14026" width="5.83203125" style="260" customWidth="1"/>
    <col min="14027" max="14027" width="11.6640625" style="260" customWidth="1"/>
    <col min="14028" max="14028" width="9.6640625" style="260" customWidth="1"/>
    <col min="14029" max="14029" width="9.1640625" style="260" customWidth="1"/>
    <col min="14030" max="14030" width="54.83203125" style="260" customWidth="1"/>
    <col min="14031" max="14031" width="10.6640625" style="260" customWidth="1"/>
    <col min="14032" max="14033" width="19.1640625" style="260" customWidth="1"/>
    <col min="14034" max="14281" width="8.6640625" style="260"/>
    <col min="14282" max="14282" width="5.83203125" style="260" customWidth="1"/>
    <col min="14283" max="14283" width="11.6640625" style="260" customWidth="1"/>
    <col min="14284" max="14284" width="9.6640625" style="260" customWidth="1"/>
    <col min="14285" max="14285" width="9.1640625" style="260" customWidth="1"/>
    <col min="14286" max="14286" width="54.83203125" style="260" customWidth="1"/>
    <col min="14287" max="14287" width="10.6640625" style="260" customWidth="1"/>
    <col min="14288" max="14289" width="19.1640625" style="260" customWidth="1"/>
    <col min="14290" max="14537" width="8.6640625" style="260"/>
    <col min="14538" max="14538" width="5.83203125" style="260" customWidth="1"/>
    <col min="14539" max="14539" width="11.6640625" style="260" customWidth="1"/>
    <col min="14540" max="14540" width="9.6640625" style="260" customWidth="1"/>
    <col min="14541" max="14541" width="9.1640625" style="260" customWidth="1"/>
    <col min="14542" max="14542" width="54.83203125" style="260" customWidth="1"/>
    <col min="14543" max="14543" width="10.6640625" style="260" customWidth="1"/>
    <col min="14544" max="14545" width="19.1640625" style="260" customWidth="1"/>
    <col min="14546" max="14793" width="8.6640625" style="260"/>
    <col min="14794" max="14794" width="5.83203125" style="260" customWidth="1"/>
    <col min="14795" max="14795" width="11.6640625" style="260" customWidth="1"/>
    <col min="14796" max="14796" width="9.6640625" style="260" customWidth="1"/>
    <col min="14797" max="14797" width="9.1640625" style="260" customWidth="1"/>
    <col min="14798" max="14798" width="54.83203125" style="260" customWidth="1"/>
    <col min="14799" max="14799" width="10.6640625" style="260" customWidth="1"/>
    <col min="14800" max="14801" width="19.1640625" style="260" customWidth="1"/>
    <col min="14802" max="15049" width="8.6640625" style="260"/>
    <col min="15050" max="15050" width="5.83203125" style="260" customWidth="1"/>
    <col min="15051" max="15051" width="11.6640625" style="260" customWidth="1"/>
    <col min="15052" max="15052" width="9.6640625" style="260" customWidth="1"/>
    <col min="15053" max="15053" width="9.1640625" style="260" customWidth="1"/>
    <col min="15054" max="15054" width="54.83203125" style="260" customWidth="1"/>
    <col min="15055" max="15055" width="10.6640625" style="260" customWidth="1"/>
    <col min="15056" max="15057" width="19.1640625" style="260" customWidth="1"/>
    <col min="15058" max="15305" width="8.6640625" style="260"/>
    <col min="15306" max="15306" width="5.83203125" style="260" customWidth="1"/>
    <col min="15307" max="15307" width="11.6640625" style="260" customWidth="1"/>
    <col min="15308" max="15308" width="9.6640625" style="260" customWidth="1"/>
    <col min="15309" max="15309" width="9.1640625" style="260" customWidth="1"/>
    <col min="15310" max="15310" width="54.83203125" style="260" customWidth="1"/>
    <col min="15311" max="15311" width="10.6640625" style="260" customWidth="1"/>
    <col min="15312" max="15313" width="19.1640625" style="260" customWidth="1"/>
    <col min="15314" max="15561" width="8.6640625" style="260"/>
    <col min="15562" max="15562" width="5.83203125" style="260" customWidth="1"/>
    <col min="15563" max="15563" width="11.6640625" style="260" customWidth="1"/>
    <col min="15564" max="15564" width="9.6640625" style="260" customWidth="1"/>
    <col min="15565" max="15565" width="9.1640625" style="260" customWidth="1"/>
    <col min="15566" max="15566" width="54.83203125" style="260" customWidth="1"/>
    <col min="15567" max="15567" width="10.6640625" style="260" customWidth="1"/>
    <col min="15568" max="15569" width="19.1640625" style="260" customWidth="1"/>
    <col min="15570" max="15817" width="8.6640625" style="260"/>
    <col min="15818" max="15818" width="5.83203125" style="260" customWidth="1"/>
    <col min="15819" max="15819" width="11.6640625" style="260" customWidth="1"/>
    <col min="15820" max="15820" width="9.6640625" style="260" customWidth="1"/>
    <col min="15821" max="15821" width="9.1640625" style="260" customWidth="1"/>
    <col min="15822" max="15822" width="54.83203125" style="260" customWidth="1"/>
    <col min="15823" max="15823" width="10.6640625" style="260" customWidth="1"/>
    <col min="15824" max="15825" width="19.1640625" style="260" customWidth="1"/>
    <col min="15826" max="16073" width="8.6640625" style="260"/>
    <col min="16074" max="16074" width="5.83203125" style="260" customWidth="1"/>
    <col min="16075" max="16075" width="11.6640625" style="260" customWidth="1"/>
    <col min="16076" max="16076" width="9.6640625" style="260" customWidth="1"/>
    <col min="16077" max="16077" width="9.1640625" style="260" customWidth="1"/>
    <col min="16078" max="16078" width="54.83203125" style="260" customWidth="1"/>
    <col min="16079" max="16079" width="10.6640625" style="260" customWidth="1"/>
    <col min="16080" max="16081" width="19.1640625" style="260" customWidth="1"/>
    <col min="16082" max="16384" width="8.6640625" style="260"/>
  </cols>
  <sheetData>
    <row r="1" spans="2:7">
      <c r="B1" s="661" t="s">
        <v>150</v>
      </c>
      <c r="C1" s="661"/>
      <c r="D1" s="661"/>
      <c r="E1" s="661"/>
      <c r="F1" s="661"/>
      <c r="G1" s="661"/>
    </row>
    <row r="2" spans="2:7" ht="16" thickBot="1">
      <c r="B2" s="661"/>
      <c r="C2" s="661"/>
      <c r="D2" s="661"/>
      <c r="E2" s="661"/>
      <c r="F2" s="661"/>
      <c r="G2" s="661"/>
    </row>
    <row r="3" spans="2:7" ht="19.5" customHeight="1" thickTop="1" thickBot="1">
      <c r="B3" s="261" t="s">
        <v>151</v>
      </c>
      <c r="C3" s="262" t="s">
        <v>152</v>
      </c>
      <c r="D3" s="262" t="s">
        <v>153</v>
      </c>
      <c r="E3" s="262" t="s">
        <v>154</v>
      </c>
      <c r="F3" s="262" t="s">
        <v>155</v>
      </c>
      <c r="G3" s="263" t="s">
        <v>156</v>
      </c>
    </row>
    <row r="4" spans="2:7" ht="17.25" customHeight="1" thickTop="1">
      <c r="B4" s="264">
        <v>1</v>
      </c>
      <c r="C4" s="357" t="s">
        <v>157</v>
      </c>
      <c r="D4" s="358" t="s">
        <v>158</v>
      </c>
      <c r="E4" s="359">
        <v>0.43402777777777779</v>
      </c>
      <c r="F4" s="360" t="s">
        <v>159</v>
      </c>
      <c r="G4" s="361"/>
    </row>
    <row r="5" spans="2:7" ht="17.25" customHeight="1">
      <c r="B5" s="265">
        <v>45768</v>
      </c>
      <c r="C5" s="362"/>
      <c r="D5" s="266"/>
      <c r="E5" s="266"/>
      <c r="F5" s="267" t="s">
        <v>160</v>
      </c>
      <c r="G5" s="361"/>
    </row>
    <row r="6" spans="2:7" ht="17.25" customHeight="1">
      <c r="B6" s="265" t="str">
        <f>TEXT(B5,"aaaa")</f>
        <v>월요일</v>
      </c>
      <c r="C6" s="357" t="s">
        <v>161</v>
      </c>
      <c r="D6" s="266"/>
      <c r="E6" s="268">
        <v>0.46875</v>
      </c>
      <c r="F6" s="269" t="s">
        <v>162</v>
      </c>
      <c r="G6" s="361"/>
    </row>
    <row r="7" spans="2:7" ht="17.25" customHeight="1">
      <c r="B7" s="270"/>
      <c r="C7" s="357"/>
      <c r="D7" s="357"/>
      <c r="E7" s="363"/>
      <c r="F7" s="269" t="s">
        <v>163</v>
      </c>
      <c r="G7" s="364"/>
    </row>
    <row r="8" spans="2:7" ht="17.25" customHeight="1">
      <c r="B8" s="270"/>
      <c r="C8" s="362"/>
      <c r="D8" s="357"/>
      <c r="E8" s="363"/>
      <c r="F8" s="271" t="s">
        <v>164</v>
      </c>
      <c r="G8" s="365" t="s">
        <v>165</v>
      </c>
    </row>
    <row r="9" spans="2:7" ht="17.25" customHeight="1">
      <c r="B9" s="270"/>
      <c r="C9" s="362"/>
      <c r="D9" s="357"/>
      <c r="E9" s="362"/>
      <c r="F9" s="272"/>
      <c r="G9" s="365"/>
    </row>
    <row r="10" spans="2:7" ht="17.25" customHeight="1">
      <c r="B10" s="270"/>
      <c r="C10" s="362"/>
      <c r="D10" s="357"/>
      <c r="E10" s="362"/>
      <c r="F10" s="269" t="s">
        <v>166</v>
      </c>
      <c r="G10" s="365"/>
    </row>
    <row r="11" spans="2:7" ht="17.25" customHeight="1">
      <c r="B11" s="273"/>
      <c r="C11" s="274"/>
      <c r="D11" s="274"/>
      <c r="E11" s="274"/>
      <c r="F11" s="366" t="s">
        <v>167</v>
      </c>
      <c r="G11" s="275"/>
    </row>
    <row r="12" spans="2:7" ht="17.25" customHeight="1">
      <c r="B12" s="264">
        <f>B4+1</f>
        <v>2</v>
      </c>
      <c r="C12" s="358" t="s">
        <v>161</v>
      </c>
      <c r="D12" s="357" t="s">
        <v>168</v>
      </c>
      <c r="E12" s="357" t="s">
        <v>169</v>
      </c>
      <c r="F12" s="360" t="s">
        <v>170</v>
      </c>
      <c r="G12" s="367" t="s">
        <v>171</v>
      </c>
    </row>
    <row r="13" spans="2:7" ht="17.25" customHeight="1">
      <c r="B13" s="265">
        <f>B5+1</f>
        <v>45769</v>
      </c>
      <c r="C13" s="357" t="s">
        <v>172</v>
      </c>
      <c r="D13" s="368"/>
      <c r="E13" s="368"/>
      <c r="F13" s="271" t="s">
        <v>164</v>
      </c>
      <c r="G13" s="365"/>
    </row>
    <row r="14" spans="2:7" ht="17.25" customHeight="1">
      <c r="B14" s="265" t="str">
        <f>TEXT(B13,"aaaa")</f>
        <v>화요일</v>
      </c>
      <c r="C14" s="357"/>
      <c r="D14" s="368"/>
      <c r="E14" s="368"/>
      <c r="F14" s="272"/>
      <c r="G14" s="365" t="s">
        <v>173</v>
      </c>
    </row>
    <row r="15" spans="2:7" ht="17.25" customHeight="1">
      <c r="B15" s="276"/>
      <c r="C15" s="357" t="s">
        <v>161</v>
      </c>
      <c r="D15" s="368"/>
      <c r="E15" s="368"/>
      <c r="F15" s="269" t="s">
        <v>174</v>
      </c>
      <c r="G15" s="365"/>
    </row>
    <row r="16" spans="2:7" ht="17.25" customHeight="1">
      <c r="B16" s="277"/>
      <c r="C16" s="357"/>
      <c r="D16" s="368"/>
      <c r="E16" s="368"/>
      <c r="F16" s="269" t="s">
        <v>175</v>
      </c>
      <c r="G16" s="365" t="s">
        <v>165</v>
      </c>
    </row>
    <row r="17" spans="2:7" ht="17.25" customHeight="1">
      <c r="B17" s="277"/>
      <c r="C17" s="357"/>
      <c r="D17" s="368"/>
      <c r="E17" s="368"/>
      <c r="F17" s="269" t="s">
        <v>176</v>
      </c>
      <c r="G17" s="365"/>
    </row>
    <row r="18" spans="2:7" ht="17.25" customHeight="1">
      <c r="B18" s="265"/>
      <c r="C18" s="357"/>
      <c r="D18" s="368"/>
      <c r="E18" s="368"/>
      <c r="F18" s="269" t="s">
        <v>177</v>
      </c>
      <c r="G18" s="365"/>
    </row>
    <row r="19" spans="2:7" ht="17.25" customHeight="1">
      <c r="B19" s="278"/>
      <c r="C19" s="279"/>
      <c r="D19" s="280"/>
      <c r="E19" s="281"/>
      <c r="F19" s="366" t="s">
        <v>167</v>
      </c>
      <c r="G19" s="282"/>
    </row>
    <row r="20" spans="2:7" ht="17.25" customHeight="1">
      <c r="B20" s="264">
        <f>B12+1</f>
        <v>3</v>
      </c>
      <c r="C20" s="358" t="s">
        <v>178</v>
      </c>
      <c r="D20" s="358" t="s">
        <v>168</v>
      </c>
      <c r="E20" s="358" t="s">
        <v>169</v>
      </c>
      <c r="F20" s="360" t="s">
        <v>179</v>
      </c>
      <c r="G20" s="367" t="s">
        <v>171</v>
      </c>
    </row>
    <row r="21" spans="2:7" ht="17.25" customHeight="1">
      <c r="B21" s="265">
        <f>B13+1</f>
        <v>45770</v>
      </c>
      <c r="C21" s="266" t="s">
        <v>180</v>
      </c>
      <c r="D21" s="266"/>
      <c r="E21" s="266"/>
      <c r="F21" s="269" t="s">
        <v>181</v>
      </c>
      <c r="G21" s="365"/>
    </row>
    <row r="22" spans="2:7" ht="17.25" customHeight="1">
      <c r="B22" s="265" t="str">
        <f>TEXT(B21,"aaaa")</f>
        <v>수요일</v>
      </c>
      <c r="C22" s="266"/>
      <c r="D22" s="266"/>
      <c r="E22" s="266"/>
      <c r="F22" s="271" t="s">
        <v>164</v>
      </c>
      <c r="G22" s="365" t="s">
        <v>173</v>
      </c>
    </row>
    <row r="23" spans="2:7" ht="17.25" customHeight="1">
      <c r="B23" s="283"/>
      <c r="C23" s="266"/>
      <c r="D23" s="266"/>
      <c r="E23" s="266"/>
      <c r="F23" s="272" t="s">
        <v>182</v>
      </c>
      <c r="G23" s="365"/>
    </row>
    <row r="24" spans="2:7" ht="17.25" customHeight="1">
      <c r="B24" s="283"/>
      <c r="C24" s="266"/>
      <c r="D24" s="266"/>
      <c r="E24" s="266"/>
      <c r="F24" s="269"/>
      <c r="G24" s="365" t="s">
        <v>165</v>
      </c>
    </row>
    <row r="25" spans="2:7" ht="17.25" customHeight="1">
      <c r="B25" s="276"/>
      <c r="C25" s="266"/>
      <c r="D25" s="266"/>
      <c r="E25" s="369"/>
      <c r="F25" s="269" t="s">
        <v>166</v>
      </c>
      <c r="G25" s="284"/>
    </row>
    <row r="26" spans="2:7" ht="17.25" customHeight="1">
      <c r="B26" s="285"/>
      <c r="C26" s="279"/>
      <c r="D26" s="279"/>
      <c r="E26" s="279"/>
      <c r="F26" s="286" t="s">
        <v>183</v>
      </c>
      <c r="G26" s="287"/>
    </row>
    <row r="27" spans="2:7" ht="17.25" customHeight="1">
      <c r="B27" s="264">
        <f>B20+1</f>
        <v>4</v>
      </c>
      <c r="C27" s="358" t="s">
        <v>184</v>
      </c>
      <c r="D27" s="358" t="s">
        <v>168</v>
      </c>
      <c r="E27" s="358" t="s">
        <v>169</v>
      </c>
      <c r="F27" s="360" t="s">
        <v>185</v>
      </c>
      <c r="G27" s="367" t="s">
        <v>171</v>
      </c>
    </row>
    <row r="28" spans="2:7" ht="17.25" customHeight="1">
      <c r="B28" s="265">
        <f>B21+1</f>
        <v>45771</v>
      </c>
      <c r="C28" s="266"/>
      <c r="D28" s="266"/>
      <c r="E28" s="266"/>
      <c r="F28" s="271" t="s">
        <v>164</v>
      </c>
      <c r="G28" s="365"/>
    </row>
    <row r="29" spans="2:7" ht="17.25" customHeight="1">
      <c r="B29" s="265" t="str">
        <f>TEXT(B28,"aaaa")</f>
        <v>목요일</v>
      </c>
      <c r="C29" s="266"/>
      <c r="D29" s="266"/>
      <c r="E29" s="266"/>
      <c r="F29" s="272" t="s">
        <v>186</v>
      </c>
      <c r="G29" s="365" t="s">
        <v>173</v>
      </c>
    </row>
    <row r="30" spans="2:7" ht="17.25" customHeight="1">
      <c r="B30" s="276"/>
      <c r="C30" s="266"/>
      <c r="D30" s="266"/>
      <c r="E30" s="266"/>
      <c r="F30" s="370" t="s">
        <v>174</v>
      </c>
      <c r="G30" s="365"/>
    </row>
    <row r="31" spans="2:7" ht="17.25" customHeight="1">
      <c r="B31" s="276"/>
      <c r="C31" s="266"/>
      <c r="D31" s="266"/>
      <c r="E31" s="266"/>
      <c r="F31" s="271" t="s">
        <v>164</v>
      </c>
      <c r="G31" s="365" t="s">
        <v>165</v>
      </c>
    </row>
    <row r="32" spans="2:7" ht="17.25" customHeight="1">
      <c r="B32" s="276"/>
      <c r="C32" s="266"/>
      <c r="D32" s="266"/>
      <c r="E32" s="266"/>
      <c r="F32" s="272" t="s">
        <v>187</v>
      </c>
      <c r="G32" s="365"/>
    </row>
    <row r="33" spans="2:7" ht="17.25" customHeight="1">
      <c r="B33" s="276"/>
      <c r="C33" s="266"/>
      <c r="D33" s="266"/>
      <c r="E33" s="369"/>
      <c r="F33" s="371" t="s">
        <v>188</v>
      </c>
      <c r="G33" s="284"/>
    </row>
    <row r="34" spans="2:7" ht="17.25" customHeight="1">
      <c r="B34" s="276"/>
      <c r="C34" s="266"/>
      <c r="D34" s="266"/>
      <c r="E34" s="369"/>
      <c r="F34" s="371" t="s">
        <v>189</v>
      </c>
      <c r="G34" s="284"/>
    </row>
    <row r="35" spans="2:7" ht="17.25" customHeight="1">
      <c r="B35" s="276"/>
      <c r="C35" s="266"/>
      <c r="D35" s="266"/>
      <c r="E35" s="369"/>
      <c r="F35" s="269" t="s">
        <v>190</v>
      </c>
      <c r="G35" s="284"/>
    </row>
    <row r="36" spans="2:7" ht="17.25" customHeight="1">
      <c r="B36" s="285"/>
      <c r="C36" s="288"/>
      <c r="D36" s="288"/>
      <c r="E36" s="288"/>
      <c r="F36" s="286" t="s">
        <v>183</v>
      </c>
      <c r="G36" s="289"/>
    </row>
    <row r="37" spans="2:7" ht="17.25" customHeight="1">
      <c r="B37" s="264">
        <f>B27+1</f>
        <v>5</v>
      </c>
      <c r="C37" s="358" t="s">
        <v>184</v>
      </c>
      <c r="D37" s="358" t="s">
        <v>191</v>
      </c>
      <c r="E37" s="372" t="s">
        <v>192</v>
      </c>
      <c r="F37" s="360" t="s">
        <v>185</v>
      </c>
      <c r="G37" s="290" t="s">
        <v>193</v>
      </c>
    </row>
    <row r="38" spans="2:7" ht="17.25" customHeight="1">
      <c r="B38" s="265">
        <f>B28+1</f>
        <v>45772</v>
      </c>
      <c r="C38" s="266"/>
      <c r="D38" s="266"/>
      <c r="E38" s="266"/>
      <c r="F38" s="370" t="s">
        <v>194</v>
      </c>
      <c r="G38" s="284"/>
    </row>
    <row r="39" spans="2:7" ht="17.25" customHeight="1">
      <c r="B39" s="265" t="str">
        <f>TEXT(B38,"aaaa")</f>
        <v>금요일</v>
      </c>
      <c r="C39" s="266" t="s">
        <v>195</v>
      </c>
      <c r="D39" s="266"/>
      <c r="E39" s="266"/>
      <c r="F39" s="271" t="s">
        <v>164</v>
      </c>
      <c r="G39" s="284" t="s">
        <v>196</v>
      </c>
    </row>
    <row r="40" spans="2:7" ht="17.25" customHeight="1">
      <c r="B40" s="277"/>
      <c r="C40" s="266"/>
      <c r="D40" s="266"/>
      <c r="E40" s="266"/>
      <c r="F40" s="373" t="s">
        <v>197</v>
      </c>
      <c r="G40" s="284"/>
    </row>
    <row r="41" spans="2:7" ht="17.25" customHeight="1">
      <c r="B41" s="277"/>
      <c r="C41" s="266"/>
      <c r="D41" s="266"/>
      <c r="E41" s="266"/>
      <c r="F41" s="272"/>
      <c r="G41" s="284" t="s">
        <v>165</v>
      </c>
    </row>
    <row r="42" spans="2:7" ht="17.25" customHeight="1">
      <c r="B42" s="291"/>
      <c r="C42" s="266"/>
      <c r="D42" s="266"/>
      <c r="E42" s="266"/>
      <c r="F42" s="370"/>
      <c r="G42" s="365"/>
    </row>
    <row r="43" spans="2:7" ht="17.25" customHeight="1">
      <c r="B43" s="291"/>
      <c r="C43" s="266"/>
      <c r="D43" s="266"/>
      <c r="E43" s="266"/>
      <c r="F43" s="269" t="s">
        <v>166</v>
      </c>
      <c r="G43" s="365"/>
    </row>
    <row r="44" spans="2:7" ht="17.25" customHeight="1">
      <c r="B44" s="285"/>
      <c r="C44" s="288"/>
      <c r="D44" s="288"/>
      <c r="E44" s="288"/>
      <c r="F44" s="292" t="s">
        <v>198</v>
      </c>
      <c r="G44" s="289"/>
    </row>
    <row r="45" spans="2:7" ht="17.25" customHeight="1">
      <c r="B45" s="293">
        <f>B37+1</f>
        <v>6</v>
      </c>
      <c r="C45" s="358" t="s">
        <v>195</v>
      </c>
      <c r="D45" s="358" t="s">
        <v>191</v>
      </c>
      <c r="E45" s="372" t="s">
        <v>192</v>
      </c>
      <c r="F45" s="360" t="s">
        <v>185</v>
      </c>
      <c r="G45" s="290" t="s">
        <v>193</v>
      </c>
    </row>
    <row r="46" spans="2:7" ht="17.25" customHeight="1">
      <c r="B46" s="265">
        <f>B38+1</f>
        <v>45773</v>
      </c>
      <c r="C46" s="266"/>
      <c r="D46" s="266"/>
      <c r="E46" s="266"/>
      <c r="F46" s="271" t="s">
        <v>164</v>
      </c>
      <c r="G46" s="284"/>
    </row>
    <row r="47" spans="2:7" ht="17.25" customHeight="1">
      <c r="B47" s="265" t="str">
        <f>TEXT(B46,"aaaa")</f>
        <v>토요일</v>
      </c>
      <c r="C47" s="266"/>
      <c r="D47" s="266"/>
      <c r="E47" s="266"/>
      <c r="F47" s="373" t="s">
        <v>199</v>
      </c>
      <c r="G47" s="284" t="s">
        <v>196</v>
      </c>
    </row>
    <row r="48" spans="2:7" ht="17.25" customHeight="1">
      <c r="B48" s="294"/>
      <c r="C48" s="266"/>
      <c r="D48" s="266"/>
      <c r="E48" s="266"/>
      <c r="F48" s="272"/>
      <c r="G48" s="284"/>
    </row>
    <row r="49" spans="2:7" ht="17.25" customHeight="1">
      <c r="B49" s="294"/>
      <c r="C49" s="266"/>
      <c r="D49" s="266"/>
      <c r="E49" s="266"/>
      <c r="F49" s="370" t="s">
        <v>200</v>
      </c>
      <c r="G49" s="284" t="s">
        <v>165</v>
      </c>
    </row>
    <row r="50" spans="2:7" ht="17.25" customHeight="1">
      <c r="B50" s="294"/>
      <c r="C50" s="266"/>
      <c r="D50" s="266"/>
      <c r="E50" s="266"/>
      <c r="F50" s="271" t="s">
        <v>164</v>
      </c>
      <c r="G50" s="284"/>
    </row>
    <row r="51" spans="2:7" ht="17.25" customHeight="1">
      <c r="B51" s="294"/>
      <c r="C51" s="266"/>
      <c r="D51" s="266"/>
      <c r="E51" s="266"/>
      <c r="F51" s="373" t="s">
        <v>201</v>
      </c>
      <c r="G51" s="284"/>
    </row>
    <row r="52" spans="2:7" ht="17.25" customHeight="1">
      <c r="B52" s="294"/>
      <c r="C52" s="266"/>
      <c r="D52" s="266"/>
      <c r="E52" s="266"/>
      <c r="F52" s="272"/>
      <c r="G52" s="284"/>
    </row>
    <row r="53" spans="2:7" ht="17.25" customHeight="1">
      <c r="B53" s="283"/>
      <c r="C53" s="266"/>
      <c r="D53" s="266"/>
      <c r="E53" s="266"/>
      <c r="F53" s="269" t="s">
        <v>166</v>
      </c>
      <c r="G53" s="365"/>
    </row>
    <row r="54" spans="2:7" ht="17.25" customHeight="1">
      <c r="B54" s="295"/>
      <c r="C54" s="279"/>
      <c r="D54" s="279"/>
      <c r="E54" s="280"/>
      <c r="F54" s="292" t="s">
        <v>198</v>
      </c>
      <c r="G54" s="296"/>
    </row>
    <row r="55" spans="2:7" ht="17.25" customHeight="1">
      <c r="B55" s="293">
        <f>B45+1</f>
        <v>7</v>
      </c>
      <c r="C55" s="357" t="s">
        <v>195</v>
      </c>
      <c r="D55" s="358" t="s">
        <v>191</v>
      </c>
      <c r="E55" s="372" t="s">
        <v>192</v>
      </c>
      <c r="F55" s="370" t="s">
        <v>202</v>
      </c>
      <c r="G55" s="297"/>
    </row>
    <row r="56" spans="2:7" ht="17.25" customHeight="1">
      <c r="B56" s="265">
        <f>B46+1</f>
        <v>45774</v>
      </c>
      <c r="C56" s="357"/>
      <c r="D56" s="357"/>
      <c r="E56" s="368"/>
      <c r="F56" s="370" t="s">
        <v>203</v>
      </c>
      <c r="G56" s="297"/>
    </row>
    <row r="57" spans="2:7" ht="17.25" customHeight="1">
      <c r="B57" s="265" t="str">
        <f>TEXT(B56,"aaaa")</f>
        <v>일요일</v>
      </c>
      <c r="C57" s="357"/>
      <c r="D57" s="266" t="s">
        <v>204</v>
      </c>
      <c r="E57" s="268">
        <v>0.54513888888888884</v>
      </c>
      <c r="F57" s="269" t="s">
        <v>205</v>
      </c>
      <c r="G57" s="297"/>
    </row>
    <row r="58" spans="2:7" ht="17.25" customHeight="1">
      <c r="B58" s="298"/>
      <c r="C58" s="299"/>
      <c r="D58" s="300"/>
      <c r="E58" s="300"/>
      <c r="F58" s="301" t="s">
        <v>206</v>
      </c>
      <c r="G58" s="302"/>
    </row>
    <row r="59" spans="2:7" ht="17.25" customHeight="1">
      <c r="B59" s="293">
        <f>B55+1</f>
        <v>8</v>
      </c>
      <c r="C59" s="303" t="s">
        <v>207</v>
      </c>
      <c r="D59" s="374"/>
      <c r="E59" s="375">
        <v>0.72569444444444442</v>
      </c>
      <c r="F59" s="376" t="s">
        <v>208</v>
      </c>
      <c r="G59" s="304"/>
    </row>
    <row r="60" spans="2:7" ht="17.25" customHeight="1">
      <c r="B60" s="265">
        <f>B56+1</f>
        <v>45775</v>
      </c>
      <c r="C60" s="377"/>
      <c r="D60" s="378"/>
      <c r="E60" s="379"/>
      <c r="F60" s="380"/>
      <c r="G60" s="305"/>
    </row>
    <row r="61" spans="2:7" ht="17.25" customHeight="1" thickBot="1">
      <c r="B61" s="265" t="str">
        <f>TEXT(B60,"aaaa")</f>
        <v>월요일</v>
      </c>
      <c r="C61" s="306"/>
      <c r="D61" s="307"/>
      <c r="E61" s="308"/>
      <c r="F61" s="309" t="s">
        <v>209</v>
      </c>
      <c r="G61" s="310"/>
    </row>
    <row r="62" spans="2:7" ht="24.75" customHeight="1" thickTop="1" thickBot="1">
      <c r="B62" s="662" t="s">
        <v>210</v>
      </c>
      <c r="C62" s="663"/>
      <c r="D62" s="663"/>
      <c r="E62" s="663"/>
      <c r="F62" s="663"/>
      <c r="G62" s="664"/>
    </row>
    <row r="63" spans="2:7" ht="16" thickTop="1"/>
  </sheetData>
  <mergeCells count="2">
    <mergeCell ref="B1:G2"/>
    <mergeCell ref="B62:G62"/>
  </mergeCells>
  <phoneticPr fontId="7" type="noConversion"/>
  <pageMargins left="0.7" right="0.7" top="0.75" bottom="0.75" header="0.3" footer="0.3"/>
  <pageSetup paperSize="9" scale="61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72E7-4CFC-48E8-9B6B-BE5578DF0B1B}">
  <sheetPr>
    <tabColor theme="5" tint="0.59999389629810485"/>
    <pageSetUpPr fitToPage="1"/>
  </sheetPr>
  <dimension ref="A1:O68"/>
  <sheetViews>
    <sheetView showGridLines="0" topLeftCell="B6" zoomScale="177" zoomScaleNormal="80" zoomScaleSheetLayoutView="110" workbookViewId="0">
      <selection activeCell="D20" sqref="D20:G20"/>
    </sheetView>
  </sheetViews>
  <sheetFormatPr baseColWidth="10" defaultColWidth="9.1640625" defaultRowHeight="17"/>
  <cols>
    <col min="1" max="1" width="9.1640625" style="1" hidden="1" customWidth="1"/>
    <col min="2" max="2" width="8.6640625" style="1" customWidth="1"/>
    <col min="3" max="3" width="10.1640625" style="1" customWidth="1"/>
    <col min="4" max="4" width="13" style="1" customWidth="1"/>
    <col min="5" max="5" width="5.1640625" style="1" customWidth="1"/>
    <col min="6" max="6" width="11.6640625" style="1" customWidth="1"/>
    <col min="7" max="7" width="12.6640625" style="1" customWidth="1"/>
    <col min="8" max="8" width="12.1640625" style="1" customWidth="1"/>
    <col min="9" max="9" width="9.1640625" style="1"/>
    <col min="10" max="10" width="6.6640625" style="1" customWidth="1"/>
    <col min="11" max="11" width="5.1640625" style="1" customWidth="1"/>
    <col min="12" max="12" width="13.6640625" style="1" customWidth="1"/>
    <col min="13" max="13" width="33.6640625" style="1" customWidth="1"/>
    <col min="14" max="14" width="1.6640625" style="1" customWidth="1"/>
    <col min="15" max="15" width="45.6640625" style="1" bestFit="1" customWidth="1"/>
    <col min="16" max="16384" width="9.1640625" style="1"/>
  </cols>
  <sheetData>
    <row r="1" spans="2:15" ht="4.5" customHeight="1" thickBot="1"/>
    <row r="2" spans="2:15" ht="39.5" customHeight="1">
      <c r="B2" s="516" t="s">
        <v>76</v>
      </c>
      <c r="C2" s="517"/>
      <c r="D2" s="517"/>
      <c r="E2" s="517"/>
      <c r="F2" s="517"/>
      <c r="G2" s="517"/>
      <c r="H2" s="517"/>
      <c r="I2" s="517"/>
      <c r="J2" s="517"/>
      <c r="K2" s="517"/>
      <c r="L2" s="517"/>
      <c r="M2" s="518"/>
    </row>
    <row r="3" spans="2:15" ht="3" customHeight="1" thickBot="1">
      <c r="B3" s="64"/>
      <c r="C3" s="65"/>
      <c r="D3" s="65"/>
      <c r="E3" s="65"/>
      <c r="F3" s="65"/>
      <c r="G3" s="65"/>
      <c r="H3" s="65"/>
      <c r="I3" s="65"/>
      <c r="J3" s="65"/>
      <c r="K3" s="65"/>
      <c r="L3" s="65"/>
      <c r="M3" s="66"/>
    </row>
    <row r="4" spans="2:15" ht="19">
      <c r="B4" s="510" t="s">
        <v>77</v>
      </c>
      <c r="C4" s="511"/>
      <c r="D4" s="512" t="s">
        <v>78</v>
      </c>
      <c r="E4" s="513"/>
      <c r="F4" s="513"/>
      <c r="G4" s="513"/>
      <c r="H4" s="514"/>
      <c r="I4" s="515" t="s">
        <v>79</v>
      </c>
      <c r="J4" s="515"/>
      <c r="K4" s="515"/>
      <c r="L4" s="70" t="s">
        <v>80</v>
      </c>
      <c r="M4" s="71" t="s">
        <v>81</v>
      </c>
    </row>
    <row r="5" spans="2:15" ht="19">
      <c r="B5" s="528" t="s">
        <v>82</v>
      </c>
      <c r="C5" s="529"/>
      <c r="D5" s="75">
        <v>45768</v>
      </c>
      <c r="E5" s="68" t="s">
        <v>83</v>
      </c>
      <c r="F5" s="530">
        <v>45774</v>
      </c>
      <c r="G5" s="530" t="s">
        <v>84</v>
      </c>
      <c r="H5" s="69">
        <f>F5-D5</f>
        <v>6</v>
      </c>
      <c r="I5" s="529">
        <v>4</v>
      </c>
      <c r="J5" s="529"/>
      <c r="K5" s="529"/>
      <c r="L5" s="67">
        <v>0</v>
      </c>
      <c r="M5" s="72" t="s">
        <v>85</v>
      </c>
    </row>
    <row r="6" spans="2:15" ht="20" thickBot="1">
      <c r="B6" s="531" t="s">
        <v>86</v>
      </c>
      <c r="C6" s="532"/>
      <c r="D6" s="533" t="s">
        <v>87</v>
      </c>
      <c r="E6" s="534"/>
      <c r="F6" s="534"/>
      <c r="G6" s="534"/>
      <c r="H6" s="534"/>
      <c r="I6" s="534"/>
      <c r="J6" s="534"/>
      <c r="K6" s="534"/>
      <c r="L6" s="534"/>
      <c r="M6" s="535"/>
      <c r="O6" s="312"/>
    </row>
    <row r="7" spans="2:15" ht="3" customHeight="1" thickBot="1"/>
    <row r="8" spans="2:15" ht="19">
      <c r="B8" s="519" t="s">
        <v>88</v>
      </c>
      <c r="C8" s="520"/>
      <c r="D8" s="520"/>
      <c r="E8" s="520"/>
      <c r="F8" s="520"/>
      <c r="G8" s="520"/>
      <c r="H8" s="520" t="s">
        <v>89</v>
      </c>
      <c r="I8" s="520"/>
      <c r="J8" s="520"/>
      <c r="K8" s="520"/>
      <c r="L8" s="523" t="s">
        <v>90</v>
      </c>
      <c r="M8" s="525" t="s">
        <v>91</v>
      </c>
    </row>
    <row r="9" spans="2:15" ht="16.5" customHeight="1">
      <c r="B9" s="521"/>
      <c r="C9" s="522"/>
      <c r="D9" s="522"/>
      <c r="E9" s="522"/>
      <c r="F9" s="522"/>
      <c r="G9" s="522"/>
      <c r="H9" s="2" t="s">
        <v>92</v>
      </c>
      <c r="I9" s="3" t="s">
        <v>93</v>
      </c>
      <c r="J9" s="527" t="s">
        <v>94</v>
      </c>
      <c r="K9" s="527"/>
      <c r="L9" s="524"/>
      <c r="M9" s="526"/>
    </row>
    <row r="10" spans="2:15" ht="29" customHeight="1">
      <c r="B10" s="4" t="s">
        <v>95</v>
      </c>
      <c r="C10" s="258">
        <f>D5</f>
        <v>45768</v>
      </c>
      <c r="D10" s="500" t="s">
        <v>96</v>
      </c>
      <c r="E10" s="501"/>
      <c r="F10" s="501"/>
      <c r="G10" s="502"/>
      <c r="H10" s="313">
        <v>155</v>
      </c>
      <c r="I10" s="314">
        <v>1</v>
      </c>
      <c r="J10" s="315">
        <v>2</v>
      </c>
      <c r="K10" s="5" t="s">
        <v>97</v>
      </c>
      <c r="L10" s="6">
        <f t="shared" ref="L10:L15" si="0">H10*I10*J10</f>
        <v>310</v>
      </c>
      <c r="M10" s="316"/>
    </row>
    <row r="11" spans="2:15">
      <c r="B11" s="7">
        <v>1</v>
      </c>
      <c r="C11" s="8" t="s">
        <v>98</v>
      </c>
      <c r="D11" s="503" t="s">
        <v>99</v>
      </c>
      <c r="E11" s="503"/>
      <c r="F11" s="503"/>
      <c r="G11" s="503"/>
      <c r="H11" s="317">
        <v>1</v>
      </c>
      <c r="I11" s="9">
        <v>1</v>
      </c>
      <c r="J11" s="318">
        <f>I5+L5</f>
        <v>4</v>
      </c>
      <c r="K11" s="11" t="s">
        <v>100</v>
      </c>
      <c r="L11" s="12">
        <f t="shared" si="0"/>
        <v>4</v>
      </c>
      <c r="M11" s="13"/>
    </row>
    <row r="12" spans="2:15" ht="28.25" customHeight="1">
      <c r="B12" s="7"/>
      <c r="C12" s="258">
        <f>C10+1</f>
        <v>45769</v>
      </c>
      <c r="D12" s="500" t="s">
        <v>96</v>
      </c>
      <c r="E12" s="501"/>
      <c r="F12" s="501"/>
      <c r="G12" s="502"/>
      <c r="H12" s="313">
        <v>155</v>
      </c>
      <c r="I12" s="314">
        <v>1</v>
      </c>
      <c r="J12" s="315">
        <f>J10</f>
        <v>2</v>
      </c>
      <c r="K12" s="5" t="s">
        <v>97</v>
      </c>
      <c r="L12" s="6">
        <f>H12*I12*J12</f>
        <v>310</v>
      </c>
      <c r="M12" s="14"/>
    </row>
    <row r="13" spans="2:15">
      <c r="B13" s="7">
        <v>2</v>
      </c>
      <c r="C13" s="8" t="s">
        <v>101</v>
      </c>
      <c r="D13" s="503" t="s">
        <v>99</v>
      </c>
      <c r="E13" s="503"/>
      <c r="F13" s="503"/>
      <c r="G13" s="503"/>
      <c r="H13" s="317">
        <v>1</v>
      </c>
      <c r="I13" s="9">
        <v>1</v>
      </c>
      <c r="J13" s="318">
        <f t="shared" ref="J13" si="1">J11</f>
        <v>4</v>
      </c>
      <c r="K13" s="11" t="s">
        <v>100</v>
      </c>
      <c r="L13" s="12">
        <f t="shared" si="0"/>
        <v>4</v>
      </c>
      <c r="M13" s="13"/>
    </row>
    <row r="14" spans="2:15" ht="28.25" customHeight="1">
      <c r="B14" s="7"/>
      <c r="C14" s="258">
        <f>C12+1</f>
        <v>45770</v>
      </c>
      <c r="D14" s="500" t="s">
        <v>102</v>
      </c>
      <c r="E14" s="501"/>
      <c r="F14" s="501"/>
      <c r="G14" s="502"/>
      <c r="H14" s="313">
        <v>175</v>
      </c>
      <c r="I14" s="314">
        <v>1</v>
      </c>
      <c r="J14" s="315">
        <f t="shared" ref="J14:J21" si="2">J12</f>
        <v>2</v>
      </c>
      <c r="K14" s="5" t="s">
        <v>97</v>
      </c>
      <c r="L14" s="6">
        <f t="shared" si="0"/>
        <v>350</v>
      </c>
      <c r="M14" s="14"/>
    </row>
    <row r="15" spans="2:15">
      <c r="B15" s="7">
        <v>3</v>
      </c>
      <c r="C15" s="8" t="s">
        <v>103</v>
      </c>
      <c r="D15" s="503" t="s">
        <v>99</v>
      </c>
      <c r="E15" s="503"/>
      <c r="F15" s="503"/>
      <c r="G15" s="503"/>
      <c r="H15" s="317">
        <v>1</v>
      </c>
      <c r="I15" s="9">
        <v>1</v>
      </c>
      <c r="J15" s="318">
        <f t="shared" si="2"/>
        <v>4</v>
      </c>
      <c r="K15" s="11" t="s">
        <v>100</v>
      </c>
      <c r="L15" s="12">
        <f t="shared" si="0"/>
        <v>4</v>
      </c>
      <c r="M15" s="13"/>
    </row>
    <row r="16" spans="2:15" ht="28.25" customHeight="1">
      <c r="B16" s="7"/>
      <c r="C16" s="76">
        <f>C14+1</f>
        <v>45771</v>
      </c>
      <c r="D16" s="500" t="s">
        <v>102</v>
      </c>
      <c r="E16" s="501"/>
      <c r="F16" s="501"/>
      <c r="G16" s="502"/>
      <c r="H16" s="313">
        <v>175</v>
      </c>
      <c r="I16" s="314">
        <v>1</v>
      </c>
      <c r="J16" s="315">
        <f t="shared" si="2"/>
        <v>2</v>
      </c>
      <c r="K16" s="5" t="s">
        <v>97</v>
      </c>
      <c r="L16" s="6">
        <f t="shared" ref="L16:L17" si="3">H16*I16*J16</f>
        <v>350</v>
      </c>
      <c r="M16" s="14"/>
    </row>
    <row r="17" spans="2:13">
      <c r="B17" s="7">
        <v>4</v>
      </c>
      <c r="C17" s="8" t="s">
        <v>103</v>
      </c>
      <c r="D17" s="503" t="s">
        <v>99</v>
      </c>
      <c r="E17" s="503"/>
      <c r="F17" s="503"/>
      <c r="G17" s="503"/>
      <c r="H17" s="317">
        <v>1</v>
      </c>
      <c r="I17" s="9">
        <v>1</v>
      </c>
      <c r="J17" s="318">
        <f t="shared" si="2"/>
        <v>4</v>
      </c>
      <c r="K17" s="11" t="s">
        <v>100</v>
      </c>
      <c r="L17" s="12">
        <f t="shared" si="3"/>
        <v>4</v>
      </c>
      <c r="M17" s="15"/>
    </row>
    <row r="18" spans="2:13" ht="28.25" customHeight="1">
      <c r="B18" s="7"/>
      <c r="C18" s="76">
        <f>C16+1</f>
        <v>45772</v>
      </c>
      <c r="D18" s="500" t="s">
        <v>104</v>
      </c>
      <c r="E18" s="501"/>
      <c r="F18" s="501"/>
      <c r="G18" s="502"/>
      <c r="H18" s="313">
        <v>210</v>
      </c>
      <c r="I18" s="314">
        <v>1</v>
      </c>
      <c r="J18" s="315">
        <f t="shared" si="2"/>
        <v>2</v>
      </c>
      <c r="K18" s="5" t="s">
        <v>97</v>
      </c>
      <c r="L18" s="6">
        <f t="shared" ref="L18:L19" si="4">H18*I18*J18</f>
        <v>420</v>
      </c>
      <c r="M18" s="14"/>
    </row>
    <row r="19" spans="2:13">
      <c r="B19" s="7">
        <v>5</v>
      </c>
      <c r="C19" s="8" t="s">
        <v>105</v>
      </c>
      <c r="D19" s="503" t="s">
        <v>99</v>
      </c>
      <c r="E19" s="503"/>
      <c r="F19" s="503"/>
      <c r="G19" s="503"/>
      <c r="H19" s="317">
        <v>1</v>
      </c>
      <c r="I19" s="9">
        <v>1</v>
      </c>
      <c r="J19" s="318">
        <f t="shared" si="2"/>
        <v>4</v>
      </c>
      <c r="K19" s="11" t="s">
        <v>100</v>
      </c>
      <c r="L19" s="12">
        <f t="shared" si="4"/>
        <v>4</v>
      </c>
      <c r="M19" s="15"/>
    </row>
    <row r="20" spans="2:13" ht="28.25" customHeight="1">
      <c r="B20" s="7"/>
      <c r="C20" s="76">
        <f>C18+1</f>
        <v>45773</v>
      </c>
      <c r="D20" s="500" t="s">
        <v>106</v>
      </c>
      <c r="E20" s="501"/>
      <c r="F20" s="501"/>
      <c r="G20" s="502"/>
      <c r="H20" s="313">
        <v>210</v>
      </c>
      <c r="I20" s="314">
        <v>1</v>
      </c>
      <c r="J20" s="315">
        <f t="shared" si="2"/>
        <v>2</v>
      </c>
      <c r="K20" s="5" t="s">
        <v>97</v>
      </c>
      <c r="L20" s="6">
        <f t="shared" ref="L20" si="5">H20*I20*J20</f>
        <v>420</v>
      </c>
      <c r="M20" s="14"/>
    </row>
    <row r="21" spans="2:13">
      <c r="B21" s="7">
        <v>6</v>
      </c>
      <c r="C21" s="8" t="s">
        <v>105</v>
      </c>
      <c r="D21" s="503" t="s">
        <v>99</v>
      </c>
      <c r="E21" s="503"/>
      <c r="F21" s="503"/>
      <c r="G21" s="503"/>
      <c r="H21" s="317">
        <v>1</v>
      </c>
      <c r="I21" s="9">
        <v>1</v>
      </c>
      <c r="J21" s="318">
        <f t="shared" si="2"/>
        <v>4</v>
      </c>
      <c r="K21" s="11" t="s">
        <v>100</v>
      </c>
      <c r="L21" s="12">
        <f t="shared" ref="L21" si="6">H21*I21*J21</f>
        <v>4</v>
      </c>
      <c r="M21" s="15"/>
    </row>
    <row r="22" spans="2:13" ht="23.5" customHeight="1">
      <c r="B22" s="7"/>
      <c r="C22" s="76">
        <f>C20+1</f>
        <v>45774</v>
      </c>
      <c r="D22" s="500" t="s">
        <v>107</v>
      </c>
      <c r="E22" s="501"/>
      <c r="F22" s="501"/>
      <c r="G22" s="502"/>
      <c r="H22" s="319"/>
      <c r="I22" s="314"/>
      <c r="J22" s="320"/>
      <c r="K22" s="5"/>
      <c r="L22" s="6"/>
      <c r="M22" s="249"/>
    </row>
    <row r="23" spans="2:13">
      <c r="B23" s="7">
        <v>7</v>
      </c>
      <c r="C23" s="8" t="s">
        <v>108</v>
      </c>
      <c r="D23" s="418"/>
      <c r="E23" s="418"/>
      <c r="F23" s="418"/>
      <c r="G23" s="418"/>
      <c r="H23" s="38"/>
      <c r="I23" s="314"/>
      <c r="J23" s="146"/>
      <c r="K23" s="5"/>
      <c r="L23" s="6"/>
      <c r="M23" s="13"/>
    </row>
    <row r="24" spans="2:13" ht="14.5" customHeight="1">
      <c r="B24" s="4"/>
      <c r="C24" s="257"/>
      <c r="D24" s="321" t="s">
        <v>109</v>
      </c>
      <c r="E24" s="322"/>
      <c r="F24" s="322"/>
      <c r="G24" s="322"/>
      <c r="H24" s="322"/>
      <c r="I24" s="322"/>
      <c r="J24" s="322"/>
      <c r="K24" s="322"/>
      <c r="L24" s="323"/>
      <c r="M24" s="324"/>
    </row>
    <row r="25" spans="2:13">
      <c r="B25" s="16"/>
      <c r="C25" s="248"/>
      <c r="D25" s="325" t="s">
        <v>110</v>
      </c>
      <c r="E25" s="326"/>
      <c r="F25" s="326"/>
      <c r="G25" s="326"/>
      <c r="H25" s="326"/>
      <c r="I25" s="326"/>
      <c r="J25" s="326"/>
      <c r="K25" s="326"/>
      <c r="L25" s="327"/>
      <c r="M25" s="259"/>
    </row>
    <row r="26" spans="2:13" ht="14.5" customHeight="1">
      <c r="B26" s="4"/>
      <c r="C26" s="328" t="s">
        <v>105</v>
      </c>
      <c r="D26" s="507" t="s">
        <v>111</v>
      </c>
      <c r="E26" s="508"/>
      <c r="F26" s="508"/>
      <c r="G26" s="509"/>
      <c r="H26" s="329">
        <v>190</v>
      </c>
      <c r="I26" s="330">
        <v>1</v>
      </c>
      <c r="J26" s="331">
        <v>1</v>
      </c>
      <c r="K26" s="332" t="s">
        <v>112</v>
      </c>
      <c r="L26" s="333" t="s">
        <v>113</v>
      </c>
      <c r="M26" s="324"/>
    </row>
    <row r="27" spans="2:13">
      <c r="B27" s="16"/>
      <c r="C27" s="334"/>
      <c r="D27" s="335"/>
      <c r="E27" s="336"/>
      <c r="F27" s="336"/>
      <c r="G27" s="337"/>
      <c r="H27" s="338"/>
      <c r="I27" s="339"/>
      <c r="J27" s="340"/>
      <c r="K27" s="341"/>
      <c r="L27" s="342"/>
      <c r="M27" s="259"/>
    </row>
    <row r="28" spans="2:13">
      <c r="B28" s="16"/>
      <c r="C28" s="343"/>
      <c r="D28" s="344" t="s">
        <v>114</v>
      </c>
      <c r="E28" s="34"/>
      <c r="F28" s="34"/>
      <c r="G28" s="77"/>
      <c r="H28" s="345">
        <f>SUM(H10:H21)</f>
        <v>1086</v>
      </c>
      <c r="I28" s="17">
        <v>1</v>
      </c>
      <c r="J28" s="18">
        <v>1</v>
      </c>
      <c r="K28" s="19" t="s">
        <v>112</v>
      </c>
      <c r="L28" s="6">
        <f>H28*I28*J28</f>
        <v>1086</v>
      </c>
      <c r="M28" s="115"/>
    </row>
    <row r="29" spans="2:13">
      <c r="B29" s="7"/>
      <c r="C29" s="8"/>
      <c r="D29" s="504"/>
      <c r="E29" s="505"/>
      <c r="F29" s="505"/>
      <c r="G29" s="506"/>
      <c r="H29" s="250"/>
      <c r="I29" s="9"/>
      <c r="J29" s="10"/>
      <c r="K29" s="11"/>
      <c r="L29" s="12"/>
      <c r="M29" s="15"/>
    </row>
    <row r="30" spans="2:13" s="51" customFormat="1" ht="18" thickBot="1">
      <c r="B30" s="52"/>
      <c r="C30" s="53"/>
      <c r="D30" s="54"/>
      <c r="E30" s="54"/>
      <c r="F30" s="54"/>
      <c r="G30" s="54"/>
      <c r="H30" s="53"/>
      <c r="I30" s="53"/>
      <c r="J30" s="53"/>
      <c r="K30" s="55" t="s">
        <v>115</v>
      </c>
      <c r="L30" s="56">
        <f>SUM(L10:L29)</f>
        <v>3270</v>
      </c>
      <c r="M30" s="57"/>
    </row>
    <row r="31" spans="2:13">
      <c r="B31" s="26" t="s">
        <v>116</v>
      </c>
      <c r="C31" s="60" t="s">
        <v>117</v>
      </c>
      <c r="D31" s="434"/>
      <c r="E31" s="435"/>
      <c r="F31" s="435"/>
      <c r="G31" s="436"/>
      <c r="H31" s="28"/>
      <c r="I31" s="29"/>
      <c r="J31" s="30"/>
      <c r="K31" s="31"/>
      <c r="L31" s="32"/>
      <c r="M31" s="111" t="s">
        <v>118</v>
      </c>
    </row>
    <row r="32" spans="2:13">
      <c r="B32" s="16"/>
      <c r="C32" s="343"/>
      <c r="D32" s="344" t="s">
        <v>119</v>
      </c>
      <c r="E32" s="34"/>
      <c r="F32" s="34"/>
      <c r="G32" s="77"/>
      <c r="H32" s="345">
        <v>25</v>
      </c>
      <c r="I32" s="17">
        <v>5</v>
      </c>
      <c r="J32" s="18">
        <f>I5+L5+1</f>
        <v>5</v>
      </c>
      <c r="K32" s="19" t="s">
        <v>100</v>
      </c>
      <c r="L32" s="6">
        <f t="shared" ref="L32:L34" si="7">H32*I32*J32</f>
        <v>625</v>
      </c>
      <c r="M32" s="115"/>
    </row>
    <row r="33" spans="2:15">
      <c r="B33" s="16"/>
      <c r="C33" s="343"/>
      <c r="D33" s="344" t="s">
        <v>120</v>
      </c>
      <c r="E33" s="34"/>
      <c r="F33" s="34"/>
      <c r="G33" s="77"/>
      <c r="H33" s="345">
        <v>30</v>
      </c>
      <c r="I33" s="17">
        <v>6</v>
      </c>
      <c r="J33" s="18">
        <f>J32</f>
        <v>5</v>
      </c>
      <c r="K33" s="19" t="s">
        <v>100</v>
      </c>
      <c r="L33" s="6">
        <f t="shared" si="7"/>
        <v>900</v>
      </c>
      <c r="M33" s="115"/>
    </row>
    <row r="34" spans="2:15">
      <c r="B34" s="16"/>
      <c r="C34" s="343"/>
      <c r="D34" s="417" t="s">
        <v>121</v>
      </c>
      <c r="E34" s="418"/>
      <c r="F34" s="418"/>
      <c r="G34" s="420"/>
      <c r="H34" s="345">
        <v>1</v>
      </c>
      <c r="I34" s="17">
        <v>6</v>
      </c>
      <c r="J34" s="18">
        <f>J32</f>
        <v>5</v>
      </c>
      <c r="K34" s="19" t="s">
        <v>100</v>
      </c>
      <c r="L34" s="6">
        <f t="shared" si="7"/>
        <v>30</v>
      </c>
      <c r="M34" s="112"/>
    </row>
    <row r="35" spans="2:15">
      <c r="B35" s="7"/>
      <c r="C35" s="248"/>
      <c r="D35" s="421"/>
      <c r="E35" s="422"/>
      <c r="F35" s="422"/>
      <c r="G35" s="423"/>
      <c r="H35" s="21"/>
      <c r="I35" s="22"/>
      <c r="J35" s="23"/>
      <c r="K35" s="24"/>
      <c r="L35" s="25"/>
      <c r="M35" s="113"/>
    </row>
    <row r="36" spans="2:15" s="51" customFormat="1">
      <c r="B36" s="45"/>
      <c r="C36" s="46"/>
      <c r="D36" s="58"/>
      <c r="E36" s="58"/>
      <c r="F36" s="58"/>
      <c r="G36" s="58"/>
      <c r="H36" s="46"/>
      <c r="I36" s="46"/>
      <c r="J36" s="46"/>
      <c r="K36" s="59" t="s">
        <v>122</v>
      </c>
      <c r="L36" s="49">
        <f>SUM(L31:L35)</f>
        <v>1555</v>
      </c>
      <c r="M36" s="114"/>
    </row>
    <row r="37" spans="2:15">
      <c r="B37" s="26" t="s">
        <v>86</v>
      </c>
      <c r="C37" s="27" t="s">
        <v>123</v>
      </c>
      <c r="D37" s="437" t="s">
        <v>124</v>
      </c>
      <c r="E37" s="438"/>
      <c r="F37" s="438"/>
      <c r="G37" s="439"/>
      <c r="H37" s="28">
        <v>750</v>
      </c>
      <c r="I37" s="29">
        <v>7</v>
      </c>
      <c r="J37" s="30">
        <v>1</v>
      </c>
      <c r="K37" s="31" t="s">
        <v>125</v>
      </c>
      <c r="L37" s="32">
        <f t="shared" ref="L37" si="8">H37*I37*J37</f>
        <v>5250</v>
      </c>
      <c r="M37" s="111"/>
    </row>
    <row r="38" spans="2:15">
      <c r="B38" s="16"/>
      <c r="C38" s="346"/>
      <c r="D38" s="344"/>
      <c r="E38" s="34"/>
      <c r="F38" s="34"/>
      <c r="G38" s="77"/>
      <c r="H38" s="345"/>
      <c r="I38" s="17"/>
      <c r="J38" s="18"/>
      <c r="K38" s="19"/>
      <c r="L38" s="6"/>
      <c r="M38" s="115"/>
    </row>
    <row r="39" spans="2:15">
      <c r="B39" s="16"/>
      <c r="C39" s="346"/>
      <c r="D39" s="347"/>
      <c r="E39" s="348"/>
      <c r="F39" s="348"/>
      <c r="G39" s="349"/>
      <c r="H39" s="350"/>
      <c r="I39" s="351"/>
      <c r="J39" s="352"/>
      <c r="K39" s="353"/>
      <c r="L39" s="354"/>
      <c r="M39" s="115"/>
    </row>
    <row r="40" spans="2:15">
      <c r="B40" s="16"/>
      <c r="C40" s="20"/>
      <c r="D40" s="78" t="s">
        <v>126</v>
      </c>
      <c r="E40" s="61"/>
      <c r="F40" s="61"/>
      <c r="G40" s="79"/>
      <c r="H40" s="62"/>
      <c r="I40" s="22"/>
      <c r="J40" s="23"/>
      <c r="K40" s="24"/>
      <c r="L40" s="35"/>
      <c r="M40" s="116"/>
    </row>
    <row r="41" spans="2:15" s="51" customFormat="1" ht="18" thickBot="1">
      <c r="B41" s="52"/>
      <c r="C41" s="53"/>
      <c r="D41" s="54"/>
      <c r="E41" s="54"/>
      <c r="F41" s="54"/>
      <c r="G41" s="54"/>
      <c r="H41" s="53"/>
      <c r="I41" s="53"/>
      <c r="J41" s="53"/>
      <c r="K41" s="55" t="s">
        <v>127</v>
      </c>
      <c r="L41" s="56">
        <f>SUM(L37:L40)</f>
        <v>5250</v>
      </c>
      <c r="M41" s="117"/>
      <c r="O41" s="227"/>
    </row>
    <row r="42" spans="2:15">
      <c r="B42" s="26" t="s">
        <v>128</v>
      </c>
      <c r="C42" s="355"/>
      <c r="D42" s="440" t="s">
        <v>129</v>
      </c>
      <c r="E42" s="438"/>
      <c r="F42" s="438"/>
      <c r="G42" s="441"/>
      <c r="H42" s="36">
        <v>35</v>
      </c>
      <c r="I42" s="29">
        <v>1</v>
      </c>
      <c r="J42" s="30">
        <f>I5+L5</f>
        <v>4</v>
      </c>
      <c r="K42" s="31" t="s">
        <v>130</v>
      </c>
      <c r="L42" s="32">
        <f>H42*I42*J42</f>
        <v>140</v>
      </c>
      <c r="M42" s="111" t="s">
        <v>131</v>
      </c>
    </row>
    <row r="43" spans="2:15">
      <c r="B43" s="16"/>
      <c r="C43" s="37"/>
      <c r="D43" s="424" t="s">
        <v>132</v>
      </c>
      <c r="E43" s="425"/>
      <c r="F43" s="425"/>
      <c r="G43" s="442"/>
      <c r="H43" s="38">
        <v>20</v>
      </c>
      <c r="I43" s="17">
        <v>1</v>
      </c>
      <c r="J43" s="18">
        <f>I5+L5</f>
        <v>4</v>
      </c>
      <c r="K43" s="19" t="s">
        <v>130</v>
      </c>
      <c r="L43" s="6">
        <f>H43*I43*J43</f>
        <v>80</v>
      </c>
      <c r="M43" s="112"/>
    </row>
    <row r="44" spans="2:15">
      <c r="B44" s="16"/>
      <c r="C44" s="37"/>
      <c r="D44" s="144"/>
      <c r="E44" s="34"/>
      <c r="F44" s="34"/>
      <c r="G44" s="145"/>
      <c r="H44" s="38"/>
      <c r="I44" s="17"/>
      <c r="J44" s="18"/>
      <c r="K44" s="19"/>
      <c r="L44" s="6"/>
      <c r="M44" s="112"/>
    </row>
    <row r="45" spans="2:15">
      <c r="B45" s="16"/>
      <c r="C45" s="39"/>
      <c r="D45" s="426"/>
      <c r="E45" s="427"/>
      <c r="F45" s="427"/>
      <c r="G45" s="443"/>
      <c r="H45" s="40"/>
      <c r="I45" s="22"/>
      <c r="J45" s="63"/>
      <c r="K45" s="24"/>
      <c r="L45" s="35"/>
      <c r="M45" s="116"/>
    </row>
    <row r="46" spans="2:15" s="51" customFormat="1" ht="18" thickBot="1">
      <c r="B46" s="52"/>
      <c r="C46" s="53"/>
      <c r="D46" s="54"/>
      <c r="E46" s="54"/>
      <c r="F46" s="54"/>
      <c r="G46" s="54"/>
      <c r="H46" s="53"/>
      <c r="I46" s="53"/>
      <c r="J46" s="53"/>
      <c r="K46" s="55" t="s">
        <v>133</v>
      </c>
      <c r="L46" s="56">
        <f>SUM(L42:L45)</f>
        <v>220</v>
      </c>
      <c r="M46" s="117"/>
    </row>
    <row r="47" spans="2:15">
      <c r="B47" s="80" t="s">
        <v>134</v>
      </c>
      <c r="C47" s="81"/>
      <c r="D47" s="432" t="s">
        <v>135</v>
      </c>
      <c r="E47" s="430"/>
      <c r="F47" s="430"/>
      <c r="G47" s="433"/>
      <c r="H47" s="251">
        <v>100</v>
      </c>
      <c r="I47" s="83">
        <v>7</v>
      </c>
      <c r="J47" s="84">
        <v>1</v>
      </c>
      <c r="K47" s="85" t="s">
        <v>130</v>
      </c>
      <c r="L47" s="86">
        <f>H47*I47*J47</f>
        <v>700</v>
      </c>
      <c r="M47" s="118"/>
    </row>
    <row r="48" spans="2:15">
      <c r="B48" s="87" t="s">
        <v>136</v>
      </c>
      <c r="C48" s="73"/>
      <c r="D48" s="424"/>
      <c r="E48" s="425"/>
      <c r="F48" s="425"/>
      <c r="G48" s="425"/>
      <c r="H48" s="252"/>
      <c r="I48" s="17"/>
      <c r="J48" s="18"/>
      <c r="K48" s="19"/>
      <c r="L48" s="6"/>
      <c r="M48" s="254"/>
    </row>
    <row r="49" spans="2:13">
      <c r="B49" s="88"/>
      <c r="C49" s="41"/>
      <c r="D49" s="426"/>
      <c r="E49" s="427"/>
      <c r="F49" s="427"/>
      <c r="G49" s="428"/>
      <c r="H49" s="253"/>
      <c r="I49" s="22"/>
      <c r="J49" s="23"/>
      <c r="K49" s="24"/>
      <c r="L49" s="35"/>
      <c r="M49" s="119"/>
    </row>
    <row r="50" spans="2:13" s="51" customFormat="1" ht="18" thickBot="1">
      <c r="B50" s="89"/>
      <c r="C50" s="90"/>
      <c r="D50" s="91"/>
      <c r="E50" s="91"/>
      <c r="F50" s="91"/>
      <c r="G50" s="91"/>
      <c r="H50" s="90"/>
      <c r="I50" s="90"/>
      <c r="J50" s="90"/>
      <c r="K50" s="255" t="s">
        <v>137</v>
      </c>
      <c r="L50" s="256">
        <f>SUM(L47:L49)</f>
        <v>700</v>
      </c>
      <c r="M50" s="120"/>
    </row>
    <row r="51" spans="2:13">
      <c r="B51" s="16" t="s">
        <v>138</v>
      </c>
      <c r="C51" s="81"/>
      <c r="D51" s="429"/>
      <c r="E51" s="430"/>
      <c r="F51" s="430"/>
      <c r="G51" s="431"/>
      <c r="H51" s="82"/>
      <c r="I51" s="92"/>
      <c r="J51" s="93"/>
      <c r="K51" s="85"/>
      <c r="L51" s="94"/>
      <c r="M51" s="112"/>
    </row>
    <row r="52" spans="2:13">
      <c r="B52" s="16"/>
      <c r="C52" s="33"/>
      <c r="D52" s="417"/>
      <c r="E52" s="418"/>
      <c r="F52" s="418"/>
      <c r="G52" s="419"/>
      <c r="H52" s="38"/>
      <c r="I52" s="42"/>
      <c r="J52" s="95"/>
      <c r="K52" s="19"/>
      <c r="L52" s="96"/>
      <c r="M52" s="112"/>
    </row>
    <row r="53" spans="2:13">
      <c r="B53" s="16"/>
      <c r="C53" s="97"/>
      <c r="D53" s="414"/>
      <c r="E53" s="415"/>
      <c r="F53" s="415"/>
      <c r="G53" s="416"/>
      <c r="H53" s="98"/>
      <c r="I53" s="99"/>
      <c r="J53" s="100"/>
      <c r="K53" s="101"/>
      <c r="L53" s="102"/>
      <c r="M53" s="121"/>
    </row>
    <row r="54" spans="2:13" s="51" customFormat="1" ht="18" thickBot="1">
      <c r="B54" s="45"/>
      <c r="C54" s="46"/>
      <c r="D54" s="46"/>
      <c r="E54" s="46"/>
      <c r="F54" s="46"/>
      <c r="G54" s="46"/>
      <c r="H54" s="46"/>
      <c r="I54" s="46"/>
      <c r="J54" s="47"/>
      <c r="K54" s="48" t="s">
        <v>139</v>
      </c>
      <c r="L54" s="49">
        <f>SUM(L51:L53)</f>
        <v>0</v>
      </c>
      <c r="M54" s="50"/>
    </row>
    <row r="55" spans="2:13">
      <c r="B55" s="471" t="s">
        <v>140</v>
      </c>
      <c r="C55" s="474"/>
      <c r="D55" s="474"/>
      <c r="E55" s="474"/>
      <c r="F55" s="474"/>
      <c r="G55" s="474"/>
      <c r="H55" s="474"/>
      <c r="I55" s="474"/>
      <c r="J55" s="474"/>
      <c r="K55" s="474"/>
      <c r="L55" s="474"/>
      <c r="M55" s="475"/>
    </row>
    <row r="56" spans="2:13">
      <c r="B56" s="472"/>
      <c r="C56" s="356"/>
      <c r="D56" s="122"/>
      <c r="E56" s="122"/>
      <c r="F56" s="122"/>
      <c r="G56" s="122"/>
      <c r="H56" s="122"/>
      <c r="I56" s="122"/>
      <c r="J56" s="122"/>
      <c r="K56" s="122"/>
      <c r="L56" s="122"/>
      <c r="M56" s="123"/>
    </row>
    <row r="57" spans="2:13" ht="18" thickBot="1">
      <c r="B57" s="473"/>
      <c r="C57" s="124"/>
      <c r="D57" s="125"/>
      <c r="E57" s="125"/>
      <c r="F57" s="125"/>
      <c r="G57" s="125"/>
      <c r="H57" s="125"/>
      <c r="I57" s="125"/>
      <c r="J57" s="125"/>
      <c r="K57" s="125"/>
      <c r="L57" s="125"/>
      <c r="M57" s="126"/>
    </row>
    <row r="58" spans="2:13">
      <c r="B58" s="476" t="s">
        <v>141</v>
      </c>
      <c r="C58" s="477"/>
      <c r="D58" s="103" t="s">
        <v>95</v>
      </c>
      <c r="E58" s="482">
        <f>L30</f>
        <v>3270</v>
      </c>
      <c r="F58" s="483"/>
      <c r="G58" s="484"/>
      <c r="H58" s="485" t="s">
        <v>142</v>
      </c>
      <c r="I58" s="486"/>
      <c r="J58" s="486"/>
      <c r="K58" s="487"/>
      <c r="L58" s="488" t="s">
        <v>79</v>
      </c>
      <c r="M58" s="489"/>
    </row>
    <row r="59" spans="2:13">
      <c r="B59" s="478"/>
      <c r="C59" s="479"/>
      <c r="D59" s="74" t="s">
        <v>116</v>
      </c>
      <c r="E59" s="450">
        <f>L36</f>
        <v>1555</v>
      </c>
      <c r="F59" s="451"/>
      <c r="G59" s="452"/>
      <c r="H59" s="490">
        <f>SUM(E58:G63)</f>
        <v>10995</v>
      </c>
      <c r="I59" s="491"/>
      <c r="J59" s="491"/>
      <c r="K59" s="492"/>
      <c r="L59" s="496">
        <f>I5</f>
        <v>4</v>
      </c>
      <c r="M59" s="497"/>
    </row>
    <row r="60" spans="2:13">
      <c r="B60" s="478"/>
      <c r="C60" s="479"/>
      <c r="D60" s="74" t="s">
        <v>86</v>
      </c>
      <c r="E60" s="450">
        <f>L41</f>
        <v>5250</v>
      </c>
      <c r="F60" s="451"/>
      <c r="G60" s="452"/>
      <c r="H60" s="493"/>
      <c r="I60" s="494"/>
      <c r="J60" s="494"/>
      <c r="K60" s="495"/>
      <c r="L60" s="498"/>
      <c r="M60" s="499"/>
    </row>
    <row r="61" spans="2:13">
      <c r="B61" s="478"/>
      <c r="C61" s="479"/>
      <c r="D61" s="74" t="s">
        <v>143</v>
      </c>
      <c r="E61" s="450">
        <f>L46</f>
        <v>220</v>
      </c>
      <c r="F61" s="451"/>
      <c r="G61" s="452"/>
      <c r="H61" s="453" t="s">
        <v>144</v>
      </c>
      <c r="I61" s="454"/>
      <c r="J61" s="454"/>
      <c r="K61" s="455"/>
      <c r="L61" s="456" t="s">
        <v>145</v>
      </c>
      <c r="M61" s="457"/>
    </row>
    <row r="62" spans="2:13">
      <c r="B62" s="478"/>
      <c r="C62" s="479"/>
      <c r="D62" s="74" t="s">
        <v>146</v>
      </c>
      <c r="E62" s="450">
        <f>L50</f>
        <v>700</v>
      </c>
      <c r="F62" s="451"/>
      <c r="G62" s="452"/>
      <c r="H62" s="458">
        <f>H59/L59</f>
        <v>2748.75</v>
      </c>
      <c r="I62" s="459"/>
      <c r="J62" s="459"/>
      <c r="K62" s="460"/>
      <c r="L62" s="464"/>
      <c r="M62" s="465"/>
    </row>
    <row r="63" spans="2:13" ht="18" thickBot="1">
      <c r="B63" s="480"/>
      <c r="C63" s="481"/>
      <c r="D63" s="104" t="s">
        <v>147</v>
      </c>
      <c r="E63" s="468">
        <f>L54</f>
        <v>0</v>
      </c>
      <c r="F63" s="469"/>
      <c r="G63" s="470"/>
      <c r="H63" s="461"/>
      <c r="I63" s="462"/>
      <c r="J63" s="462"/>
      <c r="K63" s="463"/>
      <c r="L63" s="466"/>
      <c r="M63" s="467"/>
    </row>
    <row r="64" spans="2:13" s="43" customFormat="1" ht="20" thickBot="1">
      <c r="B64" s="105" t="s">
        <v>148</v>
      </c>
      <c r="C64" s="106"/>
      <c r="D64" s="106"/>
      <c r="E64" s="106"/>
      <c r="F64" s="106"/>
      <c r="G64" s="107"/>
      <c r="H64" s="444">
        <f>L62</f>
        <v>0</v>
      </c>
      <c r="I64" s="445"/>
      <c r="J64" s="445"/>
      <c r="K64" s="445"/>
      <c r="L64" s="445"/>
      <c r="M64" s="446"/>
    </row>
    <row r="65" spans="2:13" s="43" customFormat="1" ht="28.5" customHeight="1" thickBot="1">
      <c r="B65" s="108" t="s">
        <v>149</v>
      </c>
      <c r="C65" s="109"/>
      <c r="D65" s="109"/>
      <c r="E65" s="109"/>
      <c r="F65" s="109"/>
      <c r="G65" s="110"/>
      <c r="H65" s="447">
        <f>H62+L62</f>
        <v>2748.75</v>
      </c>
      <c r="I65" s="448"/>
      <c r="J65" s="448"/>
      <c r="K65" s="448"/>
      <c r="L65" s="448"/>
      <c r="M65" s="449"/>
    </row>
    <row r="68" spans="2:13">
      <c r="M68" s="44"/>
    </row>
  </sheetData>
  <mergeCells count="62">
    <mergeCell ref="B4:C4"/>
    <mergeCell ref="D4:H4"/>
    <mergeCell ref="I4:K4"/>
    <mergeCell ref="B2:M2"/>
    <mergeCell ref="B8:G9"/>
    <mergeCell ref="H8:K8"/>
    <mergeCell ref="L8:L9"/>
    <mergeCell ref="M8:M9"/>
    <mergeCell ref="J9:K9"/>
    <mergeCell ref="B5:C5"/>
    <mergeCell ref="F5:G5"/>
    <mergeCell ref="I5:K5"/>
    <mergeCell ref="B6:C6"/>
    <mergeCell ref="D6:M6"/>
    <mergeCell ref="D15:G15"/>
    <mergeCell ref="D18:G18"/>
    <mergeCell ref="D19:G19"/>
    <mergeCell ref="D29:G29"/>
    <mergeCell ref="D16:G16"/>
    <mergeCell ref="D17:G17"/>
    <mergeCell ref="D22:G22"/>
    <mergeCell ref="D20:G20"/>
    <mergeCell ref="D21:G21"/>
    <mergeCell ref="D23:G23"/>
    <mergeCell ref="D26:G26"/>
    <mergeCell ref="D10:G10"/>
    <mergeCell ref="D11:G11"/>
    <mergeCell ref="D12:G12"/>
    <mergeCell ref="D13:G13"/>
    <mergeCell ref="D14:G14"/>
    <mergeCell ref="B55:B57"/>
    <mergeCell ref="C55:M55"/>
    <mergeCell ref="B58:C63"/>
    <mergeCell ref="E58:G58"/>
    <mergeCell ref="H58:K58"/>
    <mergeCell ref="L58:M58"/>
    <mergeCell ref="E59:G59"/>
    <mergeCell ref="H59:K60"/>
    <mergeCell ref="L59:M60"/>
    <mergeCell ref="H64:M64"/>
    <mergeCell ref="H65:M65"/>
    <mergeCell ref="E60:G60"/>
    <mergeCell ref="E61:G61"/>
    <mergeCell ref="H61:K61"/>
    <mergeCell ref="L61:M61"/>
    <mergeCell ref="E62:G62"/>
    <mergeCell ref="H62:K63"/>
    <mergeCell ref="L62:M63"/>
    <mergeCell ref="E63:G63"/>
    <mergeCell ref="D31:G31"/>
    <mergeCell ref="D37:G37"/>
    <mergeCell ref="D42:G42"/>
    <mergeCell ref="D43:G43"/>
    <mergeCell ref="D45:G45"/>
    <mergeCell ref="D53:G53"/>
    <mergeCell ref="D52:G52"/>
    <mergeCell ref="D34:G34"/>
    <mergeCell ref="D35:G35"/>
    <mergeCell ref="D48:G48"/>
    <mergeCell ref="D49:G49"/>
    <mergeCell ref="D51:G51"/>
    <mergeCell ref="D47:G47"/>
  </mergeCells>
  <phoneticPr fontId="7" type="noConversion"/>
  <pageMargins left="0.25" right="0.25" top="0.75" bottom="0.75" header="0.3" footer="0.3"/>
  <pageSetup scale="5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E446-5FBA-46E5-BAC1-C1E9B6EF6133}">
  <sheetPr>
    <pageSetUpPr fitToPage="1"/>
  </sheetPr>
  <dimension ref="A1:J75"/>
  <sheetViews>
    <sheetView showGridLines="0" zoomScale="80" zoomScaleNormal="80" workbookViewId="0">
      <selection activeCell="A2" sqref="A2"/>
    </sheetView>
  </sheetViews>
  <sheetFormatPr baseColWidth="10" defaultColWidth="8.83203125" defaultRowHeight="17"/>
  <cols>
    <col min="1" max="1" width="12" bestFit="1" customWidth="1"/>
    <col min="2" max="2" width="12.1640625" bestFit="1" customWidth="1"/>
    <col min="3" max="3" width="10.33203125" customWidth="1"/>
    <col min="5" max="5" width="14.1640625" customWidth="1"/>
    <col min="9" max="9" width="35.1640625" customWidth="1"/>
    <col min="10" max="10" width="22" bestFit="1" customWidth="1"/>
  </cols>
  <sheetData>
    <row r="1" spans="1:10" ht="49">
      <c r="A1" s="678" t="s">
        <v>211</v>
      </c>
      <c r="B1" s="678"/>
      <c r="C1" s="678"/>
      <c r="D1" s="678"/>
      <c r="E1" s="678"/>
      <c r="F1" s="678"/>
      <c r="G1" s="678"/>
      <c r="H1" s="678"/>
      <c r="I1" s="678"/>
      <c r="J1" s="678"/>
    </row>
    <row r="2" spans="1:10" ht="5.5" customHeight="1">
      <c r="A2" s="131"/>
      <c r="B2" s="132"/>
      <c r="C2" s="133"/>
      <c r="D2" s="132"/>
      <c r="E2" s="133"/>
      <c r="F2" s="132"/>
      <c r="G2" s="134"/>
      <c r="H2" s="134"/>
      <c r="I2" s="134"/>
      <c r="J2" s="134"/>
    </row>
    <row r="3" spans="1:10" ht="19" thickBot="1">
      <c r="A3" s="129" t="s">
        <v>212</v>
      </c>
      <c r="B3" s="129" t="s">
        <v>213</v>
      </c>
      <c r="C3" s="129" t="s">
        <v>214</v>
      </c>
      <c r="D3" s="129" t="s">
        <v>215</v>
      </c>
      <c r="E3" s="679" t="s">
        <v>216</v>
      </c>
      <c r="F3" s="679"/>
      <c r="G3" s="679"/>
      <c r="H3" s="679"/>
      <c r="I3" s="679"/>
      <c r="J3" s="129" t="s">
        <v>217</v>
      </c>
    </row>
    <row r="4" spans="1:10" ht="18" thickTop="1">
      <c r="A4" s="381">
        <v>1</v>
      </c>
      <c r="B4" s="245" t="s">
        <v>218</v>
      </c>
      <c r="C4" s="680" t="s">
        <v>219</v>
      </c>
      <c r="D4" s="241">
        <v>0.39583333333333331</v>
      </c>
      <c r="E4" s="682" t="s">
        <v>220</v>
      </c>
      <c r="F4" s="683"/>
      <c r="G4" s="683"/>
      <c r="H4" s="683"/>
      <c r="I4" s="683"/>
      <c r="J4" s="246"/>
    </row>
    <row r="5" spans="1:10">
      <c r="A5" s="383"/>
      <c r="B5" s="384"/>
      <c r="C5" s="681"/>
      <c r="D5" s="386"/>
      <c r="E5" s="683"/>
      <c r="F5" s="683"/>
      <c r="G5" s="683"/>
      <c r="H5" s="683"/>
      <c r="I5" s="683"/>
      <c r="J5" s="387"/>
    </row>
    <row r="6" spans="1:10">
      <c r="A6" s="383"/>
      <c r="B6" s="384" t="s">
        <v>221</v>
      </c>
      <c r="C6" s="385"/>
      <c r="D6" s="386">
        <v>0.375</v>
      </c>
      <c r="E6" s="128" t="s">
        <v>222</v>
      </c>
      <c r="F6" s="128"/>
      <c r="G6" s="128"/>
      <c r="H6" s="128"/>
      <c r="I6" s="128"/>
      <c r="J6" s="387"/>
    </row>
    <row r="7" spans="1:10">
      <c r="A7" s="383"/>
      <c r="B7" s="384"/>
      <c r="C7" s="388" t="s">
        <v>223</v>
      </c>
      <c r="D7" s="389"/>
      <c r="E7" s="683" t="s">
        <v>224</v>
      </c>
      <c r="F7" s="683"/>
      <c r="G7" s="683"/>
      <c r="H7" s="683"/>
      <c r="I7" s="683"/>
      <c r="J7" s="387" t="s">
        <v>225</v>
      </c>
    </row>
    <row r="8" spans="1:10">
      <c r="A8" s="383"/>
      <c r="B8" s="384"/>
      <c r="C8" s="388"/>
      <c r="D8" s="389"/>
      <c r="E8" s="243" t="s">
        <v>226</v>
      </c>
      <c r="F8" s="128"/>
      <c r="G8" s="128"/>
      <c r="H8" s="128"/>
      <c r="I8" s="128"/>
      <c r="J8" s="387" t="s">
        <v>227</v>
      </c>
    </row>
    <row r="9" spans="1:10">
      <c r="A9" s="383"/>
      <c r="B9" s="384"/>
      <c r="C9" s="388"/>
      <c r="D9" s="389"/>
      <c r="E9" s="244" t="s">
        <v>228</v>
      </c>
      <c r="F9" s="135"/>
      <c r="G9" s="135"/>
      <c r="H9" s="135"/>
      <c r="I9" s="135"/>
      <c r="J9" s="387"/>
    </row>
    <row r="10" spans="1:10">
      <c r="A10" s="383"/>
      <c r="B10" s="384"/>
      <c r="C10" s="388"/>
      <c r="D10" s="389"/>
      <c r="E10" s="244" t="s">
        <v>229</v>
      </c>
      <c r="F10" s="135"/>
      <c r="G10" s="135"/>
      <c r="H10" s="135"/>
      <c r="I10" s="135"/>
      <c r="J10" s="387"/>
    </row>
    <row r="11" spans="1:10">
      <c r="A11" s="383"/>
      <c r="B11" s="384"/>
      <c r="C11" s="388"/>
      <c r="D11" s="389"/>
      <c r="E11" s="128" t="s">
        <v>120</v>
      </c>
      <c r="F11" s="128"/>
      <c r="G11" s="128"/>
      <c r="H11" s="128"/>
      <c r="I11" s="128"/>
      <c r="J11" s="387"/>
    </row>
    <row r="12" spans="1:10">
      <c r="A12" s="390"/>
      <c r="B12" s="384"/>
      <c r="C12" s="384"/>
      <c r="D12" s="242"/>
      <c r="E12" s="672" t="s">
        <v>230</v>
      </c>
      <c r="F12" s="673"/>
      <c r="G12" s="673"/>
      <c r="H12" s="673"/>
      <c r="I12" s="673"/>
      <c r="J12" s="387"/>
    </row>
    <row r="13" spans="1:10" ht="30" customHeight="1">
      <c r="A13" s="383"/>
      <c r="B13" s="140"/>
      <c r="C13" s="140"/>
      <c r="D13" s="240"/>
      <c r="E13" s="137" t="s">
        <v>231</v>
      </c>
      <c r="F13" s="675" t="s">
        <v>232</v>
      </c>
      <c r="G13" s="675"/>
      <c r="H13" s="675"/>
      <c r="I13" s="675"/>
      <c r="J13" s="247"/>
    </row>
    <row r="14" spans="1:10">
      <c r="A14" s="391">
        <v>2</v>
      </c>
      <c r="B14" s="392" t="s">
        <v>105</v>
      </c>
      <c r="C14" s="393" t="s">
        <v>223</v>
      </c>
      <c r="D14" s="138" t="s">
        <v>124</v>
      </c>
      <c r="E14" s="666" t="s">
        <v>233</v>
      </c>
      <c r="F14" s="667"/>
      <c r="G14" s="667"/>
      <c r="H14" s="667"/>
      <c r="I14" s="668"/>
      <c r="J14" s="394" t="s">
        <v>234</v>
      </c>
    </row>
    <row r="15" spans="1:10">
      <c r="A15" s="395">
        <f>A5+1</f>
        <v>1</v>
      </c>
      <c r="B15" s="384"/>
      <c r="C15" s="388"/>
      <c r="D15" s="396"/>
      <c r="E15" s="397" t="s">
        <v>226</v>
      </c>
      <c r="F15" s="128"/>
      <c r="G15" s="128"/>
      <c r="H15" s="128"/>
      <c r="I15" s="127"/>
      <c r="J15" s="127" t="s">
        <v>235</v>
      </c>
    </row>
    <row r="16" spans="1:10">
      <c r="A16" s="395"/>
      <c r="B16" s="384"/>
      <c r="C16" s="388"/>
      <c r="D16" s="396"/>
      <c r="E16" s="398" t="s">
        <v>236</v>
      </c>
      <c r="F16" s="135"/>
      <c r="G16" s="135"/>
      <c r="H16" s="135"/>
      <c r="I16" s="136"/>
      <c r="J16" s="399" t="s">
        <v>237</v>
      </c>
    </row>
    <row r="17" spans="1:10">
      <c r="A17" s="395"/>
      <c r="B17" s="384"/>
      <c r="C17" s="388"/>
      <c r="D17" s="396"/>
      <c r="E17" s="397" t="s">
        <v>119</v>
      </c>
      <c r="F17" s="135"/>
      <c r="G17" s="135"/>
      <c r="H17" s="135"/>
      <c r="I17" s="136"/>
      <c r="J17" s="127"/>
    </row>
    <row r="18" spans="1:10">
      <c r="A18" s="395"/>
      <c r="B18" s="384"/>
      <c r="C18" s="388"/>
      <c r="D18" s="396"/>
      <c r="E18" s="400" t="s">
        <v>238</v>
      </c>
      <c r="F18" s="135"/>
      <c r="G18" s="135"/>
      <c r="H18" s="135"/>
      <c r="I18" s="136"/>
      <c r="J18" s="127"/>
    </row>
    <row r="19" spans="1:10">
      <c r="A19" s="395"/>
      <c r="B19" s="384"/>
      <c r="C19" s="388"/>
      <c r="D19" s="396"/>
      <c r="E19" s="398" t="s">
        <v>239</v>
      </c>
      <c r="F19" s="135"/>
      <c r="G19" s="135"/>
      <c r="H19" s="135"/>
      <c r="I19" s="136"/>
      <c r="J19" s="127"/>
    </row>
    <row r="20" spans="1:10" ht="18" thickBot="1">
      <c r="A20" s="395"/>
      <c r="B20" s="384"/>
      <c r="C20" s="388"/>
      <c r="D20" s="396"/>
      <c r="E20" s="398"/>
      <c r="F20" s="135"/>
      <c r="G20" s="135"/>
      <c r="H20" s="135"/>
      <c r="I20" s="136"/>
      <c r="J20" s="127"/>
    </row>
    <row r="21" spans="1:10">
      <c r="A21" s="395"/>
      <c r="B21" s="384"/>
      <c r="C21" s="388"/>
      <c r="D21" s="396"/>
      <c r="E21" s="401" t="s">
        <v>240</v>
      </c>
      <c r="F21" s="235"/>
      <c r="G21" s="235"/>
      <c r="H21" s="235"/>
      <c r="I21" s="236"/>
      <c r="J21" s="127"/>
    </row>
    <row r="22" spans="1:10">
      <c r="A22" s="395"/>
      <c r="B22" s="384"/>
      <c r="C22" s="388"/>
      <c r="D22" s="396"/>
      <c r="E22" s="402" t="s">
        <v>241</v>
      </c>
      <c r="F22" s="234"/>
      <c r="G22" s="234"/>
      <c r="H22" s="234"/>
      <c r="I22" s="239"/>
      <c r="J22" s="127"/>
    </row>
    <row r="23" spans="1:10" ht="18" thickBot="1">
      <c r="A23" s="395"/>
      <c r="B23" s="384"/>
      <c r="C23" s="388"/>
      <c r="D23" s="396"/>
      <c r="E23" s="403" t="s">
        <v>242</v>
      </c>
      <c r="F23" s="237"/>
      <c r="G23" s="237"/>
      <c r="H23" s="237"/>
      <c r="I23" s="238"/>
      <c r="J23" s="127"/>
    </row>
    <row r="24" spans="1:10">
      <c r="A24" s="395"/>
      <c r="B24" s="384"/>
      <c r="C24" s="388"/>
      <c r="D24" s="396"/>
      <c r="E24" s="398"/>
      <c r="F24" s="135"/>
      <c r="G24" s="135"/>
      <c r="H24" s="135"/>
      <c r="I24" s="136"/>
      <c r="J24" s="127"/>
    </row>
    <row r="25" spans="1:10">
      <c r="A25" s="395"/>
      <c r="B25" s="384"/>
      <c r="C25" s="388"/>
      <c r="D25" s="396"/>
      <c r="E25" s="404" t="s">
        <v>243</v>
      </c>
      <c r="F25" s="135"/>
      <c r="G25" s="135"/>
      <c r="H25" s="135"/>
      <c r="I25" s="136"/>
      <c r="J25" s="127"/>
    </row>
    <row r="26" spans="1:10">
      <c r="A26" s="384"/>
      <c r="B26" s="384"/>
      <c r="C26" s="384"/>
      <c r="D26" s="396"/>
      <c r="E26" s="672" t="s">
        <v>244</v>
      </c>
      <c r="F26" s="673"/>
      <c r="G26" s="673"/>
      <c r="H26" s="673"/>
      <c r="I26" s="674"/>
      <c r="J26" s="127"/>
    </row>
    <row r="27" spans="1:10" ht="27" customHeight="1">
      <c r="A27" s="139"/>
      <c r="B27" s="140"/>
      <c r="C27" s="140"/>
      <c r="D27" s="141"/>
      <c r="E27" s="142" t="s">
        <v>231</v>
      </c>
      <c r="F27" s="675" t="s">
        <v>232</v>
      </c>
      <c r="G27" s="675"/>
      <c r="H27" s="675"/>
      <c r="I27" s="675"/>
      <c r="J27" s="143"/>
    </row>
    <row r="28" spans="1:10">
      <c r="A28" s="391">
        <v>3</v>
      </c>
      <c r="B28" s="392" t="s">
        <v>105</v>
      </c>
      <c r="C28" s="393" t="s">
        <v>223</v>
      </c>
      <c r="D28" s="138" t="s">
        <v>124</v>
      </c>
      <c r="E28" s="666" t="s">
        <v>233</v>
      </c>
      <c r="F28" s="667"/>
      <c r="G28" s="667"/>
      <c r="H28" s="667"/>
      <c r="I28" s="668"/>
      <c r="J28" s="394" t="s">
        <v>234</v>
      </c>
    </row>
    <row r="29" spans="1:10">
      <c r="A29" s="395">
        <f>A15+1</f>
        <v>2</v>
      </c>
      <c r="B29" s="384"/>
      <c r="C29" s="388"/>
      <c r="D29" s="396" t="s">
        <v>245</v>
      </c>
      <c r="E29" s="669"/>
      <c r="F29" s="670"/>
      <c r="G29" s="670"/>
      <c r="H29" s="670"/>
      <c r="I29" s="671"/>
      <c r="J29" s="127" t="s">
        <v>235</v>
      </c>
    </row>
    <row r="30" spans="1:10">
      <c r="A30" s="395"/>
      <c r="B30" s="384"/>
      <c r="C30" s="388"/>
      <c r="D30" s="396"/>
      <c r="E30" s="382" t="s">
        <v>119</v>
      </c>
      <c r="F30" s="128"/>
      <c r="G30" s="128"/>
      <c r="H30" s="128"/>
      <c r="I30" s="127"/>
      <c r="J30" s="127" t="s">
        <v>246</v>
      </c>
    </row>
    <row r="31" spans="1:10">
      <c r="A31" s="395"/>
      <c r="B31" s="384"/>
      <c r="C31" s="388"/>
      <c r="D31" s="396" t="s">
        <v>247</v>
      </c>
      <c r="E31" s="669"/>
      <c r="F31" s="670"/>
      <c r="G31" s="670"/>
      <c r="H31" s="670"/>
      <c r="I31" s="671"/>
      <c r="J31" s="127"/>
    </row>
    <row r="32" spans="1:10">
      <c r="A32" s="395"/>
      <c r="B32" s="384"/>
      <c r="C32" s="388"/>
      <c r="D32" s="396"/>
      <c r="E32" s="405"/>
      <c r="F32" s="406"/>
      <c r="G32" s="406"/>
      <c r="H32" s="406"/>
      <c r="I32" s="407"/>
      <c r="J32" s="127"/>
    </row>
    <row r="33" spans="1:10">
      <c r="A33" s="395"/>
      <c r="B33" s="384"/>
      <c r="C33" s="388"/>
      <c r="D33" s="396"/>
      <c r="E33" s="408" t="s">
        <v>248</v>
      </c>
      <c r="F33" s="135"/>
      <c r="G33" s="135"/>
      <c r="H33" s="135"/>
      <c r="I33" s="136"/>
      <c r="J33" s="127"/>
    </row>
    <row r="34" spans="1:10">
      <c r="A34" s="384"/>
      <c r="B34" s="384"/>
      <c r="C34" s="384"/>
      <c r="D34" s="396">
        <v>0.875</v>
      </c>
      <c r="E34" s="408" t="s">
        <v>249</v>
      </c>
      <c r="F34" s="135"/>
      <c r="G34" s="135"/>
      <c r="H34" s="135"/>
      <c r="I34" s="136"/>
      <c r="J34" s="127"/>
    </row>
    <row r="35" spans="1:10">
      <c r="A35" s="384"/>
      <c r="B35" s="384"/>
      <c r="C35" s="384"/>
      <c r="D35" s="396"/>
      <c r="E35" s="672" t="s">
        <v>244</v>
      </c>
      <c r="F35" s="673"/>
      <c r="G35" s="673"/>
      <c r="H35" s="673"/>
      <c r="I35" s="674"/>
      <c r="J35" s="127"/>
    </row>
    <row r="36" spans="1:10" ht="27" customHeight="1">
      <c r="A36" s="139"/>
      <c r="B36" s="140"/>
      <c r="C36" s="140"/>
      <c r="D36" s="396"/>
      <c r="E36" s="137" t="s">
        <v>231</v>
      </c>
      <c r="F36" s="675" t="s">
        <v>232</v>
      </c>
      <c r="G36" s="675"/>
      <c r="H36" s="675"/>
      <c r="I36" s="675"/>
      <c r="J36" s="143"/>
    </row>
    <row r="37" spans="1:10" ht="18" thickBot="1">
      <c r="A37" s="391">
        <v>4</v>
      </c>
      <c r="B37" s="392" t="s">
        <v>105</v>
      </c>
      <c r="C37" s="393" t="s">
        <v>223</v>
      </c>
      <c r="D37" s="138"/>
      <c r="E37" s="231" t="s">
        <v>250</v>
      </c>
      <c r="F37" s="232"/>
      <c r="G37" s="232"/>
      <c r="H37" s="232"/>
      <c r="I37" s="130"/>
      <c r="J37" s="394" t="s">
        <v>251</v>
      </c>
    </row>
    <row r="38" spans="1:10">
      <c r="A38" s="395">
        <f>A29+1</f>
        <v>3</v>
      </c>
      <c r="B38" s="390"/>
      <c r="C38" s="147"/>
      <c r="D38" s="148">
        <v>0.27083333333333331</v>
      </c>
      <c r="E38" s="149" t="s">
        <v>252</v>
      </c>
      <c r="F38" s="150"/>
      <c r="G38" s="150"/>
      <c r="H38" s="150"/>
      <c r="I38" s="151"/>
      <c r="J38" s="127" t="s">
        <v>235</v>
      </c>
    </row>
    <row r="39" spans="1:10">
      <c r="A39" s="395"/>
      <c r="B39" s="390"/>
      <c r="C39" s="157"/>
      <c r="D39" s="409">
        <v>0.33333333333333331</v>
      </c>
      <c r="E39" s="397" t="s">
        <v>253</v>
      </c>
      <c r="F39" s="135"/>
      <c r="G39" s="135"/>
      <c r="H39" s="135"/>
      <c r="I39" s="152"/>
      <c r="J39" s="127" t="s">
        <v>246</v>
      </c>
    </row>
    <row r="40" spans="1:10" ht="18" thickBot="1">
      <c r="A40" s="395"/>
      <c r="B40" s="390"/>
      <c r="C40" s="153" t="s">
        <v>254</v>
      </c>
      <c r="D40" s="154">
        <v>0.45833333333333331</v>
      </c>
      <c r="E40" s="410" t="s">
        <v>255</v>
      </c>
      <c r="F40" s="155"/>
      <c r="G40" s="155"/>
      <c r="H40" s="155"/>
      <c r="I40" s="156"/>
      <c r="J40" s="127"/>
    </row>
    <row r="41" spans="1:10">
      <c r="A41" s="395"/>
      <c r="B41" s="384"/>
      <c r="C41" s="388"/>
      <c r="D41" s="411"/>
      <c r="E41" s="397"/>
      <c r="F41" s="135"/>
      <c r="G41" s="135"/>
      <c r="H41" s="135"/>
      <c r="I41" s="136"/>
      <c r="J41" s="127"/>
    </row>
    <row r="42" spans="1:10">
      <c r="A42" s="395"/>
      <c r="B42" s="384"/>
      <c r="C42" s="388"/>
      <c r="D42" s="411">
        <v>0.33333333333333331</v>
      </c>
      <c r="E42" s="397" t="s">
        <v>256</v>
      </c>
      <c r="F42" s="135"/>
      <c r="G42" s="135"/>
      <c r="H42" s="135"/>
      <c r="I42" s="136"/>
      <c r="J42" s="127"/>
    </row>
    <row r="43" spans="1:10">
      <c r="A43" s="395"/>
      <c r="B43" s="384"/>
      <c r="C43" s="388"/>
      <c r="D43" s="411">
        <v>0.375</v>
      </c>
      <c r="E43" s="397" t="s">
        <v>257</v>
      </c>
      <c r="F43" s="135"/>
      <c r="G43" s="135"/>
      <c r="H43" s="135"/>
      <c r="I43" s="136"/>
      <c r="J43" s="127"/>
    </row>
    <row r="44" spans="1:10">
      <c r="A44" s="395"/>
      <c r="B44" s="384" t="s">
        <v>258</v>
      </c>
      <c r="C44" s="388"/>
      <c r="D44" s="411"/>
      <c r="E44" s="398" t="s">
        <v>259</v>
      </c>
      <c r="F44" s="135"/>
      <c r="G44" s="135"/>
      <c r="H44" s="135"/>
      <c r="I44" s="136"/>
      <c r="J44" s="127"/>
    </row>
    <row r="45" spans="1:10">
      <c r="A45" s="395"/>
      <c r="B45" s="384"/>
      <c r="C45" s="388"/>
      <c r="D45" s="411"/>
      <c r="E45" s="398" t="s">
        <v>119</v>
      </c>
      <c r="F45" s="135"/>
      <c r="G45" s="135"/>
      <c r="H45" s="135"/>
      <c r="I45" s="136"/>
      <c r="J45" s="127"/>
    </row>
    <row r="46" spans="1:10">
      <c r="A46" s="395"/>
      <c r="B46" s="384" t="s">
        <v>260</v>
      </c>
      <c r="C46" s="388"/>
      <c r="D46" s="411"/>
      <c r="E46" s="398" t="s">
        <v>261</v>
      </c>
      <c r="F46" s="135"/>
      <c r="G46" s="135"/>
      <c r="H46" s="135"/>
      <c r="I46" s="136"/>
      <c r="J46" s="127"/>
    </row>
    <row r="47" spans="1:10">
      <c r="A47" s="395"/>
      <c r="B47" s="384"/>
      <c r="C47" s="388"/>
      <c r="D47" s="411"/>
      <c r="E47" s="412" t="s">
        <v>262</v>
      </c>
      <c r="F47" s="135"/>
      <c r="G47" s="135"/>
      <c r="H47" s="135"/>
      <c r="I47" s="136"/>
      <c r="J47" s="127"/>
    </row>
    <row r="48" spans="1:10">
      <c r="A48" s="395"/>
      <c r="B48" s="384"/>
      <c r="C48" s="388"/>
      <c r="D48" s="411"/>
      <c r="E48" s="398" t="s">
        <v>263</v>
      </c>
      <c r="F48" s="135"/>
      <c r="G48" s="135"/>
      <c r="H48" s="135"/>
      <c r="I48" s="136"/>
      <c r="J48" s="127"/>
    </row>
    <row r="49" spans="1:10">
      <c r="A49" s="395"/>
      <c r="B49" s="384"/>
      <c r="C49" s="388"/>
      <c r="D49" s="411"/>
      <c r="E49" s="398" t="s">
        <v>264</v>
      </c>
      <c r="F49" s="135"/>
      <c r="G49" s="135"/>
      <c r="H49" s="135"/>
      <c r="I49" s="136"/>
      <c r="J49" s="127"/>
    </row>
    <row r="50" spans="1:10">
      <c r="A50" s="395"/>
      <c r="B50" s="384" t="s">
        <v>103</v>
      </c>
      <c r="C50" s="388"/>
      <c r="D50" s="411"/>
      <c r="E50" s="398" t="s">
        <v>120</v>
      </c>
      <c r="F50" s="135"/>
      <c r="G50" s="135"/>
      <c r="H50" s="135"/>
      <c r="I50" s="136"/>
      <c r="J50" s="127"/>
    </row>
    <row r="51" spans="1:10">
      <c r="A51" s="395"/>
      <c r="B51" s="384"/>
      <c r="C51" s="388"/>
      <c r="D51" s="396"/>
      <c r="E51" s="228" t="s">
        <v>244</v>
      </c>
      <c r="F51" s="229"/>
      <c r="G51" s="229"/>
      <c r="H51" s="229"/>
      <c r="I51" s="230"/>
      <c r="J51" s="127"/>
    </row>
    <row r="52" spans="1:10" ht="27" customHeight="1">
      <c r="A52" s="139"/>
      <c r="B52" s="140"/>
      <c r="C52" s="140"/>
      <c r="D52" s="141"/>
      <c r="E52" s="142" t="s">
        <v>231</v>
      </c>
      <c r="F52" s="675" t="s">
        <v>232</v>
      </c>
      <c r="G52" s="675"/>
      <c r="H52" s="675"/>
      <c r="I52" s="675"/>
      <c r="J52" s="143"/>
    </row>
    <row r="53" spans="1:10">
      <c r="A53" s="391">
        <v>5</v>
      </c>
      <c r="B53" s="392" t="s">
        <v>103</v>
      </c>
      <c r="C53" s="393" t="s">
        <v>223</v>
      </c>
      <c r="D53" s="138" t="s">
        <v>124</v>
      </c>
      <c r="E53" s="231" t="s">
        <v>256</v>
      </c>
      <c r="F53" s="232"/>
      <c r="G53" s="232"/>
      <c r="H53" s="232"/>
      <c r="I53" s="130"/>
      <c r="J53" s="394" t="s">
        <v>234</v>
      </c>
    </row>
    <row r="54" spans="1:10">
      <c r="A54" s="395">
        <f>A38+1</f>
        <v>4</v>
      </c>
      <c r="B54" s="390"/>
      <c r="C54" s="388"/>
      <c r="D54" s="411"/>
      <c r="E54" s="412" t="s">
        <v>265</v>
      </c>
      <c r="F54" s="135"/>
      <c r="G54" s="135"/>
      <c r="H54" s="135"/>
      <c r="I54" s="136"/>
      <c r="J54" s="127" t="s">
        <v>235</v>
      </c>
    </row>
    <row r="55" spans="1:10">
      <c r="A55" s="395"/>
      <c r="B55" s="390"/>
      <c r="C55" s="388"/>
      <c r="D55" s="411"/>
      <c r="E55" s="398" t="s">
        <v>266</v>
      </c>
      <c r="F55" s="135"/>
      <c r="G55" s="135"/>
      <c r="H55" s="135"/>
      <c r="I55" s="136"/>
      <c r="J55" s="127" t="s">
        <v>246</v>
      </c>
    </row>
    <row r="56" spans="1:10">
      <c r="A56" s="395"/>
      <c r="B56" s="390"/>
      <c r="C56" s="388"/>
      <c r="D56" s="411"/>
      <c r="E56" s="398" t="s">
        <v>267</v>
      </c>
      <c r="F56" s="135"/>
      <c r="G56" s="135"/>
      <c r="H56" s="135"/>
      <c r="I56" s="136"/>
      <c r="J56" s="127"/>
    </row>
    <row r="57" spans="1:10">
      <c r="A57" s="395"/>
      <c r="B57" s="384"/>
      <c r="C57" s="388"/>
      <c r="D57" s="411"/>
      <c r="E57" s="398" t="s">
        <v>119</v>
      </c>
      <c r="F57" s="135"/>
      <c r="G57" s="135"/>
      <c r="H57" s="135"/>
      <c r="I57" s="136"/>
      <c r="J57" s="127"/>
    </row>
    <row r="58" spans="1:10">
      <c r="A58" s="395"/>
      <c r="B58" s="384"/>
      <c r="C58" s="388"/>
      <c r="D58" s="411"/>
      <c r="E58" s="398" t="s">
        <v>268</v>
      </c>
      <c r="F58" s="135"/>
      <c r="G58" s="135"/>
      <c r="H58" s="135"/>
      <c r="I58" s="136"/>
      <c r="J58" s="127"/>
    </row>
    <row r="59" spans="1:10">
      <c r="A59" s="395"/>
      <c r="B59" s="384"/>
      <c r="C59" s="388"/>
      <c r="D59" s="411"/>
      <c r="E59" s="412" t="s">
        <v>269</v>
      </c>
      <c r="F59" s="135"/>
      <c r="G59" s="135"/>
      <c r="H59" s="135"/>
      <c r="I59" s="136"/>
      <c r="J59" s="127"/>
    </row>
    <row r="60" spans="1:10">
      <c r="A60" s="395"/>
      <c r="B60" s="384"/>
      <c r="C60" s="388"/>
      <c r="D60" s="411"/>
      <c r="E60" s="398" t="s">
        <v>270</v>
      </c>
      <c r="F60" s="135"/>
      <c r="G60" s="135"/>
      <c r="H60" s="135"/>
      <c r="I60" s="136"/>
      <c r="J60" s="127"/>
    </row>
    <row r="61" spans="1:10">
      <c r="A61" s="395"/>
      <c r="B61" s="384"/>
      <c r="C61" s="388"/>
      <c r="D61" s="411"/>
      <c r="E61" s="398" t="s">
        <v>271</v>
      </c>
      <c r="F61" s="135"/>
      <c r="G61" s="135"/>
      <c r="H61" s="135"/>
      <c r="I61" s="136"/>
      <c r="J61" s="127"/>
    </row>
    <row r="62" spans="1:10">
      <c r="A62" s="395"/>
      <c r="B62" s="384"/>
      <c r="C62" s="388"/>
      <c r="D62" s="411"/>
      <c r="E62" s="412" t="s">
        <v>272</v>
      </c>
      <c r="F62" s="135"/>
      <c r="G62" s="135"/>
      <c r="H62" s="135"/>
      <c r="I62" s="136"/>
      <c r="J62" s="127"/>
    </row>
    <row r="63" spans="1:10">
      <c r="A63" s="395"/>
      <c r="B63" s="384"/>
      <c r="C63" s="388"/>
      <c r="D63" s="411"/>
      <c r="E63" s="398" t="s">
        <v>273</v>
      </c>
      <c r="F63" s="135"/>
      <c r="G63" s="135"/>
      <c r="H63" s="135"/>
      <c r="I63" s="136"/>
      <c r="J63" s="127"/>
    </row>
    <row r="64" spans="1:10">
      <c r="A64" s="395"/>
      <c r="B64" s="384"/>
      <c r="C64" s="388"/>
      <c r="D64" s="411"/>
      <c r="E64" s="398" t="s">
        <v>274</v>
      </c>
      <c r="F64" s="135"/>
      <c r="G64" s="135"/>
      <c r="H64" s="135"/>
      <c r="I64" s="136"/>
      <c r="J64" s="127"/>
    </row>
    <row r="65" spans="1:10">
      <c r="A65" s="395"/>
      <c r="B65" s="384"/>
      <c r="C65" s="388"/>
      <c r="D65" s="411"/>
      <c r="E65" s="398" t="s">
        <v>120</v>
      </c>
      <c r="F65" s="135"/>
      <c r="G65" s="135"/>
      <c r="H65" s="135"/>
      <c r="I65" s="136"/>
      <c r="J65" s="127"/>
    </row>
    <row r="66" spans="1:10">
      <c r="A66" s="395"/>
      <c r="B66" s="384"/>
      <c r="C66" s="388"/>
      <c r="D66" s="396"/>
      <c r="E66" s="228" t="s">
        <v>244</v>
      </c>
      <c r="F66" s="229"/>
      <c r="G66" s="229"/>
      <c r="H66" s="229"/>
      <c r="I66" s="230"/>
      <c r="J66" s="127"/>
    </row>
    <row r="67" spans="1:10" ht="27" customHeight="1">
      <c r="A67" s="139"/>
      <c r="B67" s="140"/>
      <c r="C67" s="140"/>
      <c r="D67" s="141"/>
      <c r="E67" s="142" t="s">
        <v>231</v>
      </c>
      <c r="F67" s="675" t="s">
        <v>232</v>
      </c>
      <c r="G67" s="675"/>
      <c r="H67" s="675"/>
      <c r="I67" s="675"/>
      <c r="J67" s="143"/>
    </row>
    <row r="68" spans="1:10">
      <c r="A68" s="391">
        <v>6</v>
      </c>
      <c r="B68" s="392" t="s">
        <v>103</v>
      </c>
      <c r="C68" s="393" t="s">
        <v>223</v>
      </c>
      <c r="D68" s="138"/>
      <c r="E68" s="231" t="s">
        <v>256</v>
      </c>
      <c r="F68" s="232"/>
      <c r="G68" s="232"/>
      <c r="H68" s="232"/>
      <c r="I68" s="130"/>
      <c r="J68" s="394" t="s">
        <v>234</v>
      </c>
    </row>
    <row r="69" spans="1:10">
      <c r="A69" s="395">
        <f>A54+1</f>
        <v>5</v>
      </c>
      <c r="B69" s="390"/>
      <c r="C69" s="388"/>
      <c r="D69" s="411">
        <v>0.29166666666666669</v>
      </c>
      <c r="E69" s="397" t="s">
        <v>275</v>
      </c>
      <c r="F69" s="135"/>
      <c r="G69" s="135"/>
      <c r="H69" s="135"/>
      <c r="I69" s="136"/>
      <c r="J69" s="127" t="s">
        <v>276</v>
      </c>
    </row>
    <row r="70" spans="1:10">
      <c r="A70" s="395"/>
      <c r="B70" s="390"/>
      <c r="C70" s="388"/>
      <c r="D70" s="411">
        <v>0.33333333333333331</v>
      </c>
      <c r="E70" s="397" t="s">
        <v>277</v>
      </c>
      <c r="F70" s="135"/>
      <c r="G70" s="135"/>
      <c r="H70" s="135"/>
      <c r="I70" s="136"/>
      <c r="J70" s="127"/>
    </row>
    <row r="71" spans="1:10">
      <c r="A71" s="395"/>
      <c r="B71" s="390"/>
      <c r="C71" s="385" t="s">
        <v>278</v>
      </c>
      <c r="D71" s="413">
        <v>0.47916666666666669</v>
      </c>
      <c r="E71" s="412" t="s">
        <v>279</v>
      </c>
      <c r="F71" s="135"/>
      <c r="G71" s="135"/>
      <c r="H71" s="135"/>
      <c r="I71" s="136"/>
      <c r="J71" s="127"/>
    </row>
    <row r="72" spans="1:10">
      <c r="A72" s="395"/>
      <c r="B72" s="390"/>
      <c r="C72" s="385" t="s">
        <v>280</v>
      </c>
      <c r="D72" s="413">
        <v>0.5</v>
      </c>
      <c r="E72" s="412" t="s">
        <v>279</v>
      </c>
      <c r="F72" s="135"/>
      <c r="G72" s="135"/>
      <c r="H72" s="135"/>
      <c r="I72" s="136"/>
      <c r="J72" s="127"/>
    </row>
    <row r="73" spans="1:10">
      <c r="A73" s="395"/>
      <c r="B73" s="384"/>
      <c r="C73" s="388"/>
      <c r="D73" s="396"/>
      <c r="E73" s="228"/>
      <c r="F73" s="229"/>
      <c r="G73" s="229"/>
      <c r="H73" s="229"/>
      <c r="I73" s="230"/>
      <c r="J73" s="127"/>
    </row>
    <row r="74" spans="1:10" ht="27" customHeight="1">
      <c r="A74" s="139"/>
      <c r="B74" s="140"/>
      <c r="C74" s="140"/>
      <c r="D74" s="141"/>
      <c r="E74" s="233"/>
      <c r="F74" s="676" t="s">
        <v>281</v>
      </c>
      <c r="G74" s="676"/>
      <c r="H74" s="676"/>
      <c r="I74" s="677"/>
      <c r="J74" s="143"/>
    </row>
    <row r="75" spans="1:10" ht="28.25" customHeight="1">
      <c r="A75" s="665" t="s">
        <v>282</v>
      </c>
      <c r="B75" s="665"/>
      <c r="C75" s="665"/>
      <c r="D75" s="665"/>
      <c r="E75" s="665"/>
      <c r="F75" s="665"/>
      <c r="G75" s="665"/>
      <c r="H75" s="665"/>
      <c r="I75" s="665"/>
      <c r="J75" s="665"/>
    </row>
  </sheetData>
  <mergeCells count="20">
    <mergeCell ref="F27:I27"/>
    <mergeCell ref="A1:J1"/>
    <mergeCell ref="E3:I3"/>
    <mergeCell ref="C4:C5"/>
    <mergeCell ref="E4:I4"/>
    <mergeCell ref="E5:I5"/>
    <mergeCell ref="E7:I7"/>
    <mergeCell ref="E12:I12"/>
    <mergeCell ref="F13:I13"/>
    <mergeCell ref="E14:I14"/>
    <mergeCell ref="E26:I26"/>
    <mergeCell ref="A75:J75"/>
    <mergeCell ref="E28:I28"/>
    <mergeCell ref="E29:I29"/>
    <mergeCell ref="E31:I31"/>
    <mergeCell ref="E35:I35"/>
    <mergeCell ref="F36:I36"/>
    <mergeCell ref="F74:I74"/>
    <mergeCell ref="F67:I67"/>
    <mergeCell ref="F52:I52"/>
  </mergeCells>
  <phoneticPr fontId="7" type="noConversion"/>
  <pageMargins left="0.7" right="0.7" top="0.75" bottom="0.75" header="0.3" footer="0.3"/>
  <pageSetup scale="5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faa79-66ff-44b0-a8fa-693fbc31733b" xsi:nil="true"/>
    <lcf76f155ced4ddcb4097134ff3c332f xmlns="4b262e48-7f8a-4a7e-8936-03b28e3a5c6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EDB2F91F2148241A9EAD4C277656386" ma:contentTypeVersion="15" ma:contentTypeDescription="새 문서를 만듭니다." ma:contentTypeScope="" ma:versionID="f0368d7aa5c379118ccf3ad3ec09514f">
  <xsd:schema xmlns:xsd="http://www.w3.org/2001/XMLSchema" xmlns:xs="http://www.w3.org/2001/XMLSchema" xmlns:p="http://schemas.microsoft.com/office/2006/metadata/properties" xmlns:ns2="4b262e48-7f8a-4a7e-8936-03b28e3a5c6c" xmlns:ns3="ec6faa79-66ff-44b0-a8fa-693fbc31733b" targetNamespace="http://schemas.microsoft.com/office/2006/metadata/properties" ma:root="true" ma:fieldsID="74a4220ef9bf643084cc9a3ccd1bd0df" ns2:_="" ns3:_="">
    <xsd:import namespace="4b262e48-7f8a-4a7e-8936-03b28e3a5c6c"/>
    <xsd:import namespace="ec6faa79-66ff-44b0-a8fa-693fbc3173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e48-7f8a-4a7e-8936-03b28e3a5c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fed8afb7-d9d1-4bb5-b4a8-fc35c2faa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faa79-66ff-44b0-a8fa-693fbc31733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a345fee-c17d-4285-8e89-9f1979c23017}" ma:internalName="TaxCatchAll" ma:showField="CatchAllData" ma:web="ec6faa79-66ff-44b0-a8fa-693fbc3173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E9140D-A9F9-4001-BFD9-2AE59EF05378}">
  <ds:schemaRefs>
    <ds:schemaRef ds:uri="http://schemas.microsoft.com/office/2006/metadata/properties"/>
    <ds:schemaRef ds:uri="http://schemas.microsoft.com/office/infopath/2007/PartnerControls"/>
    <ds:schemaRef ds:uri="ec6faa79-66ff-44b0-a8fa-693fbc31733b"/>
    <ds:schemaRef ds:uri="4b262e48-7f8a-4a7e-8936-03b28e3a5c6c"/>
  </ds:schemaRefs>
</ds:datastoreItem>
</file>

<file path=customXml/itemProps2.xml><?xml version="1.0" encoding="utf-8"?>
<ds:datastoreItem xmlns:ds="http://schemas.openxmlformats.org/officeDocument/2006/customXml" ds:itemID="{DD5B9CC6-8118-4BF2-98B9-F02098DAC8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62e48-7f8a-4a7e-8936-03b28e3a5c6c"/>
    <ds:schemaRef ds:uri="ec6faa79-66ff-44b0-a8fa-693fbc3173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621BDE-25DB-4975-8FDB-561CCD9AEE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인보이스</vt:lpstr>
      <vt:lpstr>확정서</vt:lpstr>
      <vt:lpstr>일정표</vt:lpstr>
      <vt:lpstr>견적</vt:lpstr>
      <vt:lpstr>샘플일정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Hana106</dc:creator>
  <cp:keywords/>
  <dc:description/>
  <cp:lastModifiedBy>김윤정C</cp:lastModifiedBy>
  <cp:revision/>
  <dcterms:created xsi:type="dcterms:W3CDTF">2015-01-23T18:55:27Z</dcterms:created>
  <dcterms:modified xsi:type="dcterms:W3CDTF">2026-05-11T05:58:02Z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0x0101005EDB2F91F2148241A9EAD4C277656386</vt:lpwstr>
  </property>
  <property fmtid="{D5CDD505-2E9C-101B-9397-08002B2CF9AE}" pid="3" name="MediaServiceImageTags">
    <vt:lpwstr/>
  </property>
</Properties>
</file>