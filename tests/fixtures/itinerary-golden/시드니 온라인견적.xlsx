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hanatour0-my.sharepoint.com/personal/yoonzzan_hanatour_com/Documents/20220324 갤탭/오늘의 업무▶/마이기획서/온라인견적서/공급사 비딩 답변 첨부파일/"/>
    </mc:Choice>
  </mc:AlternateContent>
  <xr:revisionPtr revIDLastSave="0" documentId="8_{C58DC42C-33C1-0B46-9612-D01C33576A46}" xr6:coauthVersionLast="47" xr6:coauthVersionMax="47" xr10:uidLastSave="{00000000-0000-0000-0000-000000000000}"/>
  <bookViews>
    <workbookView xWindow="24740" yWindow="4340" windowWidth="38660" windowHeight="25660" xr2:uid="{720D82D7-8337-394B-8AA5-052301851A40}"/>
  </bookViews>
  <sheets>
    <sheet name="남태 시드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  <c r="C76" i="1" s="1"/>
  <c r="G76" i="1" s="1"/>
  <c r="I62" i="1"/>
  <c r="I61" i="1"/>
  <c r="I65" i="1" s="1"/>
  <c r="E73" i="1" s="1"/>
  <c r="I60" i="1"/>
  <c r="E72" i="1" s="1"/>
  <c r="I53" i="1"/>
  <c r="I48" i="1"/>
  <c r="I51" i="1" s="1"/>
  <c r="E70" i="1" s="1"/>
  <c r="I47" i="1"/>
  <c r="H35" i="1"/>
  <c r="I35" i="1" s="1"/>
  <c r="I28" i="1"/>
  <c r="I27" i="1"/>
  <c r="I29" i="1" s="1"/>
  <c r="E68" i="1" s="1"/>
  <c r="I26" i="1"/>
  <c r="I25" i="1"/>
  <c r="I24" i="1"/>
  <c r="I23" i="1"/>
  <c r="H20" i="1"/>
  <c r="G20" i="1"/>
  <c r="I17" i="1"/>
  <c r="H52" i="1" s="1"/>
  <c r="I52" i="1" s="1"/>
  <c r="I55" i="1" s="1"/>
  <c r="E71" i="1" s="1"/>
  <c r="H37" i="1" l="1"/>
  <c r="I37" i="1" s="1"/>
  <c r="I20" i="1"/>
  <c r="I22" i="1" s="1"/>
  <c r="E67" i="1" s="1"/>
  <c r="H30" i="1"/>
  <c r="I30" i="1" s="1"/>
  <c r="H38" i="1"/>
  <c r="I38" i="1" s="1"/>
  <c r="H31" i="1"/>
  <c r="I31" i="1" s="1"/>
  <c r="H41" i="1"/>
  <c r="I41" i="1" s="1"/>
  <c r="H42" i="1"/>
  <c r="I42" i="1" s="1"/>
  <c r="H33" i="1"/>
  <c r="I33" i="1" s="1"/>
  <c r="H45" i="1"/>
  <c r="I45" i="1" s="1"/>
  <c r="H34" i="1"/>
  <c r="I34" i="1" s="1"/>
  <c r="H39" i="1"/>
  <c r="I39" i="1" s="1"/>
  <c r="H43" i="1"/>
  <c r="I43" i="1" s="1"/>
  <c r="H32" i="1"/>
  <c r="I32" i="1" s="1"/>
  <c r="H36" i="1"/>
  <c r="I36" i="1" s="1"/>
  <c r="H40" i="1"/>
  <c r="I40" i="1" s="1"/>
  <c r="H44" i="1"/>
  <c r="I44" i="1" s="1"/>
  <c r="I46" i="1" l="1"/>
  <c r="E69" i="1" s="1"/>
  <c r="G68" i="1" s="1"/>
  <c r="G72" i="1" s="1"/>
  <c r="C77" i="1" s="1"/>
  <c r="G77" i="1" s="1"/>
</calcChain>
</file>

<file path=xl/sharedStrings.xml><?xml version="1.0" encoding="utf-8"?>
<sst xmlns="http://schemas.openxmlformats.org/spreadsheetml/2006/main" count="131" uniqueCount="85">
  <si>
    <t xml:space="preserve">HT HOJU </t>
    <phoneticPr fontId="3" type="noConversion"/>
  </si>
  <si>
    <t>84/1-55 West Parade West Ryde NSW 2114</t>
    <phoneticPr fontId="3" type="noConversion"/>
  </si>
  <si>
    <t>Tel : 61.2.9858.3355</t>
    <phoneticPr fontId="3" type="noConversion"/>
  </si>
  <si>
    <t>답변일</t>
    <phoneticPr fontId="3" type="noConversion"/>
  </si>
  <si>
    <t>수   신</t>
    <phoneticPr fontId="3" type="noConversion"/>
  </si>
  <si>
    <t>발   신</t>
    <phoneticPr fontId="3" type="noConversion"/>
  </si>
  <si>
    <t>★견적 참고사항★</t>
  </si>
  <si>
    <t xml:space="preserve"> * 팀컬러: 경주시의회 (성인) 기준의 견적이며 팀컬러가 상이할 경우 추가요금이 발생합니다.  </t>
    <phoneticPr fontId="3" type="noConversion"/>
  </si>
  <si>
    <t xml:space="preserve"> * 현지 지인이 있을 경우 추가요금이 발생합니다. </t>
  </si>
  <si>
    <t xml:space="preserve">* 전원 투어에 참가 및 출/도착일 동일 조건이며, 일정에 미참여하거나 출/도착일이 상이할 경우 추가요금이 발생합니다.  </t>
  </si>
  <si>
    <t>지    상    세    부    내    역    서</t>
    <phoneticPr fontId="3" type="noConversion"/>
  </si>
  <si>
    <t>행 사 명</t>
    <phoneticPr fontId="3" type="noConversion"/>
  </si>
  <si>
    <t>인  원</t>
  </si>
  <si>
    <t>F.O.C</t>
  </si>
  <si>
    <t>총인원</t>
  </si>
  <si>
    <t>손님방</t>
    <phoneticPr fontId="3" type="noConversion"/>
  </si>
  <si>
    <t>기     간</t>
  </si>
  <si>
    <t>~</t>
    <phoneticPr fontId="3" type="noConversion"/>
  </si>
  <si>
    <t>구  분</t>
  </si>
  <si>
    <t>세부내역</t>
  </si>
  <si>
    <t>단가</t>
    <phoneticPr fontId="3" type="noConversion"/>
  </si>
  <si>
    <t>사용횟수</t>
  </si>
  <si>
    <t>인원/수량</t>
  </si>
  <si>
    <t>합계</t>
    <phoneticPr fontId="3" type="noConversion"/>
  </si>
  <si>
    <t>비고</t>
    <phoneticPr fontId="3" type="noConversion"/>
  </si>
  <si>
    <t>호텔</t>
    <phoneticPr fontId="3" type="noConversion"/>
  </si>
  <si>
    <t>SYD</t>
    <phoneticPr fontId="3" type="noConversion"/>
  </si>
  <si>
    <t xml:space="preserve">홀리데이 맥쿼리파크 또는 동급 4성 </t>
    <phoneticPr fontId="3" type="noConversion"/>
  </si>
  <si>
    <t>TOTAL</t>
    <phoneticPr fontId="3" type="noConversion"/>
  </si>
  <si>
    <t>차량
(전일 사용 기준
 - 10시간 및 저녁 8시 이전 종료 조건 / 가이드 동일)</t>
    <phoneticPr fontId="3" type="noConversion"/>
  </si>
  <si>
    <t>21인승</t>
    <phoneticPr fontId="3" type="noConversion"/>
  </si>
  <si>
    <t>D2</t>
    <phoneticPr fontId="3" type="noConversion"/>
  </si>
  <si>
    <t>울릉공+공식방문</t>
    <phoneticPr fontId="3" type="noConversion"/>
  </si>
  <si>
    <t>D3</t>
    <phoneticPr fontId="3" type="noConversion"/>
  </si>
  <si>
    <t>포트</t>
    <phoneticPr fontId="3" type="noConversion"/>
  </si>
  <si>
    <t>D4</t>
    <phoneticPr fontId="3" type="noConversion"/>
  </si>
  <si>
    <t>블루+공식방문</t>
    <phoneticPr fontId="3" type="noConversion"/>
  </si>
  <si>
    <t>D5</t>
    <phoneticPr fontId="3" type="noConversion"/>
  </si>
  <si>
    <t>시티</t>
    <phoneticPr fontId="3" type="noConversion"/>
  </si>
  <si>
    <t>D6</t>
  </si>
  <si>
    <t>D7</t>
  </si>
  <si>
    <t>샌딩</t>
    <phoneticPr fontId="3" type="noConversion"/>
  </si>
  <si>
    <t>식사</t>
    <phoneticPr fontId="3" type="noConversion"/>
  </si>
  <si>
    <t>2일차</t>
    <phoneticPr fontId="3" type="noConversion"/>
  </si>
  <si>
    <t>조</t>
    <phoneticPr fontId="3" type="noConversion"/>
  </si>
  <si>
    <t>기내식</t>
    <phoneticPr fontId="3" type="noConversion"/>
  </si>
  <si>
    <t>중</t>
    <phoneticPr fontId="3" type="noConversion"/>
  </si>
  <si>
    <t>현지식</t>
    <phoneticPr fontId="3" type="noConversion"/>
  </si>
  <si>
    <t>석</t>
    <phoneticPr fontId="3" type="noConversion"/>
  </si>
  <si>
    <t>한식</t>
    <phoneticPr fontId="3" type="noConversion"/>
  </si>
  <si>
    <t>3일차</t>
    <phoneticPr fontId="3" type="noConversion"/>
  </si>
  <si>
    <t>호텔식</t>
    <phoneticPr fontId="3" type="noConversion"/>
  </si>
  <si>
    <t>호텔비용에 포함</t>
    <phoneticPr fontId="3" type="noConversion"/>
  </si>
  <si>
    <t>4일차</t>
    <phoneticPr fontId="3" type="noConversion"/>
  </si>
  <si>
    <t>블루</t>
    <phoneticPr fontId="3" type="noConversion"/>
  </si>
  <si>
    <t>현지뷔페식</t>
    <phoneticPr fontId="3" type="noConversion"/>
  </si>
  <si>
    <t>5일차</t>
    <phoneticPr fontId="3" type="noConversion"/>
  </si>
  <si>
    <t>선상식</t>
    <phoneticPr fontId="3" type="noConversion"/>
  </si>
  <si>
    <t>6일차</t>
    <phoneticPr fontId="3" type="noConversion"/>
  </si>
  <si>
    <t>7일차</t>
    <phoneticPr fontId="3" type="noConversion"/>
  </si>
  <si>
    <t>가이드</t>
    <phoneticPr fontId="3" type="noConversion"/>
  </si>
  <si>
    <t>가이드 비용</t>
    <phoneticPr fontId="3" type="noConversion"/>
  </si>
  <si>
    <t>가이드/ 기사 팁</t>
    <phoneticPr fontId="3" type="noConversion"/>
  </si>
  <si>
    <t>입장료</t>
    <phoneticPr fontId="3" type="noConversion"/>
  </si>
  <si>
    <t>POT</t>
    <phoneticPr fontId="3" type="noConversion"/>
  </si>
  <si>
    <t>문쉐도우+4WD</t>
    <phoneticPr fontId="3" type="noConversion"/>
  </si>
  <si>
    <t>오페라 단독</t>
    <phoneticPr fontId="3" type="noConversion"/>
  </si>
  <si>
    <t>전체 요금 (12명 이상부터 요금 인상)</t>
    <phoneticPr fontId="3" type="noConversion"/>
  </si>
  <si>
    <t>옵션</t>
    <phoneticPr fontId="3" type="noConversion"/>
  </si>
  <si>
    <t>기타</t>
    <phoneticPr fontId="3" type="noConversion"/>
  </si>
  <si>
    <t>CASS 복지센터</t>
    <phoneticPr fontId="3" type="noConversion"/>
  </si>
  <si>
    <t xml:space="preserve">EBEN MISSION </t>
    <phoneticPr fontId="3" type="noConversion"/>
  </si>
  <si>
    <t>전문통역</t>
    <phoneticPr fontId="3" type="noConversion"/>
  </si>
  <si>
    <t>불포함 (회당 미니멈 2시간)</t>
    <phoneticPr fontId="3" type="noConversion"/>
  </si>
  <si>
    <t>총지상비용합계</t>
    <phoneticPr fontId="3" type="noConversion"/>
  </si>
  <si>
    <t>인원</t>
    <phoneticPr fontId="3" type="noConversion"/>
  </si>
  <si>
    <t>차량</t>
    <phoneticPr fontId="3" type="noConversion"/>
  </si>
  <si>
    <t>1인당 NET ($)</t>
    <phoneticPr fontId="3" type="noConversion"/>
  </si>
  <si>
    <t>1인당 지사수익 ($)</t>
    <phoneticPr fontId="3" type="noConversion"/>
  </si>
  <si>
    <t>.</t>
    <phoneticPr fontId="3" type="noConversion"/>
  </si>
  <si>
    <t>총정리</t>
    <phoneticPr fontId="3" type="noConversion"/>
  </si>
  <si>
    <t>환율</t>
    <phoneticPr fontId="3" type="noConversion"/>
  </si>
  <si>
    <t>지사 총 수익</t>
    <phoneticPr fontId="3" type="noConversion"/>
  </si>
  <si>
    <t>1인당 입금가</t>
    <phoneticPr fontId="3" type="noConversion"/>
  </si>
  <si>
    <t xml:space="preserve">쇼핑 1회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</si>
</sst>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&quot;박&quot;\ "/>
    <numFmt numFmtId="177" formatCode="&quot;US$&quot;#,##0"/>
    <numFmt numFmtId="178" formatCode="m&quot;/&quot;d;@"/>
    <numFmt numFmtId="179" formatCode="[$AUD]\ #,##0.00"/>
    <numFmt numFmtId="180" formatCode="0&quot;박&quot;"/>
    <numFmt numFmtId="181" formatCode="0\ &quot;RM&quot;"/>
    <numFmt numFmtId="182" formatCode="0\ &quot;일&quot;"/>
    <numFmt numFmtId="183" formatCode="0\ &quot;대&quot;"/>
    <numFmt numFmtId="184" formatCode="0&quot;식&quot;"/>
    <numFmt numFmtId="185" formatCode="0\ &quot;명&quot;"/>
    <numFmt numFmtId="186" formatCode="0.0\ &quot;일&quot;"/>
    <numFmt numFmtId="187" formatCode="mm&quot;월&quot;\ dd&quot;일&quot;"/>
    <numFmt numFmtId="188" formatCode="0\ &quot;회&quot;"/>
    <numFmt numFmtId="189" formatCode="_-&quot;US$&quot;* #,##0_-;\-&quot;US$&quot;* #,##0_-;_-&quot;US$&quot;* &quot;-&quot;??_-;_-@_-"/>
    <numFmt numFmtId="190" formatCode="[$AUD]\ #,##0.00_);[Red]\([$AUD]\ #,##0.00\)"/>
    <numFmt numFmtId="191" formatCode="_-&quot;US$&quot;* #,##0_ ;_-&quot;US$&quot;* \-#,##0\ ;_-&quot;US$&quot;* &quot;-&quot;??_ ;_-@_ "/>
    <numFmt numFmtId="192" formatCode="_-* #,##0_-;\-* #,##0_-;_-* &quot;-&quot;_-;_-@_-"/>
    <numFmt numFmtId="193" formatCode="&quot;₩&quot;#,##0"/>
  </numFmts>
  <fonts count="25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theme="0"/>
      <name val="나눔고딕"/>
      <family val="3"/>
      <charset val="129"/>
    </font>
    <font>
      <sz val="10"/>
      <color theme="0"/>
      <name val="맑은 고딕"/>
      <family val="2"/>
      <charset val="129"/>
      <scheme val="minor"/>
    </font>
    <font>
      <b/>
      <sz val="11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9"/>
      <color theme="1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9BDC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192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80">
    <xf numFmtId="0" fontId="0" fillId="0" borderId="0" xfId="0">
      <alignment vertical="center"/>
    </xf>
    <xf numFmtId="0" fontId="5" fillId="0" borderId="0" xfId="2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7" fillId="2" borderId="0" xfId="2" applyFont="1" applyFill="1">
      <alignment vertical="center"/>
    </xf>
    <xf numFmtId="0" fontId="7" fillId="2" borderId="0" xfId="2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3" borderId="0" xfId="0" applyFont="1" applyFill="1" applyAlignment="1">
      <alignment horizontal="center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14" xfId="2" applyFont="1" applyFill="1" applyBorder="1" applyAlignment="1">
      <alignment horizontal="center" vertical="center"/>
    </xf>
    <xf numFmtId="0" fontId="12" fillId="3" borderId="15" xfId="2" applyFont="1" applyFill="1" applyBorder="1" applyAlignment="1">
      <alignment horizontal="center" vertical="center"/>
    </xf>
    <xf numFmtId="0" fontId="12" fillId="3" borderId="16" xfId="2" applyFont="1" applyFill="1" applyBorder="1" applyAlignment="1">
      <alignment horizontal="center" vertical="center"/>
    </xf>
    <xf numFmtId="0" fontId="12" fillId="3" borderId="17" xfId="2" applyFont="1" applyFill="1" applyBorder="1" applyAlignment="1">
      <alignment horizontal="center" vertical="center"/>
    </xf>
    <xf numFmtId="14" fontId="12" fillId="3" borderId="18" xfId="2" applyNumberFormat="1" applyFont="1" applyFill="1" applyBorder="1" applyAlignment="1">
      <alignment horizontal="center" vertical="center" wrapText="1"/>
    </xf>
    <xf numFmtId="0" fontId="12" fillId="3" borderId="17" xfId="2" applyFont="1" applyFill="1" applyBorder="1" applyAlignment="1">
      <alignment horizontal="center" vertical="center" wrapText="1"/>
    </xf>
    <xf numFmtId="176" fontId="13" fillId="3" borderId="18" xfId="0" applyNumberFormat="1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center" vertical="center" wrapText="1"/>
    </xf>
    <xf numFmtId="0" fontId="14" fillId="4" borderId="19" xfId="3" applyFont="1" applyFill="1" applyBorder="1" applyAlignment="1">
      <alignment horizontal="center" vertical="center"/>
    </xf>
    <xf numFmtId="0" fontId="15" fillId="4" borderId="20" xfId="3" applyFont="1" applyFill="1" applyBorder="1" applyAlignment="1">
      <alignment horizontal="center" vertical="center"/>
    </xf>
    <xf numFmtId="177" fontId="15" fillId="4" borderId="20" xfId="3" applyNumberFormat="1" applyFont="1" applyFill="1" applyBorder="1" applyAlignment="1">
      <alignment horizontal="center" vertical="center"/>
    </xf>
    <xf numFmtId="0" fontId="15" fillId="4" borderId="21" xfId="3" applyFont="1" applyFill="1" applyBorder="1" applyAlignment="1">
      <alignment horizontal="center" vertical="center"/>
    </xf>
    <xf numFmtId="178" fontId="17" fillId="0" borderId="23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4" xfId="0" applyFont="1" applyBorder="1">
      <alignment vertical="center"/>
    </xf>
    <xf numFmtId="179" fontId="17" fillId="0" borderId="24" xfId="0" applyNumberFormat="1" applyFont="1" applyBorder="1">
      <alignment vertical="center"/>
    </xf>
    <xf numFmtId="180" fontId="17" fillId="0" borderId="24" xfId="0" applyNumberFormat="1" applyFont="1" applyBorder="1">
      <alignment vertical="center"/>
    </xf>
    <xf numFmtId="181" fontId="17" fillId="0" borderId="24" xfId="0" applyNumberFormat="1" applyFont="1" applyBorder="1">
      <alignment vertical="center"/>
    </xf>
    <xf numFmtId="0" fontId="17" fillId="0" borderId="25" xfId="0" applyFont="1" applyBorder="1" applyAlignment="1">
      <alignment vertical="center" wrapText="1"/>
    </xf>
    <xf numFmtId="0" fontId="17" fillId="0" borderId="25" xfId="0" applyFont="1" applyBorder="1">
      <alignment vertical="center"/>
    </xf>
    <xf numFmtId="0" fontId="18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4" xfId="0" applyFont="1" applyFill="1" applyBorder="1">
      <alignment vertical="center"/>
    </xf>
    <xf numFmtId="179" fontId="17" fillId="4" borderId="24" xfId="0" applyNumberFormat="1" applyFont="1" applyFill="1" applyBorder="1">
      <alignment vertical="center"/>
    </xf>
    <xf numFmtId="179" fontId="18" fillId="4" borderId="24" xfId="0" applyNumberFormat="1" applyFont="1" applyFill="1" applyBorder="1">
      <alignment vertical="center"/>
    </xf>
    <xf numFmtId="0" fontId="17" fillId="4" borderId="25" xfId="0" applyFont="1" applyFill="1" applyBorder="1">
      <alignment vertical="center"/>
    </xf>
    <xf numFmtId="182" fontId="17" fillId="0" borderId="24" xfId="0" applyNumberFormat="1" applyFont="1" applyBorder="1">
      <alignment vertical="center"/>
    </xf>
    <xf numFmtId="183" fontId="17" fillId="0" borderId="24" xfId="0" applyNumberFormat="1" applyFont="1" applyBorder="1">
      <alignment vertical="center"/>
    </xf>
    <xf numFmtId="178" fontId="21" fillId="0" borderId="24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2" xfId="0" applyFont="1" applyBorder="1">
      <alignment vertical="center"/>
    </xf>
    <xf numFmtId="179" fontId="21" fillId="0" borderId="32" xfId="0" applyNumberFormat="1" applyFont="1" applyBorder="1">
      <alignment vertical="center"/>
    </xf>
    <xf numFmtId="184" fontId="21" fillId="0" borderId="24" xfId="0" applyNumberFormat="1" applyFont="1" applyBorder="1">
      <alignment vertical="center"/>
    </xf>
    <xf numFmtId="185" fontId="21" fillId="0" borderId="24" xfId="0" applyNumberFormat="1" applyFont="1" applyBorder="1">
      <alignment vertical="center"/>
    </xf>
    <xf numFmtId="0" fontId="21" fillId="0" borderId="34" xfId="0" applyFont="1" applyBorder="1">
      <alignment vertical="center"/>
    </xf>
    <xf numFmtId="178" fontId="21" fillId="0" borderId="31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4" xfId="0" applyFont="1" applyBorder="1">
      <alignment vertical="center"/>
    </xf>
    <xf numFmtId="179" fontId="21" fillId="0" borderId="24" xfId="0" applyNumberFormat="1" applyFont="1" applyBorder="1">
      <alignment vertical="center"/>
    </xf>
    <xf numFmtId="0" fontId="21" fillId="0" borderId="25" xfId="0" applyFont="1" applyBorder="1">
      <alignment vertical="center"/>
    </xf>
    <xf numFmtId="178" fontId="21" fillId="0" borderId="35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17" fillId="0" borderId="36" xfId="0" applyFont="1" applyBorder="1">
      <alignment vertical="center"/>
    </xf>
    <xf numFmtId="179" fontId="21" fillId="0" borderId="35" xfId="0" quotePrefix="1" applyNumberFormat="1" applyFont="1" applyBorder="1">
      <alignment vertical="center"/>
    </xf>
    <xf numFmtId="184" fontId="21" fillId="0" borderId="35" xfId="0" applyNumberFormat="1" applyFont="1" applyBorder="1">
      <alignment vertical="center"/>
    </xf>
    <xf numFmtId="185" fontId="21" fillId="0" borderId="35" xfId="0" applyNumberFormat="1" applyFont="1" applyBorder="1">
      <alignment vertical="center"/>
    </xf>
    <xf numFmtId="179" fontId="21" fillId="0" borderId="35" xfId="0" applyNumberFormat="1" applyFont="1" applyBorder="1">
      <alignment vertical="center"/>
    </xf>
    <xf numFmtId="0" fontId="21" fillId="0" borderId="37" xfId="0" applyFont="1" applyBorder="1">
      <alignment vertical="center"/>
    </xf>
    <xf numFmtId="178" fontId="21" fillId="0" borderId="29" xfId="0" applyNumberFormat="1" applyFont="1" applyBorder="1" applyAlignment="1">
      <alignment horizontal="center" vertical="center"/>
    </xf>
    <xf numFmtId="184" fontId="21" fillId="0" borderId="32" xfId="0" applyNumberFormat="1" applyFont="1" applyBorder="1">
      <alignment vertical="center"/>
    </xf>
    <xf numFmtId="185" fontId="21" fillId="0" borderId="32" xfId="0" applyNumberFormat="1" applyFont="1" applyBorder="1">
      <alignment vertical="center"/>
    </xf>
    <xf numFmtId="0" fontId="21" fillId="0" borderId="29" xfId="0" applyFont="1" applyBorder="1" applyAlignment="1">
      <alignment horizontal="center" vertical="center"/>
    </xf>
    <xf numFmtId="179" fontId="21" fillId="0" borderId="29" xfId="0" applyNumberFormat="1" applyFont="1" applyBorder="1">
      <alignment vertical="center"/>
    </xf>
    <xf numFmtId="184" fontId="21" fillId="0" borderId="29" xfId="0" applyNumberFormat="1" applyFont="1" applyBorder="1">
      <alignment vertical="center"/>
    </xf>
    <xf numFmtId="0" fontId="21" fillId="0" borderId="36" xfId="0" applyFont="1" applyBorder="1" applyAlignment="1">
      <alignment horizontal="center" vertical="center"/>
    </xf>
    <xf numFmtId="179" fontId="21" fillId="0" borderId="36" xfId="0" applyNumberFormat="1" applyFont="1" applyBorder="1">
      <alignment vertical="center"/>
    </xf>
    <xf numFmtId="184" fontId="21" fillId="0" borderId="36" xfId="0" applyNumberFormat="1" applyFont="1" applyBorder="1">
      <alignment vertical="center"/>
    </xf>
    <xf numFmtId="0" fontId="21" fillId="0" borderId="38" xfId="0" applyFont="1" applyBorder="1">
      <alignment vertical="center"/>
    </xf>
    <xf numFmtId="0" fontId="18" fillId="4" borderId="39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32" xfId="0" applyFont="1" applyFill="1" applyBorder="1">
      <alignment vertical="center"/>
    </xf>
    <xf numFmtId="179" fontId="17" fillId="4" borderId="32" xfId="0" applyNumberFormat="1" applyFont="1" applyFill="1" applyBorder="1">
      <alignment vertical="center"/>
    </xf>
    <xf numFmtId="179" fontId="18" fillId="4" borderId="32" xfId="0" applyNumberFormat="1" applyFont="1" applyFill="1" applyBorder="1">
      <alignment vertical="center"/>
    </xf>
    <xf numFmtId="0" fontId="17" fillId="4" borderId="34" xfId="0" applyFont="1" applyFill="1" applyBorder="1">
      <alignment vertical="center"/>
    </xf>
    <xf numFmtId="186" fontId="17" fillId="0" borderId="24" xfId="0" applyNumberFormat="1" applyFont="1" applyBorder="1">
      <alignment vertical="center"/>
    </xf>
    <xf numFmtId="185" fontId="17" fillId="0" borderId="24" xfId="0" applyNumberFormat="1" applyFont="1" applyBorder="1">
      <alignment vertical="center"/>
    </xf>
    <xf numFmtId="0" fontId="18" fillId="4" borderId="24" xfId="0" applyFont="1" applyFill="1" applyBorder="1" applyAlignment="1">
      <alignment horizontal="center" vertical="center"/>
    </xf>
    <xf numFmtId="187" fontId="17" fillId="0" borderId="23" xfId="0" applyNumberFormat="1" applyFont="1" applyBorder="1" applyAlignment="1">
      <alignment horizontal="center" vertical="center"/>
    </xf>
    <xf numFmtId="0" fontId="17" fillId="5" borderId="24" xfId="0" applyFont="1" applyFill="1" applyBorder="1">
      <alignment vertical="center"/>
    </xf>
    <xf numFmtId="179" fontId="17" fillId="0" borderId="32" xfId="0" applyNumberFormat="1" applyFont="1" applyBorder="1">
      <alignment vertical="center"/>
    </xf>
    <xf numFmtId="188" fontId="17" fillId="0" borderId="32" xfId="0" applyNumberFormat="1" applyFont="1" applyBorder="1">
      <alignment vertical="center"/>
    </xf>
    <xf numFmtId="0" fontId="17" fillId="0" borderId="32" xfId="0" applyFont="1" applyBorder="1" applyAlignment="1">
      <alignment horizontal="center" vertical="center"/>
    </xf>
    <xf numFmtId="0" fontId="17" fillId="5" borderId="32" xfId="0" applyFont="1" applyFill="1" applyBorder="1">
      <alignment vertical="center"/>
    </xf>
    <xf numFmtId="0" fontId="17" fillId="0" borderId="34" xfId="0" applyFont="1" applyBorder="1">
      <alignment vertical="center"/>
    </xf>
    <xf numFmtId="0" fontId="18" fillId="4" borderId="41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7" fillId="4" borderId="29" xfId="0" applyFont="1" applyFill="1" applyBorder="1">
      <alignment vertical="center"/>
    </xf>
    <xf numFmtId="179" fontId="17" fillId="4" borderId="29" xfId="0" applyNumberFormat="1" applyFont="1" applyFill="1" applyBorder="1">
      <alignment vertical="center"/>
    </xf>
    <xf numFmtId="179" fontId="18" fillId="4" borderId="29" xfId="0" applyNumberFormat="1" applyFont="1" applyFill="1" applyBorder="1">
      <alignment vertical="center"/>
    </xf>
    <xf numFmtId="0" fontId="17" fillId="4" borderId="42" xfId="0" applyFont="1" applyFill="1" applyBorder="1">
      <alignment vertical="center"/>
    </xf>
    <xf numFmtId="178" fontId="17" fillId="0" borderId="24" xfId="0" applyNumberFormat="1" applyFont="1" applyBorder="1" applyAlignment="1">
      <alignment horizontal="center" vertical="center"/>
    </xf>
    <xf numFmtId="0" fontId="17" fillId="0" borderId="32" xfId="0" applyFont="1" applyBorder="1">
      <alignment vertical="center"/>
    </xf>
    <xf numFmtId="188" fontId="17" fillId="0" borderId="24" xfId="0" applyNumberFormat="1" applyFont="1" applyBorder="1">
      <alignment vertical="center"/>
    </xf>
    <xf numFmtId="178" fontId="17" fillId="0" borderId="32" xfId="0" applyNumberFormat="1" applyFont="1" applyBorder="1" applyAlignment="1">
      <alignment horizontal="center" vertical="center"/>
    </xf>
    <xf numFmtId="185" fontId="17" fillId="0" borderId="32" xfId="0" applyNumberFormat="1" applyFont="1" applyBorder="1">
      <alignment vertical="center"/>
    </xf>
    <xf numFmtId="0" fontId="17" fillId="0" borderId="3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4" xfId="0" applyFont="1" applyBorder="1">
      <alignment vertical="center"/>
    </xf>
    <xf numFmtId="179" fontId="22" fillId="0" borderId="24" xfId="0" applyNumberFormat="1" applyFont="1" applyBorder="1">
      <alignment vertical="center"/>
    </xf>
    <xf numFmtId="188" fontId="22" fillId="0" borderId="24" xfId="0" applyNumberFormat="1" applyFont="1" applyBorder="1">
      <alignment vertical="center"/>
    </xf>
    <xf numFmtId="185" fontId="22" fillId="0" borderId="24" xfId="0" applyNumberFormat="1" applyFont="1" applyBorder="1">
      <alignment vertical="center"/>
    </xf>
    <xf numFmtId="179" fontId="22" fillId="0" borderId="32" xfId="0" applyNumberFormat="1" applyFont="1" applyBorder="1">
      <alignment vertical="center"/>
    </xf>
    <xf numFmtId="0" fontId="22" fillId="0" borderId="25" xfId="0" applyFont="1" applyBorder="1">
      <alignment vertical="center"/>
    </xf>
    <xf numFmtId="0" fontId="17" fillId="0" borderId="23" xfId="0" applyFont="1" applyBorder="1" applyAlignment="1">
      <alignment horizontal="center" vertical="center"/>
    </xf>
    <xf numFmtId="0" fontId="19" fillId="2" borderId="40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1" xfId="0" applyFont="1" applyFill="1" applyBorder="1">
      <alignment vertical="center"/>
    </xf>
    <xf numFmtId="0" fontId="17" fillId="2" borderId="44" xfId="0" applyFont="1" applyFill="1" applyBorder="1">
      <alignment vertical="center"/>
    </xf>
    <xf numFmtId="0" fontId="17" fillId="2" borderId="0" xfId="0" applyFont="1" applyFill="1">
      <alignment vertical="center"/>
    </xf>
    <xf numFmtId="189" fontId="18" fillId="2" borderId="0" xfId="0" applyNumberFormat="1" applyFont="1" applyFill="1">
      <alignment vertical="center"/>
    </xf>
    <xf numFmtId="0" fontId="17" fillId="2" borderId="45" xfId="0" applyFont="1" applyFill="1" applyBorder="1">
      <alignment vertical="center"/>
    </xf>
    <xf numFmtId="0" fontId="18" fillId="0" borderId="46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190" fontId="18" fillId="0" borderId="47" xfId="0" applyNumberFormat="1" applyFont="1" applyBorder="1">
      <alignment vertical="center"/>
    </xf>
    <xf numFmtId="190" fontId="0" fillId="0" borderId="48" xfId="0" applyNumberFormat="1" applyBorder="1">
      <alignment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90" fontId="18" fillId="0" borderId="24" xfId="0" applyNumberFormat="1" applyFont="1" applyBorder="1">
      <alignment vertical="center"/>
    </xf>
    <xf numFmtId="190" fontId="0" fillId="0" borderId="25" xfId="0" applyNumberFormat="1" applyBorder="1">
      <alignment vertical="center"/>
    </xf>
    <xf numFmtId="190" fontId="0" fillId="0" borderId="55" xfId="0" applyNumberFormat="1" applyBorder="1">
      <alignment vertical="center"/>
    </xf>
    <xf numFmtId="190" fontId="0" fillId="0" borderId="56" xfId="0" applyNumberFormat="1" applyBorder="1">
      <alignment vertical="center"/>
    </xf>
    <xf numFmtId="190" fontId="17" fillId="0" borderId="57" xfId="0" applyNumberFormat="1" applyFont="1" applyBorder="1">
      <alignment vertical="center"/>
    </xf>
    <xf numFmtId="190" fontId="17" fillId="0" borderId="25" xfId="0" applyNumberFormat="1" applyFont="1" applyBorder="1">
      <alignment vertical="center"/>
    </xf>
    <xf numFmtId="0" fontId="18" fillId="0" borderId="58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190" fontId="18" fillId="0" borderId="35" xfId="0" applyNumberFormat="1" applyFont="1" applyBorder="1">
      <alignment vertical="center"/>
    </xf>
    <xf numFmtId="190" fontId="17" fillId="0" borderId="37" xfId="0" applyNumberFormat="1" applyFont="1" applyBorder="1">
      <alignment vertical="center"/>
    </xf>
    <xf numFmtId="0" fontId="19" fillId="2" borderId="5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89" fontId="17" fillId="2" borderId="0" xfId="0" applyNumberFormat="1" applyFont="1" applyFill="1">
      <alignment vertical="center"/>
    </xf>
    <xf numFmtId="191" fontId="1" fillId="2" borderId="0" xfId="0" applyNumberFormat="1" applyFont="1" applyFill="1" applyAlignment="1">
      <alignment horizontal="center" vertical="center"/>
    </xf>
    <xf numFmtId="189" fontId="1" fillId="2" borderId="0" xfId="0" applyNumberFormat="1" applyFont="1" applyFill="1" applyAlignment="1">
      <alignment horizontal="center" vertical="center"/>
    </xf>
    <xf numFmtId="0" fontId="19" fillId="6" borderId="59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192" fontId="17" fillId="0" borderId="0" xfId="1" applyFont="1">
      <alignment vertical="center"/>
    </xf>
    <xf numFmtId="0" fontId="16" fillId="4" borderId="5" xfId="0" applyFont="1" applyFill="1" applyBorder="1" applyAlignment="1">
      <alignment horizontal="center" vertical="center"/>
    </xf>
    <xf numFmtId="190" fontId="0" fillId="0" borderId="0" xfId="0" applyNumberFormat="1">
      <alignment vertical="center"/>
    </xf>
    <xf numFmtId="0" fontId="24" fillId="0" borderId="0" xfId="0" applyFont="1" applyAlignment="1">
      <alignment horizontal="right" vertical="center"/>
    </xf>
    <xf numFmtId="190" fontId="23" fillId="0" borderId="51" xfId="0" applyNumberFormat="1" applyFont="1" applyBorder="1" applyAlignment="1">
      <alignment horizontal="center" vertical="center"/>
    </xf>
    <xf numFmtId="190" fontId="23" fillId="0" borderId="52" xfId="0" applyNumberFormat="1" applyFont="1" applyBorder="1" applyAlignment="1">
      <alignment horizontal="center" vertical="center"/>
    </xf>
    <xf numFmtId="190" fontId="23" fillId="0" borderId="53" xfId="0" applyNumberFormat="1" applyFont="1" applyBorder="1" applyAlignment="1">
      <alignment horizontal="center" vertical="center"/>
    </xf>
    <xf numFmtId="190" fontId="23" fillId="0" borderId="54" xfId="0" applyNumberFormat="1" applyFont="1" applyBorder="1" applyAlignment="1">
      <alignment horizontal="center" vertical="center"/>
    </xf>
    <xf numFmtId="190" fontId="16" fillId="4" borderId="5" xfId="0" applyNumberFormat="1" applyFont="1" applyFill="1" applyBorder="1" applyAlignment="1">
      <alignment horizontal="center" vertical="center"/>
    </xf>
    <xf numFmtId="193" fontId="16" fillId="6" borderId="5" xfId="1" applyNumberFormat="1" applyFont="1" applyFill="1" applyBorder="1" applyAlignment="1">
      <alignment horizontal="center" vertical="center"/>
    </xf>
    <xf numFmtId="0" fontId="19" fillId="4" borderId="40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190" fontId="18" fillId="0" borderId="49" xfId="0" applyNumberFormat="1" applyFont="1" applyBorder="1" applyAlignment="1">
      <alignment horizontal="center" vertical="center"/>
    </xf>
    <xf numFmtId="190" fontId="18" fillId="0" borderId="50" xfId="0" applyNumberFormat="1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178" fontId="20" fillId="0" borderId="29" xfId="2" applyNumberFormat="1" applyFont="1" applyBorder="1" applyAlignment="1">
      <alignment horizontal="center" vertical="center" wrapText="1"/>
    </xf>
    <xf numFmtId="178" fontId="20" fillId="0" borderId="31" xfId="2" applyNumberFormat="1" applyFont="1" applyBorder="1" applyAlignment="1">
      <alignment horizontal="center" vertical="center" wrapText="1"/>
    </xf>
    <xf numFmtId="178" fontId="20" fillId="0" borderId="32" xfId="2" applyNumberFormat="1" applyFont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11" xfId="2" applyFont="1" applyFill="1" applyBorder="1" applyAlignment="1">
      <alignment horizontal="center" vertical="center"/>
    </xf>
    <xf numFmtId="0" fontId="12" fillId="3" borderId="12" xfId="2" applyFont="1" applyFill="1" applyBorder="1" applyAlignment="1">
      <alignment horizontal="center" vertical="center"/>
    </xf>
    <xf numFmtId="0" fontId="12" fillId="3" borderId="13" xfId="2" applyFont="1" applyFill="1" applyBorder="1" applyAlignment="1">
      <alignment horizontal="center" vertical="center"/>
    </xf>
    <xf numFmtId="0" fontId="15" fillId="4" borderId="20" xfId="3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10" xfId="3" xr:uid="{E2AB6CC5-4882-F841-BB77-0B4C5EEDE3E1}"/>
    <cellStyle name="표준 2 2 2" xfId="2" xr:uid="{A0839843-53E1-664D-A2A8-A7142FA2A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9B5D-FF7A-C048-9F84-2857F2D9CD24}">
  <dimension ref="B1:J79"/>
  <sheetViews>
    <sheetView tabSelected="1" topLeftCell="A22" zoomScale="193" workbookViewId="0">
      <selection activeCell="P41" sqref="P41"/>
    </sheetView>
  </sheetViews>
  <sheetFormatPr baseColWidth="10" defaultColWidth="8.83203125" defaultRowHeight="17"/>
  <cols>
    <col min="2" max="2" width="26.6640625" customWidth="1"/>
    <col min="3" max="3" width="15.83203125" customWidth="1"/>
    <col min="4" max="4" width="4" bestFit="1" customWidth="1"/>
    <col min="5" max="5" width="31.6640625" customWidth="1"/>
    <col min="6" max="6" width="11.1640625" bestFit="1" customWidth="1"/>
    <col min="7" max="7" width="9" bestFit="1" customWidth="1"/>
    <col min="8" max="8" width="8.33203125" bestFit="1" customWidth="1"/>
    <col min="9" max="9" width="11.5" bestFit="1" customWidth="1"/>
    <col min="10" max="10" width="36" bestFit="1" customWidth="1"/>
  </cols>
  <sheetData>
    <row r="1" spans="2:10" ht="18">
      <c r="J1" s="1" t="s">
        <v>0</v>
      </c>
    </row>
    <row r="2" spans="2:10">
      <c r="J2" s="2" t="s">
        <v>1</v>
      </c>
    </row>
    <row r="3" spans="2:10">
      <c r="J3" s="2" t="s">
        <v>2</v>
      </c>
    </row>
    <row r="4" spans="2:10">
      <c r="B4" s="3"/>
      <c r="C4" s="3"/>
      <c r="D4" s="3"/>
      <c r="E4" s="4"/>
      <c r="F4" s="3"/>
      <c r="G4" s="3"/>
      <c r="H4" s="3"/>
      <c r="I4" s="3"/>
      <c r="J4" s="3"/>
    </row>
    <row r="5" spans="2:10" ht="18" thickBot="1"/>
    <row r="6" spans="2:10">
      <c r="H6" s="5" t="s">
        <v>3</v>
      </c>
      <c r="I6" s="169"/>
      <c r="J6" s="170"/>
    </row>
    <row r="7" spans="2:10">
      <c r="H7" s="6" t="s">
        <v>4</v>
      </c>
      <c r="I7" s="171"/>
      <c r="J7" s="172"/>
    </row>
    <row r="8" spans="2:10" ht="18" thickBot="1">
      <c r="H8" s="7" t="s">
        <v>5</v>
      </c>
      <c r="I8" s="173"/>
      <c r="J8" s="174"/>
    </row>
    <row r="10" spans="2:10">
      <c r="B10" s="8" t="s">
        <v>6</v>
      </c>
    </row>
    <row r="11" spans="2:10">
      <c r="B11" s="8" t="s">
        <v>7</v>
      </c>
    </row>
    <row r="12" spans="2:10">
      <c r="B12" s="8" t="s">
        <v>8</v>
      </c>
    </row>
    <row r="13" spans="2:10">
      <c r="B13" s="8" t="s">
        <v>9</v>
      </c>
    </row>
    <row r="14" spans="2:10" ht="18">
      <c r="B14" s="175" t="s">
        <v>10</v>
      </c>
      <c r="C14" s="175"/>
      <c r="D14" s="175"/>
      <c r="E14" s="175"/>
      <c r="F14" s="175"/>
      <c r="G14" s="175"/>
      <c r="H14" s="175"/>
      <c r="I14" s="175"/>
      <c r="J14" s="175"/>
    </row>
    <row r="15" spans="2:10" ht="18">
      <c r="B15" s="9"/>
      <c r="C15" s="9"/>
      <c r="D15" s="9"/>
      <c r="E15" s="9"/>
      <c r="F15" s="9"/>
      <c r="G15" s="9"/>
      <c r="H15" s="9"/>
      <c r="I15" s="9"/>
      <c r="J15" s="9"/>
    </row>
    <row r="16" spans="2:10">
      <c r="B16" s="10" t="s">
        <v>11</v>
      </c>
      <c r="C16" s="176"/>
      <c r="D16" s="177"/>
      <c r="E16" s="177"/>
      <c r="F16" s="178"/>
      <c r="G16" s="11" t="s">
        <v>12</v>
      </c>
      <c r="H16" s="10" t="s">
        <v>13</v>
      </c>
      <c r="I16" s="12" t="s">
        <v>14</v>
      </c>
      <c r="J16" s="13" t="s">
        <v>15</v>
      </c>
    </row>
    <row r="17" spans="2:10">
      <c r="B17" s="14" t="s">
        <v>16</v>
      </c>
      <c r="C17" s="15"/>
      <c r="D17" s="16" t="s">
        <v>17</v>
      </c>
      <c r="E17" s="15"/>
      <c r="F17" s="17">
        <v>5</v>
      </c>
      <c r="G17" s="18">
        <v>10</v>
      </c>
      <c r="H17" s="18">
        <v>0</v>
      </c>
      <c r="I17" s="14">
        <f>G17+H17</f>
        <v>10</v>
      </c>
      <c r="J17" s="19">
        <v>5</v>
      </c>
    </row>
    <row r="19" spans="2:10">
      <c r="B19" s="20" t="s">
        <v>18</v>
      </c>
      <c r="C19" s="179" t="s">
        <v>19</v>
      </c>
      <c r="D19" s="179"/>
      <c r="E19" s="179"/>
      <c r="F19" s="22" t="s">
        <v>20</v>
      </c>
      <c r="G19" s="21" t="s">
        <v>21</v>
      </c>
      <c r="H19" s="21" t="s">
        <v>22</v>
      </c>
      <c r="I19" s="21" t="s">
        <v>23</v>
      </c>
      <c r="J19" s="23" t="s">
        <v>24</v>
      </c>
    </row>
    <row r="20" spans="2:10">
      <c r="B20" s="157" t="s">
        <v>25</v>
      </c>
      <c r="C20" s="24"/>
      <c r="D20" s="25" t="s">
        <v>26</v>
      </c>
      <c r="E20" s="26" t="s">
        <v>27</v>
      </c>
      <c r="F20" s="27">
        <v>195</v>
      </c>
      <c r="G20" s="28">
        <f>$F$17</f>
        <v>5</v>
      </c>
      <c r="H20" s="29">
        <f>$J$17</f>
        <v>5</v>
      </c>
      <c r="I20" s="27">
        <f>F20*G20*H20</f>
        <v>4875</v>
      </c>
      <c r="J20" s="30"/>
    </row>
    <row r="21" spans="2:10">
      <c r="B21" s="158"/>
      <c r="C21" s="24"/>
      <c r="D21" s="25"/>
      <c r="E21" s="26"/>
      <c r="F21" s="27"/>
      <c r="G21" s="28"/>
      <c r="H21" s="29"/>
      <c r="I21" s="27"/>
      <c r="J21" s="31"/>
    </row>
    <row r="22" spans="2:10">
      <c r="B22" s="159"/>
      <c r="C22" s="32" t="s">
        <v>28</v>
      </c>
      <c r="D22" s="33"/>
      <c r="E22" s="34"/>
      <c r="F22" s="35"/>
      <c r="G22" s="34"/>
      <c r="H22" s="34"/>
      <c r="I22" s="36">
        <f>SUM(I20:I21)</f>
        <v>4875</v>
      </c>
      <c r="J22" s="37"/>
    </row>
    <row r="23" spans="2:10">
      <c r="B23" s="160" t="s">
        <v>29</v>
      </c>
      <c r="C23" s="163" t="s">
        <v>30</v>
      </c>
      <c r="D23" s="25" t="s">
        <v>31</v>
      </c>
      <c r="E23" s="26" t="s">
        <v>32</v>
      </c>
      <c r="F23" s="27">
        <v>950</v>
      </c>
      <c r="G23" s="38">
        <v>1</v>
      </c>
      <c r="H23" s="39">
        <v>1</v>
      </c>
      <c r="I23" s="27">
        <f t="shared" ref="I23:I28" si="0">F23*G23*H23</f>
        <v>950</v>
      </c>
      <c r="J23" s="31"/>
    </row>
    <row r="24" spans="2:10">
      <c r="B24" s="161"/>
      <c r="C24" s="164"/>
      <c r="D24" s="25" t="s">
        <v>33</v>
      </c>
      <c r="E24" s="26" t="s">
        <v>34</v>
      </c>
      <c r="F24" s="27">
        <v>950</v>
      </c>
      <c r="G24" s="38">
        <v>1</v>
      </c>
      <c r="H24" s="39">
        <v>1</v>
      </c>
      <c r="I24" s="27">
        <f t="shared" si="0"/>
        <v>950</v>
      </c>
      <c r="J24" s="31"/>
    </row>
    <row r="25" spans="2:10">
      <c r="B25" s="161"/>
      <c r="C25" s="164"/>
      <c r="D25" s="25" t="s">
        <v>35</v>
      </c>
      <c r="E25" s="26" t="s">
        <v>36</v>
      </c>
      <c r="F25" s="27">
        <v>950</v>
      </c>
      <c r="G25" s="38">
        <v>1</v>
      </c>
      <c r="H25" s="39">
        <v>1</v>
      </c>
      <c r="I25" s="27">
        <f t="shared" si="0"/>
        <v>950</v>
      </c>
      <c r="J25" s="31"/>
    </row>
    <row r="26" spans="2:10">
      <c r="B26" s="161"/>
      <c r="C26" s="164"/>
      <c r="D26" s="25" t="s">
        <v>37</v>
      </c>
      <c r="E26" s="26" t="s">
        <v>38</v>
      </c>
      <c r="F26" s="27">
        <v>650</v>
      </c>
      <c r="G26" s="38">
        <v>1</v>
      </c>
      <c r="H26" s="39">
        <v>1</v>
      </c>
      <c r="I26" s="27">
        <f t="shared" si="0"/>
        <v>650</v>
      </c>
      <c r="J26" s="31"/>
    </row>
    <row r="27" spans="2:10">
      <c r="B27" s="161"/>
      <c r="C27" s="164"/>
      <c r="D27" s="25" t="s">
        <v>39</v>
      </c>
      <c r="E27" s="26" t="s">
        <v>38</v>
      </c>
      <c r="F27" s="27">
        <v>650</v>
      </c>
      <c r="G27" s="38">
        <v>1</v>
      </c>
      <c r="H27" s="39">
        <v>1</v>
      </c>
      <c r="I27" s="27">
        <f t="shared" si="0"/>
        <v>650</v>
      </c>
      <c r="J27" s="31"/>
    </row>
    <row r="28" spans="2:10">
      <c r="B28" s="161"/>
      <c r="C28" s="165"/>
      <c r="D28" s="25" t="s">
        <v>40</v>
      </c>
      <c r="E28" s="26" t="s">
        <v>41</v>
      </c>
      <c r="F28" s="27">
        <v>270</v>
      </c>
      <c r="G28" s="38">
        <v>1</v>
      </c>
      <c r="H28" s="39">
        <v>1</v>
      </c>
      <c r="I28" s="27">
        <f t="shared" si="0"/>
        <v>270</v>
      </c>
      <c r="J28" s="31"/>
    </row>
    <row r="29" spans="2:10">
      <c r="B29" s="162"/>
      <c r="C29" s="32" t="s">
        <v>28</v>
      </c>
      <c r="D29" s="33"/>
      <c r="E29" s="34"/>
      <c r="F29" s="35"/>
      <c r="G29" s="34"/>
      <c r="H29" s="34"/>
      <c r="I29" s="36">
        <f>SUM(I23:I28)</f>
        <v>4420</v>
      </c>
      <c r="J29" s="37"/>
    </row>
    <row r="30" spans="2:10">
      <c r="B30" s="166" t="s">
        <v>42</v>
      </c>
      <c r="C30" s="40" t="s">
        <v>43</v>
      </c>
      <c r="D30" s="41" t="s">
        <v>44</v>
      </c>
      <c r="E30" s="42" t="s">
        <v>45</v>
      </c>
      <c r="F30" s="43">
        <v>0</v>
      </c>
      <c r="G30" s="44">
        <v>1</v>
      </c>
      <c r="H30" s="45">
        <f>$I$17</f>
        <v>10</v>
      </c>
      <c r="I30" s="43">
        <f t="shared" ref="I30:I45" si="1">F30*G30*H30</f>
        <v>0</v>
      </c>
      <c r="J30" s="46"/>
    </row>
    <row r="31" spans="2:10">
      <c r="B31" s="167"/>
      <c r="C31" s="47"/>
      <c r="D31" s="48" t="s">
        <v>46</v>
      </c>
      <c r="E31" s="49" t="s">
        <v>47</v>
      </c>
      <c r="F31" s="50">
        <v>30</v>
      </c>
      <c r="G31" s="44">
        <v>1</v>
      </c>
      <c r="H31" s="45">
        <f>$I$17</f>
        <v>10</v>
      </c>
      <c r="I31" s="50">
        <f t="shared" si="1"/>
        <v>300</v>
      </c>
      <c r="J31" s="51"/>
    </row>
    <row r="32" spans="2:10">
      <c r="B32" s="167"/>
      <c r="C32" s="52"/>
      <c r="D32" s="53" t="s">
        <v>48</v>
      </c>
      <c r="E32" s="54" t="s">
        <v>49</v>
      </c>
      <c r="F32" s="55">
        <v>25</v>
      </c>
      <c r="G32" s="56">
        <v>1</v>
      </c>
      <c r="H32" s="57">
        <f t="shared" ref="H32:H45" si="2">$I$17</f>
        <v>10</v>
      </c>
      <c r="I32" s="58">
        <f t="shared" si="1"/>
        <v>250</v>
      </c>
      <c r="J32" s="59"/>
    </row>
    <row r="33" spans="2:10">
      <c r="B33" s="167"/>
      <c r="C33" s="60" t="s">
        <v>50</v>
      </c>
      <c r="D33" s="41" t="s">
        <v>44</v>
      </c>
      <c r="E33" s="42" t="s">
        <v>51</v>
      </c>
      <c r="F33" s="43">
        <v>0</v>
      </c>
      <c r="G33" s="61">
        <v>1</v>
      </c>
      <c r="H33" s="62">
        <f t="shared" si="2"/>
        <v>10</v>
      </c>
      <c r="I33" s="43">
        <f t="shared" si="1"/>
        <v>0</v>
      </c>
      <c r="J33" s="46" t="s">
        <v>52</v>
      </c>
    </row>
    <row r="34" spans="2:10">
      <c r="B34" s="167"/>
      <c r="C34" s="47" t="s">
        <v>34</v>
      </c>
      <c r="D34" s="63" t="s">
        <v>46</v>
      </c>
      <c r="E34" s="49" t="s">
        <v>47</v>
      </c>
      <c r="F34" s="64">
        <v>30</v>
      </c>
      <c r="G34" s="65">
        <v>1</v>
      </c>
      <c r="H34" s="45">
        <f t="shared" si="2"/>
        <v>10</v>
      </c>
      <c r="I34" s="64">
        <f t="shared" si="1"/>
        <v>300</v>
      </c>
      <c r="J34" s="51"/>
    </row>
    <row r="35" spans="2:10">
      <c r="B35" s="167"/>
      <c r="C35" s="52"/>
      <c r="D35" s="66" t="s">
        <v>48</v>
      </c>
      <c r="E35" s="54" t="s">
        <v>49</v>
      </c>
      <c r="F35" s="67">
        <v>25</v>
      </c>
      <c r="G35" s="68">
        <v>1</v>
      </c>
      <c r="H35" s="57">
        <f t="shared" si="2"/>
        <v>10</v>
      </c>
      <c r="I35" s="67">
        <f t="shared" si="1"/>
        <v>250</v>
      </c>
      <c r="J35" s="69"/>
    </row>
    <row r="36" spans="2:10">
      <c r="B36" s="167"/>
      <c r="C36" s="40" t="s">
        <v>53</v>
      </c>
      <c r="D36" s="41" t="s">
        <v>44</v>
      </c>
      <c r="E36" s="42" t="s">
        <v>51</v>
      </c>
      <c r="F36" s="43">
        <v>0</v>
      </c>
      <c r="G36" s="61">
        <v>1</v>
      </c>
      <c r="H36" s="62">
        <f t="shared" si="2"/>
        <v>10</v>
      </c>
      <c r="I36" s="43">
        <f t="shared" si="1"/>
        <v>0</v>
      </c>
      <c r="J36" s="46" t="s">
        <v>52</v>
      </c>
    </row>
    <row r="37" spans="2:10">
      <c r="B37" s="167"/>
      <c r="C37" s="47" t="s">
        <v>54</v>
      </c>
      <c r="D37" s="48" t="s">
        <v>46</v>
      </c>
      <c r="E37" s="49" t="s">
        <v>47</v>
      </c>
      <c r="F37" s="50">
        <v>40</v>
      </c>
      <c r="G37" s="44">
        <v>1</v>
      </c>
      <c r="H37" s="45">
        <f t="shared" si="2"/>
        <v>10</v>
      </c>
      <c r="I37" s="50">
        <f t="shared" si="1"/>
        <v>400</v>
      </c>
      <c r="J37" s="51"/>
    </row>
    <row r="38" spans="2:10">
      <c r="B38" s="167"/>
      <c r="C38" s="52"/>
      <c r="D38" s="53" t="s">
        <v>48</v>
      </c>
      <c r="E38" s="54" t="s">
        <v>55</v>
      </c>
      <c r="F38" s="58">
        <v>45</v>
      </c>
      <c r="G38" s="56">
        <v>1</v>
      </c>
      <c r="H38" s="57">
        <f t="shared" si="2"/>
        <v>10</v>
      </c>
      <c r="I38" s="58">
        <f t="shared" si="1"/>
        <v>450</v>
      </c>
      <c r="J38" s="59"/>
    </row>
    <row r="39" spans="2:10">
      <c r="B39" s="167"/>
      <c r="C39" s="60" t="s">
        <v>56</v>
      </c>
      <c r="D39" s="41" t="s">
        <v>44</v>
      </c>
      <c r="E39" s="42" t="s">
        <v>51</v>
      </c>
      <c r="F39" s="43">
        <v>0</v>
      </c>
      <c r="G39" s="61">
        <v>1</v>
      </c>
      <c r="H39" s="62">
        <f t="shared" si="2"/>
        <v>10</v>
      </c>
      <c r="I39" s="43">
        <f t="shared" si="1"/>
        <v>0</v>
      </c>
      <c r="J39" s="46" t="s">
        <v>52</v>
      </c>
    </row>
    <row r="40" spans="2:10">
      <c r="B40" s="167"/>
      <c r="C40" s="47" t="s">
        <v>38</v>
      </c>
      <c r="D40" s="63" t="s">
        <v>46</v>
      </c>
      <c r="E40" s="49" t="s">
        <v>47</v>
      </c>
      <c r="F40" s="64">
        <v>30</v>
      </c>
      <c r="G40" s="65">
        <v>1</v>
      </c>
      <c r="H40" s="45">
        <f t="shared" si="2"/>
        <v>10</v>
      </c>
      <c r="I40" s="64">
        <f t="shared" si="1"/>
        <v>300</v>
      </c>
      <c r="J40" s="51"/>
    </row>
    <row r="41" spans="2:10">
      <c r="B41" s="167"/>
      <c r="C41" s="52"/>
      <c r="D41" s="66" t="s">
        <v>48</v>
      </c>
      <c r="E41" s="54" t="s">
        <v>57</v>
      </c>
      <c r="F41" s="67">
        <v>70</v>
      </c>
      <c r="G41" s="68">
        <v>1</v>
      </c>
      <c r="H41" s="57">
        <f t="shared" si="2"/>
        <v>10</v>
      </c>
      <c r="I41" s="67">
        <f t="shared" si="1"/>
        <v>700</v>
      </c>
      <c r="J41" s="69"/>
    </row>
    <row r="42" spans="2:10">
      <c r="B42" s="167"/>
      <c r="C42" s="60" t="s">
        <v>58</v>
      </c>
      <c r="D42" s="41" t="s">
        <v>44</v>
      </c>
      <c r="E42" s="42" t="s">
        <v>51</v>
      </c>
      <c r="F42" s="43">
        <v>0</v>
      </c>
      <c r="G42" s="61">
        <v>1</v>
      </c>
      <c r="H42" s="62">
        <f t="shared" si="2"/>
        <v>10</v>
      </c>
      <c r="I42" s="43">
        <f t="shared" si="1"/>
        <v>0</v>
      </c>
      <c r="J42" s="46" t="s">
        <v>52</v>
      </c>
    </row>
    <row r="43" spans="2:10">
      <c r="B43" s="167"/>
      <c r="C43" s="47" t="s">
        <v>38</v>
      </c>
      <c r="D43" s="63" t="s">
        <v>46</v>
      </c>
      <c r="E43" s="49" t="s">
        <v>47</v>
      </c>
      <c r="F43" s="64">
        <v>30</v>
      </c>
      <c r="G43" s="65">
        <v>1</v>
      </c>
      <c r="H43" s="45">
        <f t="shared" si="2"/>
        <v>10</v>
      </c>
      <c r="I43" s="64">
        <f t="shared" si="1"/>
        <v>300</v>
      </c>
      <c r="J43" s="51"/>
    </row>
    <row r="44" spans="2:10">
      <c r="B44" s="167"/>
      <c r="C44" s="52"/>
      <c r="D44" s="66" t="s">
        <v>48</v>
      </c>
      <c r="E44" s="54" t="s">
        <v>49</v>
      </c>
      <c r="F44" s="67">
        <v>25</v>
      </c>
      <c r="G44" s="68">
        <v>1</v>
      </c>
      <c r="H44" s="57">
        <f t="shared" si="2"/>
        <v>10</v>
      </c>
      <c r="I44" s="67">
        <f t="shared" si="1"/>
        <v>250</v>
      </c>
      <c r="J44" s="69"/>
    </row>
    <row r="45" spans="2:10">
      <c r="B45" s="167"/>
      <c r="C45" s="60" t="s">
        <v>59</v>
      </c>
      <c r="D45" s="41" t="s">
        <v>44</v>
      </c>
      <c r="E45" s="42" t="s">
        <v>45</v>
      </c>
      <c r="F45" s="43">
        <v>0</v>
      </c>
      <c r="G45" s="61">
        <v>1</v>
      </c>
      <c r="H45" s="62">
        <f t="shared" si="2"/>
        <v>10</v>
      </c>
      <c r="I45" s="43">
        <f t="shared" si="1"/>
        <v>0</v>
      </c>
      <c r="J45" s="46"/>
    </row>
    <row r="46" spans="2:10">
      <c r="B46" s="168"/>
      <c r="C46" s="70" t="s">
        <v>28</v>
      </c>
      <c r="D46" s="71"/>
      <c r="E46" s="72"/>
      <c r="F46" s="73"/>
      <c r="G46" s="72"/>
      <c r="H46" s="72"/>
      <c r="I46" s="74">
        <f>SUM(I30:I45)</f>
        <v>3500</v>
      </c>
      <c r="J46" s="75"/>
    </row>
    <row r="47" spans="2:10">
      <c r="B47" s="149" t="s">
        <v>60</v>
      </c>
      <c r="C47" s="25"/>
      <c r="D47" s="25" t="s">
        <v>26</v>
      </c>
      <c r="E47" s="26" t="s">
        <v>61</v>
      </c>
      <c r="F47" s="27">
        <v>250</v>
      </c>
      <c r="G47" s="76">
        <v>5.5</v>
      </c>
      <c r="H47" s="77">
        <v>1</v>
      </c>
      <c r="I47" s="27">
        <f>F47*G47*H47</f>
        <v>1375</v>
      </c>
      <c r="J47" s="31"/>
    </row>
    <row r="48" spans="2:10">
      <c r="B48" s="149"/>
      <c r="C48" s="25"/>
      <c r="D48" s="25" t="s">
        <v>26</v>
      </c>
      <c r="E48" s="26" t="s">
        <v>62</v>
      </c>
      <c r="F48" s="27">
        <v>100</v>
      </c>
      <c r="G48" s="76">
        <v>5.5</v>
      </c>
      <c r="H48" s="77">
        <v>1</v>
      </c>
      <c r="I48" s="27">
        <f>F48*G48*H48</f>
        <v>550</v>
      </c>
      <c r="J48" s="31"/>
    </row>
    <row r="49" spans="2:10">
      <c r="B49" s="149"/>
      <c r="C49" s="25"/>
      <c r="D49" s="25"/>
      <c r="E49" s="26"/>
      <c r="F49" s="27"/>
      <c r="G49" s="76"/>
      <c r="H49" s="77"/>
      <c r="I49" s="27"/>
      <c r="J49" s="31"/>
    </row>
    <row r="50" spans="2:10">
      <c r="B50" s="149"/>
      <c r="C50" s="25"/>
      <c r="D50" s="25"/>
      <c r="E50" s="26"/>
      <c r="F50" s="27"/>
      <c r="G50" s="76"/>
      <c r="H50" s="77"/>
      <c r="I50" s="27"/>
      <c r="J50" s="31"/>
    </row>
    <row r="51" spans="2:10">
      <c r="B51" s="149"/>
      <c r="C51" s="78" t="s">
        <v>28</v>
      </c>
      <c r="D51" s="33"/>
      <c r="E51" s="34"/>
      <c r="F51" s="35"/>
      <c r="G51" s="34"/>
      <c r="H51" s="34"/>
      <c r="I51" s="36">
        <f>SUM(I47:I50)</f>
        <v>1925</v>
      </c>
      <c r="J51" s="37"/>
    </row>
    <row r="52" spans="2:10">
      <c r="B52" s="166" t="s">
        <v>63</v>
      </c>
      <c r="C52" s="79"/>
      <c r="D52" s="25" t="s">
        <v>64</v>
      </c>
      <c r="E52" s="80" t="s">
        <v>65</v>
      </c>
      <c r="F52" s="81">
        <v>65</v>
      </c>
      <c r="G52" s="82">
        <v>1</v>
      </c>
      <c r="H52" s="45">
        <f t="shared" ref="H52" si="3">$I$17</f>
        <v>10</v>
      </c>
      <c r="I52" s="81">
        <f>F52*G52*H52</f>
        <v>650</v>
      </c>
      <c r="J52" s="31"/>
    </row>
    <row r="53" spans="2:10">
      <c r="B53" s="167"/>
      <c r="C53" s="24"/>
      <c r="D53" s="83" t="s">
        <v>26</v>
      </c>
      <c r="E53" s="84" t="s">
        <v>66</v>
      </c>
      <c r="F53" s="81">
        <v>380</v>
      </c>
      <c r="G53" s="82">
        <v>1</v>
      </c>
      <c r="H53" s="45">
        <v>1</v>
      </c>
      <c r="I53" s="81">
        <f>F53*G53*H53</f>
        <v>380</v>
      </c>
      <c r="J53" s="85" t="s">
        <v>67</v>
      </c>
    </row>
    <row r="54" spans="2:10">
      <c r="B54" s="167"/>
      <c r="C54" s="24"/>
      <c r="D54" s="83"/>
      <c r="E54" s="84"/>
      <c r="F54" s="81"/>
      <c r="G54" s="82"/>
      <c r="H54" s="45"/>
      <c r="I54" s="81"/>
      <c r="J54" s="85"/>
    </row>
    <row r="55" spans="2:10">
      <c r="B55" s="168"/>
      <c r="C55" s="86" t="s">
        <v>28</v>
      </c>
      <c r="D55" s="87"/>
      <c r="E55" s="88"/>
      <c r="F55" s="89"/>
      <c r="G55" s="88"/>
      <c r="H55" s="88"/>
      <c r="I55" s="90">
        <f>SUM(I52:I54)</f>
        <v>1030</v>
      </c>
      <c r="J55" s="91"/>
    </row>
    <row r="56" spans="2:10">
      <c r="B56" s="149" t="s">
        <v>68</v>
      </c>
      <c r="C56" s="92"/>
      <c r="D56" s="83"/>
      <c r="E56" s="93"/>
      <c r="F56" s="27"/>
      <c r="G56" s="94"/>
      <c r="H56" s="77"/>
      <c r="I56" s="81"/>
      <c r="J56" s="31"/>
    </row>
    <row r="57" spans="2:10">
      <c r="B57" s="149"/>
      <c r="C57" s="95"/>
      <c r="D57" s="83"/>
      <c r="E57" s="93"/>
      <c r="F57" s="81"/>
      <c r="G57" s="82"/>
      <c r="H57" s="96"/>
      <c r="I57" s="27"/>
      <c r="J57" s="85"/>
    </row>
    <row r="58" spans="2:10">
      <c r="B58" s="149"/>
      <c r="C58" s="92"/>
      <c r="D58" s="25"/>
      <c r="E58" s="26"/>
      <c r="F58" s="27"/>
      <c r="G58" s="94"/>
      <c r="H58" s="26"/>
      <c r="I58" s="27"/>
      <c r="J58" s="31"/>
    </row>
    <row r="59" spans="2:10">
      <c r="B59" s="149"/>
      <c r="C59" s="25"/>
      <c r="D59" s="25"/>
      <c r="E59" s="26"/>
      <c r="F59" s="27"/>
      <c r="G59" s="94"/>
      <c r="H59" s="26"/>
      <c r="I59" s="27"/>
      <c r="J59" s="31"/>
    </row>
    <row r="60" spans="2:10">
      <c r="B60" s="149"/>
      <c r="C60" s="78" t="s">
        <v>28</v>
      </c>
      <c r="D60" s="33"/>
      <c r="E60" s="34"/>
      <c r="F60" s="35"/>
      <c r="G60" s="34"/>
      <c r="H60" s="34"/>
      <c r="I60" s="36">
        <f>SUM(I56:I59)</f>
        <v>0</v>
      </c>
      <c r="J60" s="37"/>
    </row>
    <row r="61" spans="2:10">
      <c r="B61" s="149" t="s">
        <v>69</v>
      </c>
      <c r="C61" s="97"/>
      <c r="D61" s="83"/>
      <c r="E61" s="93" t="s">
        <v>70</v>
      </c>
      <c r="F61" s="81">
        <v>2000</v>
      </c>
      <c r="G61" s="82">
        <v>1</v>
      </c>
      <c r="H61" s="45">
        <v>1</v>
      </c>
      <c r="I61" s="81">
        <f>F61*G61*H61</f>
        <v>2000</v>
      </c>
      <c r="J61" s="31"/>
    </row>
    <row r="62" spans="2:10">
      <c r="B62" s="149"/>
      <c r="C62" s="97"/>
      <c r="D62" s="83"/>
      <c r="E62" s="93" t="s">
        <v>71</v>
      </c>
      <c r="F62" s="81">
        <v>900</v>
      </c>
      <c r="G62" s="82">
        <v>1</v>
      </c>
      <c r="H62" s="45">
        <v>1</v>
      </c>
      <c r="I62" s="81">
        <f>F62*G62*H62</f>
        <v>900</v>
      </c>
      <c r="J62" s="85"/>
    </row>
    <row r="63" spans="2:10">
      <c r="B63" s="149"/>
      <c r="C63" s="98"/>
      <c r="D63" s="99"/>
      <c r="E63" s="100" t="s">
        <v>72</v>
      </c>
      <c r="F63" s="101">
        <v>450</v>
      </c>
      <c r="G63" s="102">
        <v>1</v>
      </c>
      <c r="H63" s="103">
        <v>2</v>
      </c>
      <c r="I63" s="104"/>
      <c r="J63" s="105" t="s">
        <v>73</v>
      </c>
    </row>
    <row r="64" spans="2:10">
      <c r="B64" s="149"/>
      <c r="C64" s="106"/>
      <c r="D64" s="25"/>
      <c r="E64" s="26"/>
      <c r="F64" s="27"/>
      <c r="G64" s="94"/>
      <c r="H64" s="26"/>
      <c r="I64" s="81"/>
      <c r="J64" s="31"/>
    </row>
    <row r="65" spans="2:10">
      <c r="B65" s="149"/>
      <c r="C65" s="86" t="s">
        <v>28</v>
      </c>
      <c r="D65" s="87"/>
      <c r="E65" s="88"/>
      <c r="F65" s="89"/>
      <c r="G65" s="88"/>
      <c r="H65" s="88"/>
      <c r="I65" s="90">
        <f>SUM(I61:I64)</f>
        <v>2900</v>
      </c>
      <c r="J65" s="91"/>
    </row>
    <row r="66" spans="2:10">
      <c r="B66" s="107"/>
      <c r="C66" s="108"/>
      <c r="D66" s="109"/>
      <c r="E66" s="110"/>
      <c r="F66" s="111"/>
      <c r="G66" s="112"/>
      <c r="H66" s="112"/>
      <c r="I66" s="113"/>
      <c r="J66" s="114"/>
    </row>
    <row r="67" spans="2:10">
      <c r="B67" s="149" t="s">
        <v>23</v>
      </c>
      <c r="C67" s="115" t="s">
        <v>25</v>
      </c>
      <c r="D67" s="116"/>
      <c r="E67" s="117">
        <f>I22</f>
        <v>4875</v>
      </c>
      <c r="F67" s="118"/>
      <c r="G67" s="151" t="s">
        <v>74</v>
      </c>
      <c r="H67" s="152"/>
      <c r="I67" s="151" t="s">
        <v>75</v>
      </c>
      <c r="J67" s="152"/>
    </row>
    <row r="68" spans="2:10">
      <c r="B68" s="149"/>
      <c r="C68" s="119" t="s">
        <v>76</v>
      </c>
      <c r="D68" s="120"/>
      <c r="E68" s="121">
        <f>I29</f>
        <v>4420</v>
      </c>
      <c r="F68" s="122"/>
      <c r="G68" s="143">
        <f>SUM(E67:E73)</f>
        <v>18650</v>
      </c>
      <c r="H68" s="144"/>
      <c r="I68" s="153">
        <f>G17</f>
        <v>10</v>
      </c>
      <c r="J68" s="154"/>
    </row>
    <row r="69" spans="2:10">
      <c r="B69" s="149"/>
      <c r="C69" s="119" t="s">
        <v>42</v>
      </c>
      <c r="D69" s="120"/>
      <c r="E69" s="121">
        <f>I46</f>
        <v>3500</v>
      </c>
      <c r="F69" s="122"/>
      <c r="G69" s="145"/>
      <c r="H69" s="146"/>
      <c r="I69" s="155"/>
      <c r="J69" s="156"/>
    </row>
    <row r="70" spans="2:10">
      <c r="B70" s="149"/>
      <c r="C70" s="119" t="s">
        <v>60</v>
      </c>
      <c r="D70" s="120"/>
      <c r="E70" s="121">
        <f>I51</f>
        <v>1925</v>
      </c>
      <c r="F70" s="122"/>
      <c r="G70" s="123"/>
      <c r="H70" s="124"/>
      <c r="I70" s="124"/>
      <c r="J70" s="125"/>
    </row>
    <row r="71" spans="2:10">
      <c r="B71" s="149"/>
      <c r="C71" s="119" t="s">
        <v>63</v>
      </c>
      <c r="D71" s="120"/>
      <c r="E71" s="121">
        <f>I55</f>
        <v>1030</v>
      </c>
      <c r="F71" s="122"/>
      <c r="G71" s="151" t="s">
        <v>77</v>
      </c>
      <c r="H71" s="152"/>
      <c r="I71" s="151" t="s">
        <v>78</v>
      </c>
      <c r="J71" s="152"/>
    </row>
    <row r="72" spans="2:10">
      <c r="B72" s="149"/>
      <c r="C72" s="119" t="s">
        <v>68</v>
      </c>
      <c r="D72" s="120"/>
      <c r="E72" s="121">
        <f>I60</f>
        <v>0</v>
      </c>
      <c r="F72" s="126"/>
      <c r="G72" s="143">
        <f>G68/I68</f>
        <v>1865</v>
      </c>
      <c r="H72" s="144"/>
      <c r="I72" s="143">
        <v>-250</v>
      </c>
      <c r="J72" s="144"/>
    </row>
    <row r="73" spans="2:10">
      <c r="B73" s="150"/>
      <c r="C73" s="127" t="s">
        <v>69</v>
      </c>
      <c r="D73" s="128"/>
      <c r="E73" s="129">
        <f>I65</f>
        <v>2900</v>
      </c>
      <c r="F73" s="130"/>
      <c r="G73" s="145"/>
      <c r="H73" s="146"/>
      <c r="I73" s="145"/>
      <c r="J73" s="146"/>
    </row>
    <row r="74" spans="2:10" ht="18">
      <c r="B74" s="131"/>
      <c r="C74" s="132"/>
      <c r="D74" s="132"/>
      <c r="E74" s="133"/>
      <c r="F74" s="112"/>
      <c r="G74" s="134"/>
      <c r="H74" s="134"/>
      <c r="I74" s="135" t="s">
        <v>79</v>
      </c>
      <c r="J74" s="135"/>
    </row>
    <row r="75" spans="2:10">
      <c r="B75" s="136" t="s">
        <v>80</v>
      </c>
      <c r="C75" s="137"/>
      <c r="D75" s="137"/>
      <c r="E75" s="137"/>
      <c r="F75" s="137"/>
      <c r="G75" s="137"/>
      <c r="H75" s="137"/>
      <c r="I75" s="138" t="s">
        <v>81</v>
      </c>
      <c r="J75" s="139">
        <v>910</v>
      </c>
    </row>
    <row r="76" spans="2:10">
      <c r="B76" s="140" t="s">
        <v>82</v>
      </c>
      <c r="C76" s="147">
        <f>I68*I72</f>
        <v>-2500</v>
      </c>
      <c r="D76" s="147"/>
      <c r="E76" s="147"/>
      <c r="F76" s="147"/>
      <c r="G76" s="148">
        <f>C76*J75</f>
        <v>-2275000</v>
      </c>
      <c r="H76" s="148"/>
      <c r="I76" s="148"/>
      <c r="J76" s="148"/>
    </row>
    <row r="77" spans="2:10">
      <c r="B77" s="140" t="s">
        <v>83</v>
      </c>
      <c r="C77" s="147">
        <f>G72+I72</f>
        <v>1615</v>
      </c>
      <c r="D77" s="147"/>
      <c r="E77" s="147"/>
      <c r="F77" s="147"/>
      <c r="G77" s="148">
        <f>C77*J75</f>
        <v>1469650</v>
      </c>
      <c r="H77" s="148"/>
      <c r="I77" s="148"/>
      <c r="J77" s="148"/>
    </row>
    <row r="78" spans="2:10">
      <c r="C78" s="141"/>
      <c r="J78" s="142" t="s">
        <v>84</v>
      </c>
    </row>
    <row r="79" spans="2:10">
      <c r="E79" s="141"/>
    </row>
  </sheetData>
  <mergeCells count="27">
    <mergeCell ref="B52:B55"/>
    <mergeCell ref="I6:J6"/>
    <mergeCell ref="I7:J7"/>
    <mergeCell ref="I8:J8"/>
    <mergeCell ref="B14:J14"/>
    <mergeCell ref="C16:F16"/>
    <mergeCell ref="C19:E19"/>
    <mergeCell ref="B20:B22"/>
    <mergeCell ref="B23:B29"/>
    <mergeCell ref="C23:C28"/>
    <mergeCell ref="B30:B46"/>
    <mergeCell ref="B47:B51"/>
    <mergeCell ref="B56:B60"/>
    <mergeCell ref="B61:B65"/>
    <mergeCell ref="B67:B73"/>
    <mergeCell ref="G67:H67"/>
    <mergeCell ref="I67:J67"/>
    <mergeCell ref="G68:H69"/>
    <mergeCell ref="I68:J69"/>
    <mergeCell ref="G71:H71"/>
    <mergeCell ref="I71:J71"/>
    <mergeCell ref="G72:H73"/>
    <mergeCell ref="I72:J73"/>
    <mergeCell ref="C76:F76"/>
    <mergeCell ref="G76:J76"/>
    <mergeCell ref="C77:F77"/>
    <mergeCell ref="G77:J7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남태 시드니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김윤정C</dc:creator>
  <cp:lastModifiedBy>김윤정C</cp:lastModifiedBy>
  <dcterms:created xsi:type="dcterms:W3CDTF">2025-11-21T02:25:20Z</dcterms:created>
  <dcterms:modified xsi:type="dcterms:W3CDTF">2025-11-21T06:09:14Z</dcterms:modified>
</cp:coreProperties>
</file>