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hanatour0-my.sharepoint.com/personal/eric_hanatour_com/Documents/바탕 화면/싱가포르   쿠알라 견적 블랙다운/"/>
    </mc:Choice>
  </mc:AlternateContent>
  <xr:revisionPtr revIDLastSave="0" documentId="8_{DAE527FA-74B1-4120-B402-5C7703958716}" xr6:coauthVersionLast="47" xr6:coauthVersionMax="47" xr10:uidLastSave="{00000000-0000-0000-0000-000000000000}"/>
  <bookViews>
    <workbookView xWindow="57480" yWindow="7995" windowWidth="29040" windowHeight="15840" xr2:uid="{00000000-000D-0000-FFFF-FFFF00000000}"/>
  </bookViews>
  <sheets>
    <sheet name="세부내역서" sheetId="12" r:id="rId1"/>
    <sheet name="일정표 " sheetId="10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2" l="1"/>
  <c r="H36" i="12" l="1"/>
  <c r="H35" i="12"/>
  <c r="H34" i="12"/>
  <c r="H33" i="12"/>
  <c r="H32" i="12"/>
  <c r="H31" i="12"/>
  <c r="H30" i="12"/>
  <c r="H29" i="12"/>
  <c r="H28" i="12"/>
  <c r="H26" i="12"/>
  <c r="H25" i="12"/>
  <c r="H24" i="12"/>
  <c r="H23" i="12"/>
  <c r="H22" i="12"/>
  <c r="H21" i="12"/>
  <c r="H20" i="12"/>
  <c r="H19" i="12"/>
  <c r="H18" i="12"/>
  <c r="H17" i="12"/>
  <c r="H16" i="12"/>
  <c r="H15" i="12"/>
  <c r="H14" i="12"/>
  <c r="H37" i="12" l="1"/>
  <c r="H38" i="12" s="1"/>
  <c r="H40" i="12" s="1"/>
  <c r="D8" i="12" l="1"/>
  <c r="D10" i="12" s="1"/>
</calcChain>
</file>

<file path=xl/sharedStrings.xml><?xml version="1.0" encoding="utf-8"?>
<sst xmlns="http://schemas.openxmlformats.org/spreadsheetml/2006/main" count="216" uniqueCount="186">
  <si>
    <t>대분류</t>
    <phoneticPr fontId="1" type="noConversion"/>
  </si>
  <si>
    <t>소분류</t>
    <phoneticPr fontId="1" type="noConversion"/>
  </si>
  <si>
    <t>중분류</t>
    <phoneticPr fontId="1" type="noConversion"/>
  </si>
  <si>
    <t>식음료</t>
    <phoneticPr fontId="1" type="noConversion"/>
  </si>
  <si>
    <t>차량비</t>
    <phoneticPr fontId="1" type="noConversion"/>
  </si>
  <si>
    <t>호텔</t>
    <phoneticPr fontId="1" type="noConversion"/>
  </si>
  <si>
    <t>수량</t>
    <phoneticPr fontId="1" type="noConversion"/>
  </si>
  <si>
    <t>계</t>
    <phoneticPr fontId="1" type="noConversion"/>
  </si>
  <si>
    <t>인원</t>
    <phoneticPr fontId="1" type="noConversion"/>
  </si>
  <si>
    <t>총 지상비</t>
    <phoneticPr fontId="1" type="noConversion"/>
  </si>
  <si>
    <t>인당 지상비</t>
    <phoneticPr fontId="1" type="noConversion"/>
  </si>
  <si>
    <t>최종 인당 지상비</t>
    <phoneticPr fontId="1" type="noConversion"/>
  </si>
  <si>
    <t>변동비</t>
    <phoneticPr fontId="1" type="noConversion"/>
  </si>
  <si>
    <t>환율</t>
    <phoneticPr fontId="1" type="noConversion"/>
  </si>
  <si>
    <t>한화</t>
    <phoneticPr fontId="1" type="noConversion"/>
  </si>
  <si>
    <t>인당
지상비</t>
    <phoneticPr fontId="1" type="noConversion"/>
  </si>
  <si>
    <t>유한트레블</t>
    <phoneticPr fontId="1" type="noConversion"/>
  </si>
  <si>
    <t>싱가폴달러</t>
    <phoneticPr fontId="1" type="noConversion"/>
  </si>
  <si>
    <t xml:space="preserve">데일리 기본차량비 + 수고료 </t>
    <phoneticPr fontId="1" type="noConversion"/>
  </si>
  <si>
    <t xml:space="preserve">가이드 </t>
    <phoneticPr fontId="1" type="noConversion"/>
  </si>
  <si>
    <t>기타</t>
    <phoneticPr fontId="1" type="noConversion"/>
  </si>
  <si>
    <t xml:space="preserve">호텔 </t>
    <phoneticPr fontId="1" type="noConversion"/>
  </si>
  <si>
    <t>간단일정표 및 조건</t>
    <phoneticPr fontId="1" type="noConversion"/>
  </si>
  <si>
    <t>REMARK</t>
    <phoneticPr fontId="1" type="noConversion"/>
  </si>
  <si>
    <t xml:space="preserve">가든즈 야간추가비 </t>
    <phoneticPr fontId="1" type="noConversion"/>
  </si>
  <si>
    <t xml:space="preserve"> 핸들링</t>
    <phoneticPr fontId="1" type="noConversion"/>
  </si>
  <si>
    <t>인원</t>
    <phoneticPr fontId="1" type="noConversion"/>
  </si>
  <si>
    <t>대/회</t>
    <phoneticPr fontId="1" type="noConversion"/>
  </si>
  <si>
    <t>식사</t>
    <phoneticPr fontId="1" type="noConversion"/>
  </si>
  <si>
    <t xml:space="preserve">선택관광, 쇼핑 </t>
    <phoneticPr fontId="1" type="noConversion"/>
  </si>
  <si>
    <t xml:space="preserve">특이사항 </t>
    <phoneticPr fontId="1" type="noConversion"/>
  </si>
  <si>
    <t>가이드
·
공급사
인건비</t>
    <phoneticPr fontId="1" type="noConversion"/>
  </si>
  <si>
    <t>간식</t>
    <phoneticPr fontId="1" type="noConversion"/>
  </si>
  <si>
    <t xml:space="preserve">카야토스트 </t>
    <phoneticPr fontId="1" type="noConversion"/>
  </si>
  <si>
    <t>과일시식</t>
    <phoneticPr fontId="1" type="noConversion"/>
  </si>
  <si>
    <t>공급사</t>
    <phoneticPr fontId="1" type="noConversion"/>
  </si>
  <si>
    <t>견적코드</t>
    <phoneticPr fontId="1" type="noConversion"/>
  </si>
  <si>
    <t>노쇼핑 핸들링</t>
    <phoneticPr fontId="1" type="noConversion"/>
  </si>
  <si>
    <t>3박5일 팁포함</t>
    <phoneticPr fontId="1" type="noConversion"/>
  </si>
  <si>
    <t>공급가</t>
    <phoneticPr fontId="1" type="noConversion"/>
  </si>
  <si>
    <t xml:space="preserve"> </t>
    <phoneticPr fontId="1" type="noConversion"/>
  </si>
  <si>
    <t>1인지상비</t>
    <phoneticPr fontId="1" type="noConversion"/>
  </si>
  <si>
    <t>입장료</t>
    <phoneticPr fontId="1" type="noConversion"/>
  </si>
  <si>
    <t>관광지
입장료</t>
    <phoneticPr fontId="1" type="noConversion"/>
  </si>
  <si>
    <t>북창동 순두부</t>
    <phoneticPr fontId="1" type="noConversion"/>
  </si>
  <si>
    <t>㈜하나투어 (이하 여행사)는 000님(이하 고객)의 해외여행을 대행함에 있어 아래와 같은 조건을 제안 드립니다.</t>
    <phoneticPr fontId="1" type="noConversion"/>
  </si>
  <si>
    <t>여행단체명</t>
    <phoneticPr fontId="1" type="noConversion"/>
  </si>
  <si>
    <t>000님 귀하</t>
    <phoneticPr fontId="1" type="noConversion"/>
  </si>
  <si>
    <t>여행도시</t>
    <phoneticPr fontId="1" type="noConversion"/>
  </si>
  <si>
    <t xml:space="preserve">싱가포르 </t>
    <phoneticPr fontId="1" type="noConversion"/>
  </si>
  <si>
    <t>여행기간</t>
    <phoneticPr fontId="1" type="noConversion"/>
  </si>
  <si>
    <t>여행인원</t>
    <phoneticPr fontId="1" type="noConversion"/>
  </si>
  <si>
    <t>여행요금</t>
    <phoneticPr fontId="1" type="noConversion"/>
  </si>
  <si>
    <r>
      <t>성인</t>
    </r>
    <r>
      <rPr>
        <sz val="10"/>
        <color theme="1"/>
        <rFont val="나눔고딕"/>
        <family val="3"/>
        <charset val="129"/>
      </rPr>
      <t>[만12세이상]</t>
    </r>
    <phoneticPr fontId="1" type="noConversion"/>
  </si>
  <si>
    <r>
      <t>아동</t>
    </r>
    <r>
      <rPr>
        <sz val="10"/>
        <color theme="1"/>
        <rFont val="나눔고딕"/>
        <family val="3"/>
        <charset val="129"/>
      </rPr>
      <t>[만12세미만]</t>
    </r>
    <phoneticPr fontId="1" type="noConversion"/>
  </si>
  <si>
    <r>
      <t>유아</t>
    </r>
    <r>
      <rPr>
        <sz val="10"/>
        <color theme="1"/>
        <rFont val="나눔고딕"/>
        <family val="3"/>
        <charset val="129"/>
      </rPr>
      <t>[만2세미만]</t>
    </r>
    <phoneticPr fontId="1" type="noConversion"/>
  </si>
  <si>
    <t>정보</t>
    <phoneticPr fontId="1" type="noConversion"/>
  </si>
  <si>
    <t>아동 성인2인과 1방 사용</t>
    <phoneticPr fontId="1" type="noConversion"/>
  </si>
  <si>
    <t>구분</t>
    <phoneticPr fontId="1" type="noConversion"/>
  </si>
  <si>
    <t>세부내역</t>
    <phoneticPr fontId="1" type="noConversion"/>
  </si>
  <si>
    <t>비고</t>
    <phoneticPr fontId="1" type="noConversion"/>
  </si>
  <si>
    <t>항공편</t>
    <phoneticPr fontId="1" type="noConversion"/>
  </si>
  <si>
    <t>항공사명</t>
    <phoneticPr fontId="1" type="noConversion"/>
  </si>
  <si>
    <t xml:space="preserve"> </t>
    <phoneticPr fontId="1" type="noConversion"/>
  </si>
  <si>
    <t>등급</t>
    <phoneticPr fontId="1" type="noConversion"/>
  </si>
  <si>
    <t>ECONOMY</t>
    <phoneticPr fontId="1" type="noConversion"/>
  </si>
  <si>
    <t>요금정보</t>
    <phoneticPr fontId="1" type="noConversion"/>
  </si>
  <si>
    <t>세금</t>
    <phoneticPr fontId="1" type="noConversion"/>
  </si>
  <si>
    <t>견적일 실시간 최저가 기준</t>
    <phoneticPr fontId="1" type="noConversion"/>
  </si>
  <si>
    <t>숙박</t>
    <phoneticPr fontId="1" type="noConversion"/>
  </si>
  <si>
    <t>호텔명</t>
    <phoneticPr fontId="1" type="noConversion"/>
  </si>
  <si>
    <t>일정표 참조</t>
    <phoneticPr fontId="1" type="noConversion"/>
  </si>
  <si>
    <t>객실</t>
    <phoneticPr fontId="1" type="noConversion"/>
  </si>
  <si>
    <t>2인1실 기준</t>
    <phoneticPr fontId="1" type="noConversion"/>
  </si>
  <si>
    <t>■조식</t>
    <phoneticPr fontId="1" type="noConversion"/>
  </si>
  <si>
    <t>■중식</t>
    <phoneticPr fontId="1" type="noConversion"/>
  </si>
  <si>
    <t>■석식</t>
    <phoneticPr fontId="1" type="noConversion"/>
  </si>
  <si>
    <t>□기내식</t>
    <phoneticPr fontId="1" type="noConversion"/>
  </si>
  <si>
    <t>일정표참조</t>
    <phoneticPr fontId="1" type="noConversion"/>
  </si>
  <si>
    <t>관광지입장료</t>
    <phoneticPr fontId="1" type="noConversion"/>
  </si>
  <si>
    <t>■포함</t>
    <phoneticPr fontId="1" type="noConversion"/>
  </si>
  <si>
    <t>□불포함</t>
    <phoneticPr fontId="1" type="noConversion"/>
  </si>
  <si>
    <t>일정표참조</t>
    <phoneticPr fontId="1" type="noConversion"/>
  </si>
  <si>
    <t>현지교통편</t>
    <phoneticPr fontId="1" type="noConversion"/>
  </si>
  <si>
    <t>■포함</t>
    <phoneticPr fontId="1" type="noConversion"/>
  </si>
  <si>
    <t>□불포함</t>
    <phoneticPr fontId="1" type="noConversion"/>
  </si>
  <si>
    <t>국내수송편</t>
    <phoneticPr fontId="1" type="noConversion"/>
  </si>
  <si>
    <t>□포함</t>
    <phoneticPr fontId="1" type="noConversion"/>
  </si>
  <si>
    <t>□포함</t>
    <phoneticPr fontId="1" type="noConversion"/>
  </si>
  <si>
    <t>■불포함</t>
    <phoneticPr fontId="1" type="noConversion"/>
  </si>
  <si>
    <t>현지안내원</t>
    <phoneticPr fontId="1" type="noConversion"/>
  </si>
  <si>
    <t>여행인솔자</t>
    <phoneticPr fontId="1" type="noConversion"/>
  </si>
  <si>
    <t>□포함</t>
    <phoneticPr fontId="1" type="noConversion"/>
  </si>
  <si>
    <t>■불포함</t>
    <phoneticPr fontId="1" type="noConversion"/>
  </si>
  <si>
    <t>여행자보험</t>
    <phoneticPr fontId="1" type="noConversion"/>
  </si>
  <si>
    <t>* 1억원 여행자보험[도난/파손 최대 50만원]</t>
    <phoneticPr fontId="1" type="noConversion"/>
  </si>
  <si>
    <t>봉사료[TIP]</t>
    <phoneticPr fontId="1" type="noConversion"/>
  </si>
  <si>
    <t>* 가이드, 기사 팁 포함상품입니다.</t>
    <phoneticPr fontId="1" type="noConversion"/>
  </si>
  <si>
    <t>쇼핑센터</t>
    <phoneticPr fontId="1" type="noConversion"/>
  </si>
  <si>
    <t xml:space="preserve">            노쇼핑</t>
    <phoneticPr fontId="1" type="noConversion"/>
  </si>
  <si>
    <t>불포함사항</t>
    <phoneticPr fontId="1" type="noConversion"/>
  </si>
  <si>
    <t xml:space="preserve">           기타 개인경비</t>
    <phoneticPr fontId="1" type="noConversion"/>
  </si>
  <si>
    <t>상품핵심포인트</t>
    <phoneticPr fontId="1" type="noConversion"/>
  </si>
  <si>
    <t>체크사항</t>
    <phoneticPr fontId="1" type="noConversion"/>
  </si>
  <si>
    <t xml:space="preserve"> ● 항공 : 실시간 최저가 요금으로 실명단 예약시점시 인상 가능
 ● 현금결제 조건이며 카드결제 시 3% 인상됩니다. [사유 : 원가기준으로 견적 산출]
 ● 세금계산서는 여행사 알선수수료에 대해서만 발행됩니다.</t>
    <phoneticPr fontId="1" type="noConversion"/>
  </si>
  <si>
    <t>일자</t>
  </si>
  <si>
    <t>지역</t>
  </si>
  <si>
    <t>교통편</t>
    <phoneticPr fontId="1" type="noConversion"/>
  </si>
  <si>
    <t>시간</t>
    <phoneticPr fontId="1" type="noConversion"/>
  </si>
  <si>
    <t>세부일정</t>
    <phoneticPr fontId="1" type="noConversion"/>
  </si>
  <si>
    <t>제 1 일</t>
    <phoneticPr fontId="1" type="noConversion"/>
  </si>
  <si>
    <t>인천공항</t>
    <phoneticPr fontId="1" type="noConversion"/>
  </si>
  <si>
    <t xml:space="preserve"> </t>
    <phoneticPr fontId="1" type="noConversion"/>
  </si>
  <si>
    <t xml:space="preserve"> 인천공항 3층 출국장 도착 후 출국수속</t>
    <phoneticPr fontId="1" type="noConversion"/>
  </si>
  <si>
    <t>싱가폴</t>
    <phoneticPr fontId="1" type="noConversion"/>
  </si>
  <si>
    <t xml:space="preserve"> </t>
    <phoneticPr fontId="1" type="noConversion"/>
  </si>
  <si>
    <t xml:space="preserve"> 싱가포르 창이 국제 공항 도착 </t>
    <phoneticPr fontId="1" type="noConversion"/>
  </si>
  <si>
    <t xml:space="preserve">가이드 미팅후 </t>
    <phoneticPr fontId="1" type="noConversion"/>
  </si>
  <si>
    <t xml:space="preserve"> 호텔체크인 후 휴식</t>
    <phoneticPr fontId="1" type="noConversion"/>
  </si>
  <si>
    <t>제 2 일</t>
    <phoneticPr fontId="1" type="noConversion"/>
  </si>
  <si>
    <t>전용차량</t>
    <phoneticPr fontId="1" type="noConversion"/>
  </si>
  <si>
    <t xml:space="preserve"> 호텔 조식 후</t>
    <phoneticPr fontId="1" type="noConversion"/>
  </si>
  <si>
    <t>조식 : 호텔식</t>
    <phoneticPr fontId="1" type="noConversion"/>
  </si>
  <si>
    <t xml:space="preserve">싱가폴 </t>
    <phoneticPr fontId="1" type="noConversion"/>
  </si>
  <si>
    <t xml:space="preserve">가든스 바이 더 베이 -플라워돔 클라우돔 </t>
    <phoneticPr fontId="1" type="noConversion"/>
  </si>
  <si>
    <t>가든스 바이 더 베이 랩소디쇼</t>
    <phoneticPr fontId="1" type="noConversion"/>
  </si>
  <si>
    <t xml:space="preserve"> 호텔 투숙 및 휴식</t>
    <phoneticPr fontId="1" type="noConversion"/>
  </si>
  <si>
    <t>제 3 일</t>
    <phoneticPr fontId="1" type="noConversion"/>
  </si>
  <si>
    <t xml:space="preserve">싱가폴 </t>
    <phoneticPr fontId="1" type="noConversion"/>
  </si>
  <si>
    <t>전용차량</t>
    <phoneticPr fontId="1" type="noConversion"/>
  </si>
  <si>
    <t xml:space="preserve"> 호텔 조식 후</t>
    <phoneticPr fontId="1" type="noConversion"/>
  </si>
  <si>
    <t>조식 : 호텔식</t>
    <phoneticPr fontId="1" type="noConversion"/>
  </si>
  <si>
    <t xml:space="preserve"> </t>
    <phoneticPr fontId="1" type="noConversion"/>
  </si>
  <si>
    <t xml:space="preserve"> 호텔 투숙 및 휴식</t>
    <phoneticPr fontId="1" type="noConversion"/>
  </si>
  <si>
    <t>제 4 일</t>
    <phoneticPr fontId="1" type="noConversion"/>
  </si>
  <si>
    <t xml:space="preserve">오전 자유 시간 </t>
    <phoneticPr fontId="1" type="noConversion"/>
  </si>
  <si>
    <t xml:space="preserve">석식 : 북창동 순두부 </t>
    <phoneticPr fontId="1" type="noConversion"/>
  </si>
  <si>
    <t xml:space="preserve">석식 북창동 순두부 </t>
    <phoneticPr fontId="1" type="noConversion"/>
  </si>
  <si>
    <t xml:space="preserve">싱가폴 창이 국제 공항  출발 </t>
    <phoneticPr fontId="1" type="noConversion"/>
  </si>
  <si>
    <t>인천공항</t>
    <phoneticPr fontId="1" type="noConversion"/>
  </si>
  <si>
    <t xml:space="preserve"> 인천공항 도착 및 해산</t>
    <phoneticPr fontId="1" type="noConversion"/>
  </si>
  <si>
    <t xml:space="preserve"> 상기 일정은 항공 및 현지 사정에 의해 다소 변경될 수 있습니다.</t>
    <phoneticPr fontId="1" type="noConversion"/>
  </si>
  <si>
    <t xml:space="preserve">2023- </t>
    <phoneticPr fontId="1" type="noConversion"/>
  </si>
  <si>
    <t>㈜ 하나투어</t>
    <phoneticPr fontId="1" type="noConversion"/>
  </si>
  <si>
    <t xml:space="preserve">칠리크랩 </t>
    <phoneticPr fontId="1" type="noConversion"/>
  </si>
  <si>
    <t xml:space="preserve">중식 :칠리크랩 </t>
    <phoneticPr fontId="1" type="noConversion"/>
  </si>
  <si>
    <t xml:space="preserve">석식 :스팀보트 </t>
    <phoneticPr fontId="1" type="noConversion"/>
  </si>
  <si>
    <t xml:space="preserve">석식 스팀보트 </t>
    <phoneticPr fontId="1" type="noConversion"/>
  </si>
  <si>
    <t xml:space="preserve">버드파라다이스 </t>
    <phoneticPr fontId="1" type="noConversion"/>
  </si>
  <si>
    <t xml:space="preserve">중식 펭귄코브 레스토랑 </t>
    <phoneticPr fontId="1" type="noConversion"/>
  </si>
  <si>
    <t>중식 : 펭귄코브레스토랑</t>
    <phoneticPr fontId="1" type="noConversion"/>
  </si>
  <si>
    <t xml:space="preserve">중식 송파 바쿠테 </t>
    <phoneticPr fontId="1" type="noConversion"/>
  </si>
  <si>
    <t>센토사섬 일주 관광-쥬얼 케이블카, 루지2회 ,마담투소</t>
    <phoneticPr fontId="1" type="noConversion"/>
  </si>
  <si>
    <t xml:space="preserve">중식 : 송파 바쿠테 </t>
    <phoneticPr fontId="1" type="noConversion"/>
  </si>
  <si>
    <t xml:space="preserve">추가 차량비 </t>
    <phoneticPr fontId="1" type="noConversion"/>
  </si>
  <si>
    <t>석식 : 자유식</t>
    <phoneticPr fontId="1" type="noConversion"/>
  </si>
  <si>
    <t xml:space="preserve">석식 자유식(현금 20불 ) </t>
    <phoneticPr fontId="1" type="noConversion"/>
  </si>
  <si>
    <t xml:space="preserve"> </t>
    <phoneticPr fontId="1" type="noConversion"/>
  </si>
  <si>
    <t xml:space="preserve">싱가폴 이색문화 체험-리틀인디아,하지래인, 아랍스트릿, 부기스 스트릿, 카야토스트. </t>
    <phoneticPr fontId="1" type="noConversion"/>
  </si>
  <si>
    <t>국립식물원 및 머라이언공원</t>
    <phoneticPr fontId="1" type="noConversion"/>
  </si>
  <si>
    <t xml:space="preserve">중식 칠리크랩 </t>
    <phoneticPr fontId="1" type="noConversion"/>
  </si>
  <si>
    <t xml:space="preserve">리버원더스 및 차이나타운 </t>
    <phoneticPr fontId="1" type="noConversion"/>
  </si>
  <si>
    <t xml:space="preserve">  </t>
    <phoneticPr fontId="1" type="noConversion"/>
  </si>
  <si>
    <t>리버원더스</t>
    <phoneticPr fontId="1" type="noConversion"/>
  </si>
  <si>
    <t xml:space="preserve">가든스 바이 더 베이 -클라우돔, 플라워돔 </t>
    <phoneticPr fontId="1" type="noConversion"/>
  </si>
  <si>
    <t xml:space="preserve">버드파라다이스 </t>
    <phoneticPr fontId="1" type="noConversion"/>
  </si>
  <si>
    <t>센토사섬 케이블카</t>
    <phoneticPr fontId="1" type="noConversion"/>
  </si>
  <si>
    <t>마담투소</t>
    <phoneticPr fontId="1" type="noConversion"/>
  </si>
  <si>
    <t xml:space="preserve"> </t>
    <phoneticPr fontId="1" type="noConversion"/>
  </si>
  <si>
    <t>스팀보트</t>
    <phoneticPr fontId="1" type="noConversion"/>
  </si>
  <si>
    <t>펭귄뷔페</t>
    <phoneticPr fontId="1" type="noConversion"/>
  </si>
  <si>
    <t>자유식</t>
    <phoneticPr fontId="1" type="noConversion"/>
  </si>
  <si>
    <t>송파바쿠테</t>
    <phoneticPr fontId="1" type="noConversion"/>
  </si>
  <si>
    <t xml:space="preserve">싱가폴 시내 관광-머라이언공원, 차이나타운. </t>
    <phoneticPr fontId="1" type="noConversion"/>
  </si>
  <si>
    <t xml:space="preserve">싱가폴 시내 관광 - 오차드로드, 에메랄드힐,   마리나 베라지  </t>
    <phoneticPr fontId="1" type="noConversion"/>
  </si>
  <si>
    <t xml:space="preserve"> </t>
    <phoneticPr fontId="1" type="noConversion"/>
  </si>
  <si>
    <t>루지2회</t>
    <phoneticPr fontId="1" type="noConversion"/>
  </si>
  <si>
    <t>노쇼핑 노옵션</t>
    <phoneticPr fontId="1" type="noConversion"/>
  </si>
  <si>
    <t xml:space="preserve">  노쇼핑, 노옵션 차량내 기념품 판매 가능 기준 </t>
    <phoneticPr fontId="1" type="noConversion"/>
  </si>
  <si>
    <t>ASP210241201SQ1
6+0/ 가기팁포함</t>
    <phoneticPr fontId="1" type="noConversion"/>
  </si>
  <si>
    <t xml:space="preserve"> QA00582216001</t>
    <phoneticPr fontId="1" type="noConversion"/>
  </si>
  <si>
    <t xml:space="preserve">12월01일      도착 -호텔 투숙 
12월02일     국립식물원-머라이언공원-중식 칠리크랩- 리버원더스 -차이나타운
                  가든스 2돔-석식 스팀보트 -랩소디쇼
12월03일      버드파라다이스 -중식 펭귄뷔페-오차드로드-에메랄드힐
                   마리나 베라지-석식 자유식(현금 20불)
12월04일       체크아웃-중식 송파 바쿠테-센토사섬 케이블카-마담투소
                    루지2회-리틀인디아-아랍스트리트-하지래인-부기스
                    카야토스트-석식 북창동 순두부 </t>
    <phoneticPr fontId="1" type="noConversion"/>
  </si>
  <si>
    <t xml:space="preserve">모멘튜스 또는 동급 3박 3TWN </t>
    <phoneticPr fontId="1" type="noConversion"/>
  </si>
  <si>
    <t xml:space="preserve">127만원 </t>
    <phoneticPr fontId="1" type="noConversion"/>
  </si>
  <si>
    <t>2024.12 .01-1204 [3박5일]</t>
    <phoneticPr fontId="1" type="noConversion"/>
  </si>
  <si>
    <t xml:space="preserve">HOTEL :모멘튜스 또는 동급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</si>
</sst>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26" formatCode="\$#,##0.00_);[Red]\(\$#,##0.00\)"/>
    <numFmt numFmtId="176" formatCode="#,##0_ ;[Red]\-#,##0\ "/>
    <numFmt numFmtId="177" formatCode="&quot;₩&quot;#,##0_);[Red]\(&quot;₩&quot;#,##0\)"/>
    <numFmt numFmtId="178" formatCode="#,##0.00_);[Red]\(#,##0.00\)"/>
    <numFmt numFmtId="179" formatCode="mm&quot;월&quot;\ dd&quot;일&quot;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color rgb="FF000000"/>
      <name val="나눔고딕"/>
      <family val="3"/>
      <charset val="129"/>
    </font>
    <font>
      <b/>
      <sz val="22"/>
      <color rgb="FFFF0000"/>
      <name val="맑은 고딕"/>
      <family val="3"/>
      <charset val="129"/>
      <scheme val="minor"/>
    </font>
    <font>
      <sz val="9"/>
      <color rgb="FF000000"/>
      <name val="나눔고딕"/>
      <family val="3"/>
      <charset val="129"/>
    </font>
    <font>
      <sz val="11"/>
      <color theme="1"/>
      <name val="나눔고딕"/>
      <family val="3"/>
      <charset val="129"/>
    </font>
    <font>
      <sz val="10"/>
      <color theme="1"/>
      <name val="나눔고딕"/>
      <family val="3"/>
      <charset val="129"/>
    </font>
    <font>
      <b/>
      <sz val="11"/>
      <color theme="1"/>
      <name val="나눔고딕"/>
      <family val="3"/>
      <charset val="129"/>
    </font>
    <font>
      <b/>
      <sz val="10"/>
      <color theme="1"/>
      <name val="나눔고딕"/>
      <family val="3"/>
      <charset val="129"/>
    </font>
    <font>
      <sz val="9"/>
      <color theme="1"/>
      <name val="나눔고딕"/>
      <family val="3"/>
      <charset val="129"/>
    </font>
    <font>
      <sz val="8"/>
      <color rgb="FFFF0000"/>
      <name val="나눔고딕"/>
      <family val="3"/>
      <charset val="129"/>
    </font>
    <font>
      <sz val="22"/>
      <color theme="1"/>
      <name val="나눔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20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76" fontId="3" fillId="0" borderId="11" xfId="0" applyNumberFormat="1" applyFont="1" applyBorder="1">
      <alignment vertical="center"/>
    </xf>
    <xf numFmtId="176" fontId="6" fillId="0" borderId="19" xfId="0" applyNumberFormat="1" applyFont="1" applyBorder="1">
      <alignment vertical="center"/>
    </xf>
    <xf numFmtId="176" fontId="3" fillId="0" borderId="22" xfId="0" applyNumberFormat="1" applyFont="1" applyBorder="1">
      <alignment vertical="center"/>
    </xf>
    <xf numFmtId="0" fontId="7" fillId="0" borderId="4" xfId="0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right" vertical="center"/>
    </xf>
    <xf numFmtId="176" fontId="7" fillId="0" borderId="22" xfId="0" applyNumberFormat="1" applyFont="1" applyBorder="1" applyAlignment="1">
      <alignment horizontal="right" vertical="center"/>
    </xf>
    <xf numFmtId="176" fontId="5" fillId="0" borderId="27" xfId="0" applyNumberFormat="1" applyFont="1" applyBorder="1" applyAlignment="1">
      <alignment horizontal="center" vertical="center"/>
    </xf>
    <xf numFmtId="177" fontId="7" fillId="0" borderId="11" xfId="0" applyNumberFormat="1" applyFont="1" applyBorder="1" applyAlignment="1">
      <alignment horizontal="right" vertical="center"/>
    </xf>
    <xf numFmtId="26" fontId="7" fillId="0" borderId="11" xfId="0" applyNumberFormat="1" applyFont="1" applyBorder="1" applyAlignment="1">
      <alignment horizontal="right" vertical="center"/>
    </xf>
    <xf numFmtId="177" fontId="5" fillId="0" borderId="19" xfId="0" applyNumberFormat="1" applyFont="1" applyBorder="1" applyAlignment="1">
      <alignment horizontal="right" vertical="center"/>
    </xf>
    <xf numFmtId="176" fontId="9" fillId="0" borderId="9" xfId="0" applyNumberFormat="1" applyFont="1" applyBorder="1" applyAlignment="1">
      <alignment horizontal="right" vertical="center"/>
    </xf>
    <xf numFmtId="176" fontId="9" fillId="0" borderId="10" xfId="0" applyNumberFormat="1" applyFont="1" applyBorder="1" applyAlignment="1">
      <alignment horizontal="right" vertical="center"/>
    </xf>
    <xf numFmtId="0" fontId="9" fillId="0" borderId="25" xfId="0" applyFont="1" applyBorder="1" applyAlignment="1">
      <alignment horizontal="center" vertical="center"/>
    </xf>
    <xf numFmtId="0" fontId="9" fillId="0" borderId="25" xfId="0" applyFont="1" applyBorder="1" applyAlignment="1">
      <alignment horizontal="left" vertical="center"/>
    </xf>
    <xf numFmtId="176" fontId="9" fillId="0" borderId="25" xfId="0" applyNumberFormat="1" applyFont="1" applyBorder="1" applyAlignment="1">
      <alignment horizontal="right" vertical="center"/>
    </xf>
    <xf numFmtId="176" fontId="9" fillId="0" borderId="19" xfId="0" applyNumberFormat="1" applyFont="1" applyBorder="1" applyAlignment="1">
      <alignment horizontal="right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176" fontId="2" fillId="0" borderId="3" xfId="0" applyNumberFormat="1" applyFont="1" applyBorder="1">
      <alignment vertical="center"/>
    </xf>
    <xf numFmtId="176" fontId="9" fillId="0" borderId="3" xfId="0" applyNumberFormat="1" applyFont="1" applyBorder="1">
      <alignment vertical="center"/>
    </xf>
    <xf numFmtId="0" fontId="2" fillId="0" borderId="25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76" fontId="2" fillId="0" borderId="2" xfId="0" applyNumberFormat="1" applyFont="1" applyBorder="1">
      <alignment vertical="center"/>
    </xf>
    <xf numFmtId="0" fontId="2" fillId="0" borderId="9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9" fillId="0" borderId="23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0" xfId="0" applyFont="1">
      <alignment vertical="center"/>
    </xf>
    <xf numFmtId="176" fontId="9" fillId="0" borderId="22" xfId="0" applyNumberFormat="1" applyFont="1" applyBorder="1">
      <alignment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>
      <alignment vertical="center"/>
    </xf>
    <xf numFmtId="176" fontId="9" fillId="0" borderId="1" xfId="0" applyNumberFormat="1" applyFont="1" applyBorder="1">
      <alignment vertical="center"/>
    </xf>
    <xf numFmtId="176" fontId="9" fillId="0" borderId="2" xfId="0" applyNumberFormat="1" applyFont="1" applyBorder="1">
      <alignment vertical="center"/>
    </xf>
    <xf numFmtId="176" fontId="9" fillId="0" borderId="9" xfId="0" applyNumberFormat="1" applyFont="1" applyBorder="1">
      <alignment vertical="center"/>
    </xf>
    <xf numFmtId="176" fontId="9" fillId="0" borderId="10" xfId="0" applyNumberFormat="1" applyFont="1" applyBorder="1">
      <alignment vertical="center"/>
    </xf>
    <xf numFmtId="176" fontId="9" fillId="0" borderId="25" xfId="0" applyNumberFormat="1" applyFont="1" applyBorder="1">
      <alignment vertical="center"/>
    </xf>
    <xf numFmtId="176" fontId="9" fillId="0" borderId="19" xfId="0" applyNumberFormat="1" applyFont="1" applyBorder="1">
      <alignment vertical="center"/>
    </xf>
    <xf numFmtId="0" fontId="10" fillId="0" borderId="9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176" fontId="9" fillId="0" borderId="11" xfId="0" applyNumberFormat="1" applyFont="1" applyBorder="1">
      <alignment vertical="center"/>
    </xf>
    <xf numFmtId="0" fontId="10" fillId="0" borderId="25" xfId="0" applyFont="1" applyBorder="1" applyAlignment="1">
      <alignment vertical="center" wrapText="1"/>
    </xf>
    <xf numFmtId="178" fontId="2" fillId="0" borderId="9" xfId="0" applyNumberFormat="1" applyFont="1" applyBorder="1">
      <alignment vertical="center"/>
    </xf>
    <xf numFmtId="178" fontId="2" fillId="0" borderId="25" xfId="0" applyNumberFormat="1" applyFont="1" applyBorder="1">
      <alignment vertical="center"/>
    </xf>
    <xf numFmtId="178" fontId="2" fillId="0" borderId="1" xfId="0" applyNumberFormat="1" applyFont="1" applyBorder="1">
      <alignment vertical="center"/>
    </xf>
    <xf numFmtId="178" fontId="2" fillId="0" borderId="1" xfId="0" applyNumberFormat="1" applyFont="1" applyBorder="1" applyAlignment="1">
      <alignment horizontal="right" vertical="center"/>
    </xf>
    <xf numFmtId="178" fontId="2" fillId="0" borderId="5" xfId="0" applyNumberFormat="1" applyFont="1" applyBorder="1">
      <alignment vertical="center"/>
    </xf>
    <xf numFmtId="178" fontId="11" fillId="0" borderId="18" xfId="0" applyNumberFormat="1" applyFont="1" applyBorder="1" applyAlignment="1">
      <alignment vertical="center" wrapText="1"/>
    </xf>
    <xf numFmtId="178" fontId="2" fillId="0" borderId="44" xfId="0" applyNumberFormat="1" applyFont="1" applyBorder="1">
      <alignment vertical="center"/>
    </xf>
    <xf numFmtId="0" fontId="3" fillId="2" borderId="19" xfId="0" applyFont="1" applyFill="1" applyBorder="1" applyAlignment="1">
      <alignment horizontal="center" vertical="center" wrapText="1"/>
    </xf>
    <xf numFmtId="178" fontId="11" fillId="0" borderId="29" xfId="0" applyNumberFormat="1" applyFont="1" applyBorder="1" applyAlignment="1">
      <alignment vertical="center" wrapText="1"/>
    </xf>
    <xf numFmtId="0" fontId="12" fillId="0" borderId="0" xfId="0" applyFont="1" applyAlignment="1">
      <alignment horizontal="center" vertical="center"/>
    </xf>
    <xf numFmtId="176" fontId="2" fillId="0" borderId="0" xfId="0" applyNumberFormat="1" applyFont="1">
      <alignment vertical="center"/>
    </xf>
    <xf numFmtId="0" fontId="3" fillId="2" borderId="1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3" fillId="0" borderId="0" xfId="0" applyFont="1" applyAlignment="1">
      <alignment horizontal="right" vertical="center" wrapText="1"/>
    </xf>
    <xf numFmtId="0" fontId="14" fillId="0" borderId="0" xfId="0" applyFont="1">
      <alignment vertical="center"/>
    </xf>
    <xf numFmtId="0" fontId="16" fillId="6" borderId="1" xfId="0" applyFont="1" applyFill="1" applyBorder="1" applyAlignment="1">
      <alignment horizontal="center" vertical="center"/>
    </xf>
    <xf numFmtId="0" fontId="15" fillId="5" borderId="6" xfId="0" applyFont="1" applyFill="1" applyBorder="1">
      <alignment vertical="center"/>
    </xf>
    <xf numFmtId="0" fontId="15" fillId="5" borderId="5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20" fontId="15" fillId="0" borderId="30" xfId="0" applyNumberFormat="1" applyFont="1" applyBorder="1" applyAlignment="1">
      <alignment horizontal="center" vertical="center"/>
    </xf>
    <xf numFmtId="0" fontId="15" fillId="0" borderId="51" xfId="0" applyFont="1" applyBorder="1">
      <alignment vertical="center"/>
    </xf>
    <xf numFmtId="0" fontId="15" fillId="0" borderId="0" xfId="0" applyFont="1">
      <alignment vertical="center"/>
    </xf>
    <xf numFmtId="0" fontId="15" fillId="0" borderId="51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179" fontId="15" fillId="0" borderId="30" xfId="0" applyNumberFormat="1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20" fontId="15" fillId="0" borderId="3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20" fontId="15" fillId="0" borderId="0" xfId="0" applyNumberFormat="1" applyFont="1" applyAlignment="1">
      <alignment horizontal="center" vertical="center"/>
    </xf>
    <xf numFmtId="179" fontId="15" fillId="0" borderId="0" xfId="0" applyNumberFormat="1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2" fillId="0" borderId="23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/>
    </xf>
    <xf numFmtId="0" fontId="15" fillId="0" borderId="51" xfId="0" applyFont="1" applyBorder="1" applyAlignment="1">
      <alignment horizontal="left" vertical="center"/>
    </xf>
    <xf numFmtId="0" fontId="15" fillId="0" borderId="45" xfId="0" applyFont="1" applyBorder="1" applyAlignment="1">
      <alignment horizontal="left" vertical="center"/>
    </xf>
    <xf numFmtId="0" fontId="6" fillId="0" borderId="16" xfId="0" applyFont="1" applyBorder="1" applyAlignment="1">
      <alignment horizontal="right" vertical="center"/>
    </xf>
    <xf numFmtId="0" fontId="6" fillId="0" borderId="17" xfId="0" applyFont="1" applyBorder="1" applyAlignment="1">
      <alignment horizontal="right" vertical="center"/>
    </xf>
    <xf numFmtId="0" fontId="2" fillId="0" borderId="8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3" fillId="0" borderId="21" xfId="0" applyFont="1" applyBorder="1" applyAlignment="1">
      <alignment horizontal="right" vertical="center"/>
    </xf>
    <xf numFmtId="0" fontId="3" fillId="0" borderId="7" xfId="0" applyFont="1" applyBorder="1" applyAlignment="1">
      <alignment horizontal="right" vertical="center"/>
    </xf>
    <xf numFmtId="0" fontId="3" fillId="0" borderId="15" xfId="0" applyFont="1" applyBorder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/>
    </xf>
    <xf numFmtId="0" fontId="2" fillId="0" borderId="32" xfId="0" applyFont="1" applyBorder="1" applyAlignment="1">
      <alignment vertical="center" wrapText="1"/>
    </xf>
    <xf numFmtId="0" fontId="0" fillId="0" borderId="32" xfId="0" applyBorder="1">
      <alignment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2" fillId="3" borderId="31" xfId="0" applyFont="1" applyFill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8" fillId="0" borderId="35" xfId="0" applyFont="1" applyBorder="1" applyAlignment="1">
      <alignment vertical="center" wrapText="1"/>
    </xf>
    <xf numFmtId="0" fontId="8" fillId="0" borderId="34" xfId="0" applyFont="1" applyBorder="1">
      <alignment vertical="center"/>
    </xf>
    <xf numFmtId="0" fontId="8" fillId="0" borderId="36" xfId="0" applyFont="1" applyBorder="1">
      <alignment vertical="center"/>
    </xf>
    <xf numFmtId="0" fontId="0" fillId="0" borderId="37" xfId="0" applyBorder="1">
      <alignment vertical="center"/>
    </xf>
    <xf numFmtId="0" fontId="0" fillId="0" borderId="0" xfId="0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15" fillId="0" borderId="51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45" xfId="0" applyFont="1" applyBorder="1" applyAlignment="1">
      <alignment horizontal="left" vertical="center"/>
    </xf>
    <xf numFmtId="0" fontId="15" fillId="0" borderId="0" xfId="0" applyFont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6" fillId="4" borderId="6" xfId="0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center" vertical="center"/>
    </xf>
    <xf numFmtId="0" fontId="16" fillId="5" borderId="6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/>
    </xf>
    <xf numFmtId="0" fontId="16" fillId="6" borderId="4" xfId="0" applyFont="1" applyFill="1" applyBorder="1" applyAlignment="1">
      <alignment horizontal="center" vertical="center"/>
    </xf>
    <xf numFmtId="0" fontId="16" fillId="6" borderId="6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vertical="center"/>
    </xf>
    <xf numFmtId="0" fontId="16" fillId="4" borderId="47" xfId="0" applyFont="1" applyFill="1" applyBorder="1" applyAlignment="1">
      <alignment horizontal="center" vertical="center"/>
    </xf>
    <xf numFmtId="0" fontId="16" fillId="4" borderId="48" xfId="0" applyFont="1" applyFill="1" applyBorder="1" applyAlignment="1">
      <alignment horizontal="center" vertical="center"/>
    </xf>
    <xf numFmtId="0" fontId="16" fillId="4" borderId="49" xfId="0" applyFont="1" applyFill="1" applyBorder="1" applyAlignment="1">
      <alignment horizontal="center" vertical="center"/>
    </xf>
    <xf numFmtId="0" fontId="16" fillId="4" borderId="46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17" fillId="5" borderId="47" xfId="0" applyFont="1" applyFill="1" applyBorder="1" applyAlignment="1">
      <alignment horizontal="center" vertical="center"/>
    </xf>
    <xf numFmtId="0" fontId="17" fillId="5" borderId="48" xfId="0" applyFont="1" applyFill="1" applyBorder="1" applyAlignment="1">
      <alignment horizontal="center" vertical="center"/>
    </xf>
    <xf numFmtId="0" fontId="17" fillId="5" borderId="49" xfId="0" applyFont="1" applyFill="1" applyBorder="1" applyAlignment="1">
      <alignment horizontal="center" vertical="center"/>
    </xf>
    <xf numFmtId="0" fontId="17" fillId="5" borderId="46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9" fillId="5" borderId="4" xfId="0" applyFont="1" applyFill="1" applyBorder="1" applyAlignment="1">
      <alignment horizontal="center" vertical="center"/>
    </xf>
    <xf numFmtId="0" fontId="19" fillId="5" borderId="6" xfId="0" applyFont="1" applyFill="1" applyBorder="1" applyAlignment="1">
      <alignment horizontal="center" vertical="center"/>
    </xf>
    <xf numFmtId="0" fontId="17" fillId="5" borderId="4" xfId="0" applyFont="1" applyFill="1" applyBorder="1" applyAlignment="1">
      <alignment horizontal="center" vertical="center"/>
    </xf>
    <xf numFmtId="0" fontId="17" fillId="5" borderId="6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18" fillId="5" borderId="6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left" vertical="center"/>
    </xf>
    <xf numFmtId="0" fontId="15" fillId="5" borderId="6" xfId="0" applyFont="1" applyFill="1" applyBorder="1" applyAlignment="1">
      <alignment horizontal="left" vertical="center"/>
    </xf>
    <xf numFmtId="0" fontId="15" fillId="5" borderId="4" xfId="0" applyFont="1" applyFill="1" applyBorder="1" applyAlignment="1">
      <alignment horizontal="left" vertical="center"/>
    </xf>
    <xf numFmtId="0" fontId="15" fillId="0" borderId="47" xfId="0" applyFont="1" applyBorder="1" applyAlignment="1">
      <alignment horizontal="left" vertical="center"/>
    </xf>
    <xf numFmtId="0" fontId="15" fillId="0" borderId="50" xfId="0" applyFont="1" applyBorder="1" applyAlignment="1">
      <alignment horizontal="left" vertical="center"/>
    </xf>
    <xf numFmtId="0" fontId="15" fillId="0" borderId="48" xfId="0" applyFont="1" applyBorder="1" applyAlignment="1">
      <alignment horizontal="left" vertical="center"/>
    </xf>
    <xf numFmtId="0" fontId="15" fillId="0" borderId="47" xfId="0" applyFont="1" applyBorder="1" applyAlignment="1">
      <alignment horizontal="center" vertical="center"/>
    </xf>
    <xf numFmtId="0" fontId="15" fillId="0" borderId="48" xfId="0" applyFont="1" applyBorder="1" applyAlignment="1">
      <alignment horizontal="center" vertical="center"/>
    </xf>
    <xf numFmtId="0" fontId="15" fillId="0" borderId="51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left" vertical="center" wrapText="1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31" fontId="14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7" fillId="0" borderId="51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45" xfId="0" applyFont="1" applyBorder="1" applyAlignment="1">
      <alignment horizontal="left" vertical="center"/>
    </xf>
    <xf numFmtId="0" fontId="15" fillId="0" borderId="49" xfId="0" applyFont="1" applyBorder="1" applyAlignment="1">
      <alignment horizontal="left" vertical="center"/>
    </xf>
    <xf numFmtId="0" fontId="15" fillId="0" borderId="7" xfId="0" applyFont="1" applyBorder="1" applyAlignment="1">
      <alignment horizontal="left" vertical="center"/>
    </xf>
    <xf numFmtId="0" fontId="15" fillId="0" borderId="46" xfId="0" applyFont="1" applyBorder="1" applyAlignment="1">
      <alignment horizontal="left" vertical="center"/>
    </xf>
    <xf numFmtId="0" fontId="15" fillId="0" borderId="49" xfId="0" applyFont="1" applyBorder="1" applyAlignment="1">
      <alignment horizontal="center" vertical="center"/>
    </xf>
    <xf numFmtId="0" fontId="15" fillId="0" borderId="46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171450</xdr:rowOff>
    </xdr:from>
    <xdr:to>
      <xdr:col>14</xdr:col>
      <xdr:colOff>0</xdr:colOff>
      <xdr:row>2</xdr:row>
      <xdr:rowOff>144715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4FB05C51-7538-464B-90F3-08B577C4A5C5}"/>
            </a:ext>
          </a:extLst>
        </xdr:cNvPr>
        <xdr:cNvGrpSpPr/>
      </xdr:nvGrpSpPr>
      <xdr:grpSpPr>
        <a:xfrm>
          <a:off x="114300" y="171450"/>
          <a:ext cx="9029700" cy="484440"/>
          <a:chOff x="35475" y="223538"/>
          <a:chExt cx="9166698" cy="516096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00E2549A-5CB6-82ED-EA47-62540860924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77782" y="223538"/>
            <a:ext cx="1578241" cy="367194"/>
          </a:xfrm>
          <a:prstGeom prst="rect">
            <a:avLst/>
          </a:prstGeom>
        </xdr:spPr>
      </xdr:pic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5364B65F-5739-84E0-D54B-5750DC47F82B}"/>
              </a:ext>
            </a:extLst>
          </xdr:cNvPr>
          <xdr:cNvSpPr/>
        </xdr:nvSpPr>
        <xdr:spPr>
          <a:xfrm flipV="1">
            <a:off x="35475" y="689277"/>
            <a:ext cx="9166698" cy="50357"/>
          </a:xfrm>
          <a:prstGeom prst="rect">
            <a:avLst/>
          </a:prstGeom>
          <a:solidFill>
            <a:srgbClr val="5E2BB8"/>
          </a:solidFill>
          <a:ln w="6350">
            <a:solidFill>
              <a:schemeClr val="accent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"/>
  <sheetViews>
    <sheetView tabSelected="1" workbookViewId="0">
      <selection activeCell="E3" sqref="E3:H10"/>
    </sheetView>
  </sheetViews>
  <sheetFormatPr defaultColWidth="9" defaultRowHeight="17" x14ac:dyDescent="0.45"/>
  <cols>
    <col min="1" max="1" width="9" style="33"/>
    <col min="2" max="2" width="8.75" style="1" customWidth="1"/>
    <col min="3" max="3" width="13.58203125" style="1" customWidth="1"/>
    <col min="4" max="4" width="33" style="33" customWidth="1"/>
    <col min="5" max="5" width="9.75" style="33" customWidth="1"/>
    <col min="6" max="6" width="10" style="33" customWidth="1"/>
    <col min="7" max="7" width="8.75" style="33" customWidth="1"/>
    <col min="8" max="8" width="28.08203125" style="33" customWidth="1"/>
    <col min="9" max="11" width="8.75" style="33" customWidth="1"/>
    <col min="12" max="13" width="9" style="33"/>
  </cols>
  <sheetData>
    <row r="1" spans="1:13" ht="16.5" customHeight="1" thickBot="1" x14ac:dyDescent="0.5"/>
    <row r="2" spans="1:13" ht="22.5" customHeight="1" thickBot="1" x14ac:dyDescent="0.5">
      <c r="B2" s="117" t="s">
        <v>35</v>
      </c>
      <c r="C2" s="118"/>
      <c r="D2" s="84" t="s">
        <v>16</v>
      </c>
      <c r="E2" s="119" t="s">
        <v>22</v>
      </c>
      <c r="F2" s="120"/>
      <c r="G2" s="120"/>
      <c r="H2" s="121"/>
    </row>
    <row r="3" spans="1:13" ht="33.75" customHeight="1" x14ac:dyDescent="0.45">
      <c r="B3" s="122" t="s">
        <v>36</v>
      </c>
      <c r="C3" s="123"/>
      <c r="D3" s="58" t="s">
        <v>180</v>
      </c>
      <c r="E3" s="124" t="s">
        <v>181</v>
      </c>
      <c r="F3" s="125"/>
      <c r="G3" s="125"/>
      <c r="H3" s="126"/>
    </row>
    <row r="4" spans="1:13" ht="33.75" customHeight="1" thickBot="1" x14ac:dyDescent="0.5">
      <c r="B4" s="133" t="s">
        <v>23</v>
      </c>
      <c r="C4" s="134"/>
      <c r="D4" s="54" t="s">
        <v>179</v>
      </c>
      <c r="E4" s="127"/>
      <c r="F4" s="128"/>
      <c r="G4" s="128"/>
      <c r="H4" s="129"/>
    </row>
    <row r="5" spans="1:13" ht="33.75" customHeight="1" x14ac:dyDescent="0.45">
      <c r="B5" s="135" t="s">
        <v>8</v>
      </c>
      <c r="C5" s="136"/>
      <c r="D5" s="9">
        <v>6</v>
      </c>
      <c r="E5" s="127"/>
      <c r="F5" s="128"/>
      <c r="G5" s="128"/>
      <c r="H5" s="129"/>
    </row>
    <row r="6" spans="1:13" ht="22.5" customHeight="1" x14ac:dyDescent="0.45">
      <c r="B6" s="137" t="s">
        <v>29</v>
      </c>
      <c r="C6" s="138"/>
      <c r="D6" s="8" t="s">
        <v>177</v>
      </c>
      <c r="E6" s="127"/>
      <c r="F6" s="128"/>
      <c r="G6" s="128"/>
      <c r="H6" s="129"/>
    </row>
    <row r="7" spans="1:13" ht="29.25" customHeight="1" x14ac:dyDescent="0.45">
      <c r="B7" s="137" t="s">
        <v>30</v>
      </c>
      <c r="C7" s="138"/>
      <c r="D7" s="60" t="s">
        <v>162</v>
      </c>
      <c r="E7" s="127"/>
      <c r="F7" s="128"/>
      <c r="G7" s="128"/>
      <c r="H7" s="129"/>
    </row>
    <row r="8" spans="1:13" ht="27.75" customHeight="1" x14ac:dyDescent="0.45">
      <c r="B8" s="139" t="s">
        <v>15</v>
      </c>
      <c r="C8" s="7" t="s">
        <v>17</v>
      </c>
      <c r="D8" s="12">
        <f>H38</f>
        <v>1274</v>
      </c>
      <c r="E8" s="127"/>
      <c r="F8" s="128"/>
      <c r="G8" s="128"/>
      <c r="H8" s="129"/>
    </row>
    <row r="9" spans="1:13" ht="27" customHeight="1" x14ac:dyDescent="0.45">
      <c r="B9" s="140"/>
      <c r="C9" s="7" t="s">
        <v>13</v>
      </c>
      <c r="D9" s="11">
        <v>1000</v>
      </c>
      <c r="E9" s="127"/>
      <c r="F9" s="128"/>
      <c r="G9" s="128"/>
      <c r="H9" s="129"/>
    </row>
    <row r="10" spans="1:13" ht="22.5" customHeight="1" thickBot="1" x14ac:dyDescent="0.5">
      <c r="B10" s="141"/>
      <c r="C10" s="10" t="s">
        <v>14</v>
      </c>
      <c r="D10" s="13">
        <f>D8*D9</f>
        <v>1274000</v>
      </c>
      <c r="E10" s="130"/>
      <c r="F10" s="131"/>
      <c r="G10" s="131"/>
      <c r="H10" s="132"/>
    </row>
    <row r="11" spans="1:13" ht="38.25" customHeight="1" thickBot="1" x14ac:dyDescent="0.5">
      <c r="B11" s="110" t="s">
        <v>41</v>
      </c>
      <c r="C11" s="110"/>
      <c r="D11" s="56" t="s">
        <v>183</v>
      </c>
      <c r="E11" s="111"/>
      <c r="F11" s="112"/>
      <c r="G11" s="112"/>
      <c r="H11" s="59" t="s">
        <v>40</v>
      </c>
    </row>
    <row r="12" spans="1:13" ht="22.5" customHeight="1" x14ac:dyDescent="0.45">
      <c r="B12" s="113" t="s">
        <v>0</v>
      </c>
      <c r="C12" s="115" t="s">
        <v>2</v>
      </c>
      <c r="D12" s="115" t="s">
        <v>1</v>
      </c>
      <c r="E12" s="115" t="s">
        <v>39</v>
      </c>
      <c r="F12" s="115" t="s">
        <v>6</v>
      </c>
      <c r="G12" s="115"/>
      <c r="H12" s="102" t="s">
        <v>7</v>
      </c>
    </row>
    <row r="13" spans="1:13" s="3" customFormat="1" ht="22.5" customHeight="1" thickBot="1" x14ac:dyDescent="0.5">
      <c r="A13" s="2"/>
      <c r="B13" s="114"/>
      <c r="C13" s="116"/>
      <c r="D13" s="116"/>
      <c r="E13" s="116"/>
      <c r="F13" s="83" t="s">
        <v>27</v>
      </c>
      <c r="G13" s="83" t="s">
        <v>26</v>
      </c>
      <c r="H13" s="103"/>
      <c r="I13" s="2"/>
      <c r="J13" s="2"/>
      <c r="K13" s="2"/>
      <c r="L13" s="2"/>
      <c r="M13" s="2"/>
    </row>
    <row r="14" spans="1:13" s="3" customFormat="1" ht="23.25" customHeight="1" x14ac:dyDescent="0.45">
      <c r="A14" s="2"/>
      <c r="B14" s="104" t="s">
        <v>5</v>
      </c>
      <c r="C14" s="30" t="s">
        <v>21</v>
      </c>
      <c r="D14" s="31" t="s">
        <v>182</v>
      </c>
      <c r="E14" s="14">
        <v>190</v>
      </c>
      <c r="F14" s="14">
        <v>3</v>
      </c>
      <c r="G14" s="14">
        <v>3</v>
      </c>
      <c r="H14" s="15">
        <f>E14*F14*G14</f>
        <v>1710</v>
      </c>
      <c r="I14" s="2"/>
      <c r="J14" s="2"/>
      <c r="K14" s="2"/>
      <c r="L14" s="2"/>
      <c r="M14" s="2"/>
    </row>
    <row r="15" spans="1:13" s="3" customFormat="1" ht="22.5" customHeight="1" thickBot="1" x14ac:dyDescent="0.5">
      <c r="A15" s="2"/>
      <c r="B15" s="105"/>
      <c r="C15" s="16" t="s">
        <v>40</v>
      </c>
      <c r="D15" s="17" t="s">
        <v>175</v>
      </c>
      <c r="E15" s="18">
        <v>0</v>
      </c>
      <c r="F15" s="18">
        <v>0</v>
      </c>
      <c r="G15" s="18">
        <v>0</v>
      </c>
      <c r="H15" s="19">
        <f t="shared" ref="H15:H28" si="0">E15*F15*G15</f>
        <v>0</v>
      </c>
      <c r="I15" s="2"/>
      <c r="J15" s="2"/>
      <c r="K15" s="2"/>
      <c r="L15" s="2"/>
      <c r="M15" s="2"/>
    </row>
    <row r="16" spans="1:13" s="3" customFormat="1" ht="22.5" customHeight="1" x14ac:dyDescent="0.45">
      <c r="A16" s="2"/>
      <c r="B16" s="92" t="s">
        <v>4</v>
      </c>
      <c r="C16" s="20" t="s">
        <v>40</v>
      </c>
      <c r="D16" s="21" t="s">
        <v>18</v>
      </c>
      <c r="E16" s="22">
        <v>500</v>
      </c>
      <c r="F16" s="23">
        <v>4</v>
      </c>
      <c r="G16" s="23">
        <v>1</v>
      </c>
      <c r="H16" s="15">
        <f t="shared" si="0"/>
        <v>2000</v>
      </c>
      <c r="I16" s="2"/>
      <c r="J16" s="2"/>
      <c r="K16" s="2"/>
      <c r="L16" s="2"/>
      <c r="M16" s="2"/>
    </row>
    <row r="17" spans="2:8" customFormat="1" ht="22.5" customHeight="1" x14ac:dyDescent="0.45">
      <c r="B17" s="93"/>
      <c r="C17" s="86"/>
      <c r="D17" s="35" t="s">
        <v>24</v>
      </c>
      <c r="E17" s="36">
        <v>60</v>
      </c>
      <c r="F17" s="37">
        <v>1</v>
      </c>
      <c r="G17" s="37">
        <v>1</v>
      </c>
      <c r="H17" s="34">
        <f t="shared" si="0"/>
        <v>60</v>
      </c>
    </row>
    <row r="18" spans="2:8" customFormat="1" ht="22.5" customHeight="1" x14ac:dyDescent="0.45">
      <c r="B18" s="93"/>
      <c r="C18" s="86"/>
      <c r="D18" s="25" t="s">
        <v>154</v>
      </c>
      <c r="E18" s="26">
        <v>90</v>
      </c>
      <c r="F18" s="38">
        <v>1</v>
      </c>
      <c r="G18" s="38">
        <v>2</v>
      </c>
      <c r="H18" s="34">
        <f t="shared" si="0"/>
        <v>180</v>
      </c>
    </row>
    <row r="19" spans="2:8" customFormat="1" ht="22.5" customHeight="1" thickBot="1" x14ac:dyDescent="0.5">
      <c r="B19" s="93"/>
      <c r="C19" s="24" t="s">
        <v>20</v>
      </c>
      <c r="D19" s="25" t="s">
        <v>40</v>
      </c>
      <c r="E19" s="26">
        <v>0</v>
      </c>
      <c r="F19" s="38">
        <v>3</v>
      </c>
      <c r="G19" s="38">
        <v>0</v>
      </c>
      <c r="H19" s="34">
        <f t="shared" si="0"/>
        <v>0</v>
      </c>
    </row>
    <row r="20" spans="2:8" customFormat="1" ht="22.5" customHeight="1" x14ac:dyDescent="0.45">
      <c r="B20" s="106" t="s">
        <v>31</v>
      </c>
      <c r="C20" s="85" t="s">
        <v>19</v>
      </c>
      <c r="D20" s="27" t="s">
        <v>38</v>
      </c>
      <c r="E20" s="47">
        <v>1000</v>
      </c>
      <c r="F20" s="39">
        <v>1</v>
      </c>
      <c r="G20" s="39">
        <v>1</v>
      </c>
      <c r="H20" s="40">
        <f>E20*F20*G20</f>
        <v>1000</v>
      </c>
    </row>
    <row r="21" spans="2:8" customFormat="1" ht="22.5" customHeight="1" thickBot="1" x14ac:dyDescent="0.5">
      <c r="B21" s="94"/>
      <c r="C21" s="32" t="s">
        <v>25</v>
      </c>
      <c r="D21" s="28" t="s">
        <v>37</v>
      </c>
      <c r="E21" s="48">
        <v>70</v>
      </c>
      <c r="F21" s="41">
        <v>1</v>
      </c>
      <c r="G21" s="41">
        <v>6</v>
      </c>
      <c r="H21" s="42">
        <f t="shared" si="0"/>
        <v>420</v>
      </c>
    </row>
    <row r="22" spans="2:8" customFormat="1" ht="22.5" customHeight="1" x14ac:dyDescent="0.45">
      <c r="B22" s="107" t="s">
        <v>43</v>
      </c>
      <c r="C22" s="109" t="s">
        <v>42</v>
      </c>
      <c r="D22" s="29" t="s">
        <v>163</v>
      </c>
      <c r="E22" s="49">
        <v>37</v>
      </c>
      <c r="F22" s="37">
        <v>1</v>
      </c>
      <c r="G22" s="37">
        <v>6</v>
      </c>
      <c r="H22" s="34">
        <f t="shared" si="0"/>
        <v>222</v>
      </c>
    </row>
    <row r="23" spans="2:8" customFormat="1" ht="22.5" customHeight="1" x14ac:dyDescent="0.45">
      <c r="B23" s="108"/>
      <c r="C23" s="96"/>
      <c r="D23" s="35" t="s">
        <v>164</v>
      </c>
      <c r="E23" s="50">
        <v>40</v>
      </c>
      <c r="F23" s="37">
        <v>1</v>
      </c>
      <c r="G23" s="37">
        <v>6</v>
      </c>
      <c r="H23" s="34">
        <f t="shared" si="0"/>
        <v>240</v>
      </c>
    </row>
    <row r="24" spans="2:8" customFormat="1" ht="22.5" customHeight="1" x14ac:dyDescent="0.45">
      <c r="B24" s="108"/>
      <c r="C24" s="96"/>
      <c r="D24" s="35" t="s">
        <v>165</v>
      </c>
      <c r="E24" s="50">
        <v>48</v>
      </c>
      <c r="F24" s="37">
        <v>1</v>
      </c>
      <c r="G24" s="37">
        <v>6</v>
      </c>
      <c r="H24" s="34">
        <f t="shared" si="0"/>
        <v>288</v>
      </c>
    </row>
    <row r="25" spans="2:8" customFormat="1" ht="22.5" customHeight="1" x14ac:dyDescent="0.45">
      <c r="B25" s="108"/>
      <c r="C25" s="96"/>
      <c r="D25" s="35" t="s">
        <v>166</v>
      </c>
      <c r="E25" s="50">
        <v>20</v>
      </c>
      <c r="F25" s="37">
        <v>1</v>
      </c>
      <c r="G25" s="37">
        <v>6</v>
      </c>
      <c r="H25" s="34">
        <f t="shared" si="0"/>
        <v>120</v>
      </c>
    </row>
    <row r="26" spans="2:8" customFormat="1" ht="22.5" customHeight="1" x14ac:dyDescent="0.45">
      <c r="B26" s="108"/>
      <c r="C26" s="96"/>
      <c r="D26" s="35" t="s">
        <v>167</v>
      </c>
      <c r="E26" s="50">
        <v>23</v>
      </c>
      <c r="F26" s="37">
        <v>1</v>
      </c>
      <c r="G26" s="37">
        <v>6</v>
      </c>
      <c r="H26" s="34">
        <f t="shared" si="0"/>
        <v>138</v>
      </c>
    </row>
    <row r="27" spans="2:8" customFormat="1" ht="22.5" customHeight="1" x14ac:dyDescent="0.45">
      <c r="B27" s="108"/>
      <c r="C27" s="96"/>
      <c r="D27" s="35" t="s">
        <v>176</v>
      </c>
      <c r="E27" s="50">
        <v>31</v>
      </c>
      <c r="F27" s="37">
        <v>1</v>
      </c>
      <c r="G27" s="37">
        <v>6</v>
      </c>
      <c r="H27" s="34">
        <f t="shared" si="0"/>
        <v>186</v>
      </c>
    </row>
    <row r="28" spans="2:8" customFormat="1" ht="22.5" customHeight="1" thickBot="1" x14ac:dyDescent="0.5">
      <c r="B28" s="108"/>
      <c r="C28" s="96"/>
      <c r="D28" s="35" t="s">
        <v>168</v>
      </c>
      <c r="E28" s="50">
        <v>0</v>
      </c>
      <c r="F28" s="37">
        <v>1</v>
      </c>
      <c r="G28" s="37">
        <v>0</v>
      </c>
      <c r="H28" s="34">
        <f t="shared" si="0"/>
        <v>0</v>
      </c>
    </row>
    <row r="29" spans="2:8" s="33" customFormat="1" ht="22.5" customHeight="1" x14ac:dyDescent="0.45">
      <c r="B29" s="91" t="s">
        <v>3</v>
      </c>
      <c r="C29" s="95" t="s">
        <v>28</v>
      </c>
      <c r="D29" s="43" t="s">
        <v>144</v>
      </c>
      <c r="E29" s="55">
        <v>55</v>
      </c>
      <c r="F29" s="39">
        <v>1</v>
      </c>
      <c r="G29" s="39">
        <v>6</v>
      </c>
      <c r="H29" s="40">
        <f>E29*F29*G29</f>
        <v>330</v>
      </c>
    </row>
    <row r="30" spans="2:8" s="33" customFormat="1" ht="22.5" customHeight="1" x14ac:dyDescent="0.45">
      <c r="B30" s="92"/>
      <c r="C30" s="96"/>
      <c r="D30" s="44" t="s">
        <v>169</v>
      </c>
      <c r="E30" s="51">
        <v>20</v>
      </c>
      <c r="F30" s="37">
        <v>1</v>
      </c>
      <c r="G30" s="37">
        <v>6</v>
      </c>
      <c r="H30" s="45">
        <f t="shared" ref="H30:H36" si="1">E30*F30*G30</f>
        <v>120</v>
      </c>
    </row>
    <row r="31" spans="2:8" s="33" customFormat="1" ht="28.5" customHeight="1" x14ac:dyDescent="0.45">
      <c r="B31" s="92"/>
      <c r="C31" s="96"/>
      <c r="D31" s="44" t="s">
        <v>170</v>
      </c>
      <c r="E31" s="51">
        <v>35</v>
      </c>
      <c r="F31" s="37">
        <v>1</v>
      </c>
      <c r="G31" s="37">
        <v>6</v>
      </c>
      <c r="H31" s="45">
        <f t="shared" si="1"/>
        <v>210</v>
      </c>
    </row>
    <row r="32" spans="2:8" s="33" customFormat="1" ht="22.5" customHeight="1" x14ac:dyDescent="0.45">
      <c r="B32" s="92"/>
      <c r="C32" s="96"/>
      <c r="D32" s="44" t="s">
        <v>171</v>
      </c>
      <c r="E32" s="51">
        <v>20</v>
      </c>
      <c r="F32" s="37">
        <v>1</v>
      </c>
      <c r="G32" s="37">
        <v>6</v>
      </c>
      <c r="H32" s="45">
        <f t="shared" si="1"/>
        <v>120</v>
      </c>
    </row>
    <row r="33" spans="2:8" s="33" customFormat="1" ht="22.5" customHeight="1" x14ac:dyDescent="0.45">
      <c r="B33" s="92"/>
      <c r="C33" s="96"/>
      <c r="D33" s="44" t="s">
        <v>172</v>
      </c>
      <c r="E33" s="51">
        <v>20</v>
      </c>
      <c r="F33" s="37">
        <v>1</v>
      </c>
      <c r="G33" s="37">
        <v>6</v>
      </c>
      <c r="H33" s="45">
        <f t="shared" si="1"/>
        <v>120</v>
      </c>
    </row>
    <row r="34" spans="2:8" s="33" customFormat="1" ht="22.5" customHeight="1" thickBot="1" x14ac:dyDescent="0.5">
      <c r="B34" s="92"/>
      <c r="C34" s="96"/>
      <c r="D34" s="44" t="s">
        <v>44</v>
      </c>
      <c r="E34" s="51">
        <v>25</v>
      </c>
      <c r="F34" s="37">
        <v>1</v>
      </c>
      <c r="G34" s="37">
        <v>6</v>
      </c>
      <c r="H34" s="45">
        <f t="shared" si="1"/>
        <v>150</v>
      </c>
    </row>
    <row r="35" spans="2:8" s="33" customFormat="1" ht="22.5" customHeight="1" x14ac:dyDescent="0.45">
      <c r="B35" s="93"/>
      <c r="C35" s="95" t="s">
        <v>32</v>
      </c>
      <c r="D35" s="43" t="s">
        <v>33</v>
      </c>
      <c r="E35" s="53">
        <v>5</v>
      </c>
      <c r="F35" s="39">
        <v>1</v>
      </c>
      <c r="G35" s="39">
        <v>6</v>
      </c>
      <c r="H35" s="40">
        <f t="shared" si="1"/>
        <v>30</v>
      </c>
    </row>
    <row r="36" spans="2:8" s="33" customFormat="1" ht="22.5" customHeight="1" thickBot="1" x14ac:dyDescent="0.5">
      <c r="B36" s="94"/>
      <c r="C36" s="97"/>
      <c r="D36" s="46" t="s">
        <v>34</v>
      </c>
      <c r="E36" s="52">
        <v>0</v>
      </c>
      <c r="F36" s="41">
        <v>1</v>
      </c>
      <c r="G36" s="41">
        <v>0</v>
      </c>
      <c r="H36" s="42">
        <f t="shared" si="1"/>
        <v>0</v>
      </c>
    </row>
    <row r="37" spans="2:8" s="33" customFormat="1" ht="22.5" customHeight="1" x14ac:dyDescent="0.45">
      <c r="B37" s="98" t="s">
        <v>9</v>
      </c>
      <c r="C37" s="99"/>
      <c r="D37" s="99"/>
      <c r="E37" s="99"/>
      <c r="F37" s="99"/>
      <c r="G37" s="99"/>
      <c r="H37" s="6">
        <f>SUM(H12:H36)</f>
        <v>7644</v>
      </c>
    </row>
    <row r="38" spans="2:8" s="33" customFormat="1" ht="22.5" customHeight="1" x14ac:dyDescent="0.45">
      <c r="B38" s="100" t="s">
        <v>10</v>
      </c>
      <c r="C38" s="101"/>
      <c r="D38" s="101"/>
      <c r="E38" s="101"/>
      <c r="F38" s="101"/>
      <c r="G38" s="101"/>
      <c r="H38" s="4">
        <f>H37/D5</f>
        <v>1274</v>
      </c>
    </row>
    <row r="39" spans="2:8" s="33" customFormat="1" ht="22.5" customHeight="1" x14ac:dyDescent="0.45">
      <c r="B39" s="100" t="s">
        <v>12</v>
      </c>
      <c r="C39" s="101"/>
      <c r="D39" s="101"/>
      <c r="E39" s="101"/>
      <c r="F39" s="101"/>
      <c r="G39" s="101"/>
      <c r="H39" s="4">
        <v>0</v>
      </c>
    </row>
    <row r="40" spans="2:8" s="33" customFormat="1" ht="22.5" customHeight="1" thickBot="1" x14ac:dyDescent="0.5">
      <c r="B40" s="89" t="s">
        <v>11</v>
      </c>
      <c r="C40" s="90"/>
      <c r="D40" s="90"/>
      <c r="E40" s="90"/>
      <c r="F40" s="90"/>
      <c r="G40" s="90"/>
      <c r="H40" s="5">
        <f>H38+H39</f>
        <v>1274</v>
      </c>
    </row>
    <row r="41" spans="2:8" s="33" customFormat="1" ht="22.5" customHeight="1" x14ac:dyDescent="0.45"/>
    <row r="42" spans="2:8" s="33" customFormat="1" ht="16.5" customHeight="1" x14ac:dyDescent="0.45">
      <c r="H42" s="57"/>
    </row>
    <row r="43" spans="2:8" s="33" customFormat="1" ht="16.5" customHeight="1" x14ac:dyDescent="0.45"/>
  </sheetData>
  <mergeCells count="29">
    <mergeCell ref="B2:C2"/>
    <mergeCell ref="E2:H2"/>
    <mergeCell ref="B3:C3"/>
    <mergeCell ref="E3:H10"/>
    <mergeCell ref="B4:C4"/>
    <mergeCell ref="B5:C5"/>
    <mergeCell ref="B6:C6"/>
    <mergeCell ref="B7:C7"/>
    <mergeCell ref="B8:B10"/>
    <mergeCell ref="B11:C11"/>
    <mergeCell ref="E11:G11"/>
    <mergeCell ref="B12:B13"/>
    <mergeCell ref="C12:C13"/>
    <mergeCell ref="D12:D13"/>
    <mergeCell ref="E12:E13"/>
    <mergeCell ref="F12:G12"/>
    <mergeCell ref="H12:H13"/>
    <mergeCell ref="B14:B15"/>
    <mergeCell ref="B16:B19"/>
    <mergeCell ref="B20:B21"/>
    <mergeCell ref="B22:B28"/>
    <mergeCell ref="C22:C28"/>
    <mergeCell ref="B40:G40"/>
    <mergeCell ref="B29:B36"/>
    <mergeCell ref="C29:C34"/>
    <mergeCell ref="C35:C36"/>
    <mergeCell ref="B37:G37"/>
    <mergeCell ref="B38:G38"/>
    <mergeCell ref="B39:G3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O75"/>
  <sheetViews>
    <sheetView topLeftCell="A10" workbookViewId="0">
      <selection activeCell="B51" sqref="B51:N51"/>
    </sheetView>
  </sheetViews>
  <sheetFormatPr defaultColWidth="9" defaultRowHeight="20.149999999999999" customHeight="1" x14ac:dyDescent="0.45"/>
  <cols>
    <col min="1" max="1" width="1.5" style="61" customWidth="1"/>
    <col min="2" max="2" width="9.33203125" style="61" customWidth="1"/>
    <col min="3" max="3" width="10.08203125" style="61" customWidth="1"/>
    <col min="4" max="16384" width="9" style="61"/>
  </cols>
  <sheetData>
    <row r="2" spans="2:14" ht="20.149999999999999" customHeight="1" x14ac:dyDescent="0.45">
      <c r="E2" s="145"/>
      <c r="F2" s="145"/>
      <c r="G2" s="145"/>
      <c r="H2" s="145"/>
      <c r="I2" s="145"/>
      <c r="J2" s="145"/>
      <c r="K2" s="145"/>
      <c r="L2" s="145"/>
      <c r="M2" s="145"/>
      <c r="N2" s="145"/>
    </row>
    <row r="3" spans="2:14" ht="13.5" customHeight="1" x14ac:dyDescent="0.45"/>
    <row r="4" spans="2:14" ht="8.25" customHeight="1" x14ac:dyDescent="0.45"/>
    <row r="5" spans="2:14" ht="20.149999999999999" customHeight="1" x14ac:dyDescent="0.45">
      <c r="B5" s="146" t="s">
        <v>45</v>
      </c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</row>
    <row r="6" spans="2:14" ht="8.25" customHeight="1" x14ac:dyDescent="0.45"/>
    <row r="7" spans="2:14" ht="20.149999999999999" customHeight="1" x14ac:dyDescent="0.45">
      <c r="B7" s="147" t="s">
        <v>46</v>
      </c>
      <c r="C7" s="148"/>
      <c r="D7" s="149" t="s">
        <v>47</v>
      </c>
      <c r="E7" s="150"/>
      <c r="F7" s="150"/>
      <c r="G7" s="150"/>
      <c r="H7" s="147" t="s">
        <v>48</v>
      </c>
      <c r="I7" s="148"/>
      <c r="J7" s="149" t="s">
        <v>49</v>
      </c>
      <c r="K7" s="150"/>
      <c r="L7" s="150"/>
      <c r="M7" s="150"/>
      <c r="N7" s="151"/>
    </row>
    <row r="8" spans="2:14" ht="20.149999999999999" customHeight="1" x14ac:dyDescent="0.45">
      <c r="B8" s="147" t="s">
        <v>50</v>
      </c>
      <c r="C8" s="148"/>
      <c r="D8" s="149" t="s">
        <v>184</v>
      </c>
      <c r="E8" s="150"/>
      <c r="F8" s="150"/>
      <c r="G8" s="150"/>
      <c r="H8" s="147" t="s">
        <v>51</v>
      </c>
      <c r="I8" s="148"/>
      <c r="J8" s="149">
        <v>6</v>
      </c>
      <c r="K8" s="150"/>
      <c r="L8" s="150"/>
      <c r="M8" s="150"/>
      <c r="N8" s="151"/>
    </row>
    <row r="9" spans="2:14" ht="20.149999999999999" customHeight="1" x14ac:dyDescent="0.45">
      <c r="B9" s="157" t="s">
        <v>52</v>
      </c>
      <c r="C9" s="158"/>
      <c r="D9" s="147" t="s">
        <v>53</v>
      </c>
      <c r="E9" s="161"/>
      <c r="F9" s="148"/>
      <c r="G9" s="147" t="s">
        <v>54</v>
      </c>
      <c r="H9" s="161"/>
      <c r="I9" s="148"/>
      <c r="J9" s="147" t="s">
        <v>55</v>
      </c>
      <c r="K9" s="161"/>
      <c r="L9" s="148"/>
      <c r="M9" s="147" t="s">
        <v>56</v>
      </c>
      <c r="N9" s="148"/>
    </row>
    <row r="10" spans="2:14" ht="20.149999999999999" customHeight="1" x14ac:dyDescent="0.45">
      <c r="B10" s="159"/>
      <c r="C10" s="160"/>
      <c r="D10" s="149">
        <v>6</v>
      </c>
      <c r="E10" s="150"/>
      <c r="F10" s="151"/>
      <c r="G10" s="149"/>
      <c r="H10" s="150"/>
      <c r="I10" s="151"/>
      <c r="J10" s="149"/>
      <c r="K10" s="150"/>
      <c r="L10" s="151"/>
      <c r="M10" s="152" t="s">
        <v>57</v>
      </c>
      <c r="N10" s="153"/>
    </row>
    <row r="11" spans="2:14" ht="9" customHeight="1" x14ac:dyDescent="0.45">
      <c r="B11" s="149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1"/>
    </row>
    <row r="12" spans="2:14" ht="20.149999999999999" customHeight="1" x14ac:dyDescent="0.45">
      <c r="B12" s="154" t="s">
        <v>58</v>
      </c>
      <c r="C12" s="155"/>
      <c r="D12" s="154" t="s">
        <v>59</v>
      </c>
      <c r="E12" s="156"/>
      <c r="F12" s="156"/>
      <c r="G12" s="156"/>
      <c r="H12" s="156"/>
      <c r="I12" s="156"/>
      <c r="J12" s="156"/>
      <c r="K12" s="156"/>
      <c r="L12" s="155"/>
      <c r="M12" s="154" t="s">
        <v>60</v>
      </c>
      <c r="N12" s="155"/>
    </row>
    <row r="13" spans="2:14" ht="20.149999999999999" customHeight="1" x14ac:dyDescent="0.45">
      <c r="B13" s="162" t="s">
        <v>61</v>
      </c>
      <c r="C13" s="163"/>
      <c r="D13" s="154" t="s">
        <v>62</v>
      </c>
      <c r="E13" s="155"/>
      <c r="F13" s="152" t="s">
        <v>63</v>
      </c>
      <c r="G13" s="166"/>
      <c r="H13" s="153"/>
      <c r="I13" s="62" t="s">
        <v>64</v>
      </c>
      <c r="J13" s="152" t="s">
        <v>65</v>
      </c>
      <c r="K13" s="166"/>
      <c r="L13" s="153"/>
      <c r="M13" s="167"/>
      <c r="N13" s="167"/>
    </row>
    <row r="14" spans="2:14" ht="20.149999999999999" customHeight="1" x14ac:dyDescent="0.45">
      <c r="B14" s="164"/>
      <c r="C14" s="165"/>
      <c r="D14" s="154" t="s">
        <v>66</v>
      </c>
      <c r="E14" s="155"/>
      <c r="F14" s="152" t="s">
        <v>63</v>
      </c>
      <c r="G14" s="166"/>
      <c r="H14" s="153"/>
      <c r="I14" s="62" t="s">
        <v>67</v>
      </c>
      <c r="J14" s="152" t="s">
        <v>63</v>
      </c>
      <c r="K14" s="166"/>
      <c r="L14" s="153"/>
      <c r="M14" s="168" t="s">
        <v>68</v>
      </c>
      <c r="N14" s="169"/>
    </row>
    <row r="15" spans="2:14" ht="20.149999999999999" customHeight="1" x14ac:dyDescent="0.45">
      <c r="B15" s="170" t="s">
        <v>69</v>
      </c>
      <c r="C15" s="171"/>
      <c r="D15" s="154" t="s">
        <v>70</v>
      </c>
      <c r="E15" s="155"/>
      <c r="F15" s="152" t="s">
        <v>71</v>
      </c>
      <c r="G15" s="166"/>
      <c r="H15" s="153"/>
      <c r="I15" s="62" t="s">
        <v>72</v>
      </c>
      <c r="J15" s="152" t="s">
        <v>73</v>
      </c>
      <c r="K15" s="166"/>
      <c r="L15" s="153"/>
      <c r="M15" s="172"/>
      <c r="N15" s="173"/>
    </row>
    <row r="16" spans="2:14" ht="20.149999999999999" customHeight="1" x14ac:dyDescent="0.45">
      <c r="B16" s="170" t="s">
        <v>28</v>
      </c>
      <c r="C16" s="171"/>
      <c r="D16" s="152" t="s">
        <v>74</v>
      </c>
      <c r="E16" s="166"/>
      <c r="F16" s="166" t="s">
        <v>75</v>
      </c>
      <c r="G16" s="166"/>
      <c r="H16" s="166" t="s">
        <v>76</v>
      </c>
      <c r="I16" s="166"/>
      <c r="J16" s="166" t="s">
        <v>77</v>
      </c>
      <c r="K16" s="166"/>
      <c r="L16" s="63"/>
      <c r="M16" s="174" t="s">
        <v>78</v>
      </c>
      <c r="N16" s="175"/>
    </row>
    <row r="17" spans="2:15" ht="20.149999999999999" customHeight="1" x14ac:dyDescent="0.45">
      <c r="B17" s="170" t="s">
        <v>79</v>
      </c>
      <c r="C17" s="171"/>
      <c r="D17" s="152" t="s">
        <v>80</v>
      </c>
      <c r="E17" s="166"/>
      <c r="F17" s="166" t="s">
        <v>81</v>
      </c>
      <c r="G17" s="166"/>
      <c r="H17" s="64"/>
      <c r="I17" s="64"/>
      <c r="J17" s="64"/>
      <c r="K17" s="64"/>
      <c r="L17" s="63"/>
      <c r="M17" s="174" t="s">
        <v>82</v>
      </c>
      <c r="N17" s="175"/>
    </row>
    <row r="18" spans="2:15" ht="20.149999999999999" customHeight="1" x14ac:dyDescent="0.45">
      <c r="B18" s="170" t="s">
        <v>83</v>
      </c>
      <c r="C18" s="171"/>
      <c r="D18" s="152" t="s">
        <v>84</v>
      </c>
      <c r="E18" s="166"/>
      <c r="F18" s="166" t="s">
        <v>85</v>
      </c>
      <c r="G18" s="166"/>
      <c r="H18" s="176" t="s">
        <v>157</v>
      </c>
      <c r="I18" s="176"/>
      <c r="J18" s="176"/>
      <c r="K18" s="176"/>
      <c r="L18" s="177"/>
      <c r="M18" s="172"/>
      <c r="N18" s="173"/>
    </row>
    <row r="19" spans="2:15" ht="20.149999999999999" customHeight="1" x14ac:dyDescent="0.45">
      <c r="B19" s="170" t="s">
        <v>86</v>
      </c>
      <c r="C19" s="171"/>
      <c r="D19" s="152" t="s">
        <v>88</v>
      </c>
      <c r="E19" s="166"/>
      <c r="F19" s="166" t="s">
        <v>89</v>
      </c>
      <c r="G19" s="166"/>
      <c r="H19" s="166"/>
      <c r="I19" s="166"/>
      <c r="J19" s="166"/>
      <c r="K19" s="166"/>
      <c r="L19" s="153"/>
      <c r="M19" s="172"/>
      <c r="N19" s="173"/>
    </row>
    <row r="20" spans="2:15" ht="20.149999999999999" customHeight="1" x14ac:dyDescent="0.45">
      <c r="B20" s="170" t="s">
        <v>90</v>
      </c>
      <c r="C20" s="171"/>
      <c r="D20" s="152" t="s">
        <v>87</v>
      </c>
      <c r="E20" s="166"/>
      <c r="F20" s="166" t="s">
        <v>89</v>
      </c>
      <c r="G20" s="166"/>
      <c r="H20" s="176"/>
      <c r="I20" s="176"/>
      <c r="J20" s="176"/>
      <c r="K20" s="176"/>
      <c r="L20" s="177"/>
      <c r="M20" s="172"/>
      <c r="N20" s="173"/>
    </row>
    <row r="21" spans="2:15" ht="20.149999999999999" customHeight="1" x14ac:dyDescent="0.45">
      <c r="B21" s="170" t="s">
        <v>91</v>
      </c>
      <c r="C21" s="171"/>
      <c r="D21" s="152" t="s">
        <v>92</v>
      </c>
      <c r="E21" s="166"/>
      <c r="F21" s="166" t="s">
        <v>93</v>
      </c>
      <c r="G21" s="166"/>
      <c r="H21" s="176" t="s">
        <v>63</v>
      </c>
      <c r="I21" s="176"/>
      <c r="J21" s="176"/>
      <c r="K21" s="176"/>
      <c r="L21" s="177"/>
      <c r="M21" s="172"/>
      <c r="N21" s="173"/>
    </row>
    <row r="22" spans="2:15" ht="20.149999999999999" customHeight="1" x14ac:dyDescent="0.45">
      <c r="B22" s="170" t="s">
        <v>94</v>
      </c>
      <c r="C22" s="171"/>
      <c r="D22" s="152" t="s">
        <v>84</v>
      </c>
      <c r="E22" s="166"/>
      <c r="F22" s="166" t="s">
        <v>85</v>
      </c>
      <c r="G22" s="166"/>
      <c r="H22" s="176" t="s">
        <v>95</v>
      </c>
      <c r="I22" s="176"/>
      <c r="J22" s="176"/>
      <c r="K22" s="176"/>
      <c r="L22" s="177"/>
      <c r="M22" s="172"/>
      <c r="N22" s="173"/>
    </row>
    <row r="23" spans="2:15" ht="20.149999999999999" customHeight="1" x14ac:dyDescent="0.45">
      <c r="B23" s="170" t="s">
        <v>96</v>
      </c>
      <c r="C23" s="171"/>
      <c r="D23" s="152" t="s">
        <v>84</v>
      </c>
      <c r="E23" s="166"/>
      <c r="F23" s="166" t="s">
        <v>81</v>
      </c>
      <c r="G23" s="166"/>
      <c r="H23" s="176" t="s">
        <v>97</v>
      </c>
      <c r="I23" s="176"/>
      <c r="J23" s="176"/>
      <c r="K23" s="176"/>
      <c r="L23" s="177"/>
      <c r="M23" s="172"/>
      <c r="N23" s="173"/>
    </row>
    <row r="24" spans="2:15" ht="20.149999999999999" customHeight="1" x14ac:dyDescent="0.45">
      <c r="B24" s="170" t="s">
        <v>98</v>
      </c>
      <c r="C24" s="171"/>
      <c r="D24" s="178" t="s">
        <v>99</v>
      </c>
      <c r="E24" s="176"/>
      <c r="F24" s="176"/>
      <c r="G24" s="176"/>
      <c r="H24" s="176"/>
      <c r="I24" s="176"/>
      <c r="J24" s="176"/>
      <c r="K24" s="176"/>
      <c r="L24" s="177"/>
      <c r="M24" s="172"/>
      <c r="N24" s="173"/>
    </row>
    <row r="25" spans="2:15" ht="20.149999999999999" customHeight="1" x14ac:dyDescent="0.45">
      <c r="B25" s="186" t="s">
        <v>100</v>
      </c>
      <c r="C25" s="186"/>
      <c r="D25" s="178" t="s">
        <v>101</v>
      </c>
      <c r="E25" s="176"/>
      <c r="F25" s="176"/>
      <c r="G25" s="176"/>
      <c r="H25" s="176"/>
      <c r="I25" s="176"/>
      <c r="J25" s="176"/>
      <c r="K25" s="176"/>
      <c r="L25" s="177"/>
      <c r="M25" s="172"/>
      <c r="N25" s="173"/>
    </row>
    <row r="26" spans="2:15" ht="81.75" customHeight="1" x14ac:dyDescent="0.45">
      <c r="B26" s="170" t="s">
        <v>102</v>
      </c>
      <c r="C26" s="171"/>
      <c r="D26" s="187" t="s">
        <v>178</v>
      </c>
      <c r="E26" s="176"/>
      <c r="F26" s="176"/>
      <c r="G26" s="176"/>
      <c r="H26" s="176"/>
      <c r="I26" s="176"/>
      <c r="J26" s="176"/>
      <c r="K26" s="176"/>
      <c r="L26" s="177"/>
      <c r="M26" s="65"/>
      <c r="N26" s="66"/>
    </row>
    <row r="27" spans="2:15" ht="51" customHeight="1" x14ac:dyDescent="0.45">
      <c r="B27" s="186" t="s">
        <v>103</v>
      </c>
      <c r="C27" s="186"/>
      <c r="D27" s="187" t="s">
        <v>104</v>
      </c>
      <c r="E27" s="176"/>
      <c r="F27" s="176"/>
      <c r="G27" s="176"/>
      <c r="H27" s="176"/>
      <c r="I27" s="176"/>
      <c r="J27" s="176"/>
      <c r="K27" s="176"/>
      <c r="L27" s="177"/>
      <c r="M27" s="172"/>
      <c r="N27" s="173"/>
    </row>
    <row r="28" spans="2:15" ht="11.25" customHeight="1" x14ac:dyDescent="0.45"/>
    <row r="29" spans="2:15" ht="20.149999999999999" customHeight="1" x14ac:dyDescent="0.45">
      <c r="B29" s="67" t="s">
        <v>105</v>
      </c>
      <c r="C29" s="67" t="s">
        <v>106</v>
      </c>
      <c r="D29" s="67" t="s">
        <v>107</v>
      </c>
      <c r="E29" s="67" t="s">
        <v>108</v>
      </c>
      <c r="F29" s="147" t="s">
        <v>109</v>
      </c>
      <c r="G29" s="161"/>
      <c r="H29" s="161"/>
      <c r="I29" s="161"/>
      <c r="J29" s="161"/>
      <c r="K29" s="161"/>
      <c r="L29" s="148"/>
      <c r="M29" s="147" t="s">
        <v>28</v>
      </c>
      <c r="N29" s="148"/>
    </row>
    <row r="30" spans="2:15" s="72" customFormat="1" ht="20.149999999999999" customHeight="1" x14ac:dyDescent="0.45">
      <c r="B30" s="68" t="s">
        <v>110</v>
      </c>
      <c r="C30" s="69" t="s">
        <v>111</v>
      </c>
      <c r="D30" s="69" t="s">
        <v>40</v>
      </c>
      <c r="E30" s="70" t="s">
        <v>112</v>
      </c>
      <c r="F30" s="179" t="s">
        <v>113</v>
      </c>
      <c r="G30" s="180"/>
      <c r="H30" s="180"/>
      <c r="I30" s="180"/>
      <c r="J30" s="180"/>
      <c r="K30" s="180"/>
      <c r="L30" s="181"/>
      <c r="M30" s="182"/>
      <c r="N30" s="183"/>
      <c r="O30" s="71"/>
    </row>
    <row r="31" spans="2:15" s="72" customFormat="1" ht="20.149999999999999" customHeight="1" x14ac:dyDescent="0.45">
      <c r="B31" s="69"/>
      <c r="C31" s="69" t="s">
        <v>114</v>
      </c>
      <c r="D31" s="69"/>
      <c r="E31" s="70" t="s">
        <v>115</v>
      </c>
      <c r="F31" s="142" t="s">
        <v>116</v>
      </c>
      <c r="G31" s="143"/>
      <c r="H31" s="143"/>
      <c r="I31" s="143"/>
      <c r="J31" s="143"/>
      <c r="K31" s="143"/>
      <c r="L31" s="144"/>
      <c r="M31" s="184"/>
      <c r="N31" s="185"/>
    </row>
    <row r="32" spans="2:15" s="72" customFormat="1" ht="20.149999999999999" customHeight="1" x14ac:dyDescent="0.45">
      <c r="B32" s="69"/>
      <c r="C32" s="69"/>
      <c r="D32" s="69"/>
      <c r="E32" s="70"/>
      <c r="F32" s="142" t="s">
        <v>117</v>
      </c>
      <c r="G32" s="143"/>
      <c r="H32" s="143"/>
      <c r="I32" s="143"/>
      <c r="J32" s="143"/>
      <c r="K32" s="143"/>
      <c r="L32" s="144"/>
      <c r="M32" s="73"/>
      <c r="N32" s="74"/>
    </row>
    <row r="33" spans="2:14" s="72" customFormat="1" ht="20.149999999999999" customHeight="1" x14ac:dyDescent="0.45">
      <c r="B33" s="69"/>
      <c r="C33" s="69"/>
      <c r="D33" s="69"/>
      <c r="E33" s="69"/>
      <c r="F33" s="142" t="s">
        <v>118</v>
      </c>
      <c r="G33" s="143"/>
      <c r="H33" s="143"/>
      <c r="I33" s="143"/>
      <c r="J33" s="143"/>
      <c r="K33" s="143"/>
      <c r="L33" s="144"/>
      <c r="M33" s="184"/>
      <c r="N33" s="185"/>
    </row>
    <row r="34" spans="2:14" s="72" customFormat="1" ht="20.149999999999999" customHeight="1" x14ac:dyDescent="0.45">
      <c r="B34" s="188" t="s">
        <v>185</v>
      </c>
      <c r="C34" s="189"/>
      <c r="D34" s="189"/>
      <c r="E34" s="189"/>
      <c r="F34" s="189"/>
      <c r="G34" s="189"/>
      <c r="H34" s="189"/>
      <c r="I34" s="189"/>
      <c r="J34" s="189"/>
      <c r="K34" s="189"/>
      <c r="L34" s="189"/>
      <c r="M34" s="189"/>
      <c r="N34" s="190"/>
    </row>
    <row r="35" spans="2:14" s="72" customFormat="1" ht="20.149999999999999" customHeight="1" x14ac:dyDescent="0.45">
      <c r="B35" s="68" t="s">
        <v>119</v>
      </c>
      <c r="C35" s="69"/>
      <c r="D35" s="69" t="s">
        <v>120</v>
      </c>
      <c r="E35" s="70"/>
      <c r="F35" s="179" t="s">
        <v>121</v>
      </c>
      <c r="G35" s="180"/>
      <c r="H35" s="180"/>
      <c r="I35" s="180"/>
      <c r="J35" s="180"/>
      <c r="K35" s="180"/>
      <c r="L35" s="181"/>
      <c r="M35" s="182" t="s">
        <v>122</v>
      </c>
      <c r="N35" s="183"/>
    </row>
    <row r="36" spans="2:14" s="72" customFormat="1" ht="20.149999999999999" customHeight="1" x14ac:dyDescent="0.45">
      <c r="B36" s="75"/>
      <c r="C36" s="69" t="s">
        <v>123</v>
      </c>
      <c r="D36" s="69"/>
      <c r="E36" s="70"/>
      <c r="F36" s="142" t="s">
        <v>159</v>
      </c>
      <c r="G36" s="143"/>
      <c r="H36" s="143"/>
      <c r="I36" s="143"/>
      <c r="J36" s="143"/>
      <c r="K36" s="143"/>
      <c r="L36" s="144"/>
      <c r="M36" s="184"/>
      <c r="N36" s="185"/>
    </row>
    <row r="37" spans="2:14" s="72" customFormat="1" ht="20.149999999999999" customHeight="1" x14ac:dyDescent="0.45">
      <c r="B37" s="69"/>
      <c r="C37" s="69" t="s">
        <v>63</v>
      </c>
      <c r="D37" s="69"/>
      <c r="E37" s="70"/>
      <c r="F37" s="142" t="s">
        <v>160</v>
      </c>
      <c r="G37" s="143"/>
      <c r="H37" s="143"/>
      <c r="I37" s="143"/>
      <c r="J37" s="143"/>
      <c r="K37" s="143"/>
      <c r="L37" s="144"/>
      <c r="M37" s="184" t="s">
        <v>145</v>
      </c>
      <c r="N37" s="185"/>
    </row>
    <row r="38" spans="2:14" s="72" customFormat="1" ht="20.149999999999999" customHeight="1" x14ac:dyDescent="0.45">
      <c r="B38" s="75"/>
      <c r="C38" s="69" t="s">
        <v>115</v>
      </c>
      <c r="D38" s="69"/>
      <c r="E38" s="69"/>
      <c r="F38" s="142" t="s">
        <v>161</v>
      </c>
      <c r="G38" s="143"/>
      <c r="H38" s="143"/>
      <c r="I38" s="143"/>
      <c r="J38" s="143"/>
      <c r="K38" s="143"/>
      <c r="L38" s="144"/>
      <c r="M38" s="184"/>
      <c r="N38" s="185"/>
    </row>
    <row r="39" spans="2:14" s="72" customFormat="1" ht="20.149999999999999" customHeight="1" x14ac:dyDescent="0.45">
      <c r="B39" s="75"/>
      <c r="C39" s="69"/>
      <c r="D39" s="69"/>
      <c r="E39" s="69"/>
      <c r="F39" s="142" t="s">
        <v>173</v>
      </c>
      <c r="G39" s="143"/>
      <c r="H39" s="143"/>
      <c r="I39" s="143"/>
      <c r="J39" s="143"/>
      <c r="K39" s="143"/>
      <c r="L39" s="144"/>
      <c r="M39" s="184" t="s">
        <v>146</v>
      </c>
      <c r="N39" s="185"/>
    </row>
    <row r="40" spans="2:14" s="72" customFormat="1" ht="20.149999999999999" customHeight="1" x14ac:dyDescent="0.45">
      <c r="B40" s="75"/>
      <c r="C40" s="69"/>
      <c r="D40" s="69"/>
      <c r="E40" s="69"/>
      <c r="F40" s="142" t="s">
        <v>124</v>
      </c>
      <c r="G40" s="143"/>
      <c r="H40" s="143"/>
      <c r="I40" s="143"/>
      <c r="J40" s="143"/>
      <c r="K40" s="143"/>
      <c r="L40" s="144"/>
      <c r="M40" s="73"/>
      <c r="N40" s="74"/>
    </row>
    <row r="41" spans="2:14" s="72" customFormat="1" ht="20.149999999999999" customHeight="1" x14ac:dyDescent="0.45">
      <c r="B41" s="75"/>
      <c r="C41" s="69"/>
      <c r="D41" s="69"/>
      <c r="E41" s="69"/>
      <c r="F41" s="142" t="s">
        <v>147</v>
      </c>
      <c r="G41" s="143"/>
      <c r="H41" s="143"/>
      <c r="I41" s="143"/>
      <c r="J41" s="143"/>
      <c r="K41" s="143"/>
      <c r="L41" s="144"/>
      <c r="M41" s="73"/>
      <c r="N41" s="74"/>
    </row>
    <row r="42" spans="2:14" s="72" customFormat="1" ht="20.149999999999999" customHeight="1" x14ac:dyDescent="0.45">
      <c r="B42" s="75"/>
      <c r="C42" s="69"/>
      <c r="D42" s="69"/>
      <c r="E42" s="69"/>
      <c r="F42" s="142" t="s">
        <v>125</v>
      </c>
      <c r="G42" s="143"/>
      <c r="H42" s="143"/>
      <c r="I42" s="143"/>
      <c r="J42" s="143"/>
      <c r="K42" s="143"/>
      <c r="L42" s="144"/>
      <c r="M42" s="73"/>
      <c r="N42" s="74"/>
    </row>
    <row r="43" spans="2:14" s="72" customFormat="1" ht="20.149999999999999" customHeight="1" x14ac:dyDescent="0.45">
      <c r="B43" s="69"/>
      <c r="C43" s="69" t="s">
        <v>40</v>
      </c>
      <c r="D43" s="69"/>
      <c r="E43" s="69"/>
      <c r="F43" s="142" t="s">
        <v>126</v>
      </c>
      <c r="G43" s="143"/>
      <c r="H43" s="143"/>
      <c r="I43" s="143"/>
      <c r="J43" s="143"/>
      <c r="K43" s="143"/>
      <c r="L43" s="144"/>
      <c r="M43" s="184"/>
      <c r="N43" s="185"/>
    </row>
    <row r="44" spans="2:14" s="72" customFormat="1" ht="20.149999999999999" customHeight="1" x14ac:dyDescent="0.45">
      <c r="B44" s="188" t="s">
        <v>185</v>
      </c>
      <c r="C44" s="189"/>
      <c r="D44" s="189"/>
      <c r="E44" s="189"/>
      <c r="F44" s="189"/>
      <c r="G44" s="189"/>
      <c r="H44" s="189"/>
      <c r="I44" s="189"/>
      <c r="J44" s="189"/>
      <c r="K44" s="189"/>
      <c r="L44" s="189"/>
      <c r="M44" s="189"/>
      <c r="N44" s="190"/>
    </row>
    <row r="45" spans="2:14" s="72" customFormat="1" ht="20.149999999999999" customHeight="1" x14ac:dyDescent="0.45">
      <c r="B45" s="68" t="s">
        <v>127</v>
      </c>
      <c r="C45" s="69" t="s">
        <v>128</v>
      </c>
      <c r="D45" s="69" t="s">
        <v>129</v>
      </c>
      <c r="E45" s="70"/>
      <c r="F45" s="179" t="s">
        <v>130</v>
      </c>
      <c r="G45" s="180"/>
      <c r="H45" s="180"/>
      <c r="I45" s="180"/>
      <c r="J45" s="180"/>
      <c r="K45" s="180"/>
      <c r="L45" s="181"/>
      <c r="M45" s="182" t="s">
        <v>131</v>
      </c>
      <c r="N45" s="183"/>
    </row>
    <row r="46" spans="2:14" s="72" customFormat="1" ht="20.149999999999999" customHeight="1" x14ac:dyDescent="0.45">
      <c r="B46" s="75"/>
      <c r="C46" s="69" t="s">
        <v>132</v>
      </c>
      <c r="D46" s="69"/>
      <c r="E46" s="70"/>
      <c r="F46" s="142" t="s">
        <v>148</v>
      </c>
      <c r="G46" s="143"/>
      <c r="H46" s="143"/>
      <c r="I46" s="143"/>
      <c r="J46" s="143"/>
      <c r="K46" s="143"/>
      <c r="L46" s="144"/>
      <c r="M46" s="184"/>
      <c r="N46" s="185"/>
    </row>
    <row r="47" spans="2:14" s="72" customFormat="1" ht="20.149999999999999" customHeight="1" x14ac:dyDescent="0.45">
      <c r="B47" s="69"/>
      <c r="C47" s="69"/>
      <c r="D47" s="69"/>
      <c r="E47" s="70"/>
      <c r="F47" s="142" t="s">
        <v>149</v>
      </c>
      <c r="G47" s="143"/>
      <c r="H47" s="143"/>
      <c r="I47" s="143"/>
      <c r="J47" s="143"/>
      <c r="K47" s="143"/>
      <c r="L47" s="144"/>
      <c r="M47" s="184" t="s">
        <v>150</v>
      </c>
      <c r="N47" s="185"/>
    </row>
    <row r="48" spans="2:14" s="72" customFormat="1" ht="20.149999999999999" customHeight="1" x14ac:dyDescent="0.45">
      <c r="B48" s="69"/>
      <c r="C48" s="69"/>
      <c r="D48" s="69"/>
      <c r="E48" s="70"/>
      <c r="F48" s="142" t="s">
        <v>174</v>
      </c>
      <c r="G48" s="143"/>
      <c r="H48" s="143"/>
      <c r="I48" s="143"/>
      <c r="J48" s="143"/>
      <c r="K48" s="143"/>
      <c r="L48" s="144"/>
      <c r="M48" s="184" t="s">
        <v>40</v>
      </c>
      <c r="N48" s="185"/>
    </row>
    <row r="49" spans="2:14" s="72" customFormat="1" ht="20.149999999999999" customHeight="1" x14ac:dyDescent="0.45">
      <c r="B49" s="69"/>
      <c r="C49" s="69"/>
      <c r="D49" s="69"/>
      <c r="E49" s="70"/>
      <c r="F49" s="142" t="s">
        <v>156</v>
      </c>
      <c r="G49" s="143"/>
      <c r="H49" s="143"/>
      <c r="I49" s="143"/>
      <c r="J49" s="143"/>
      <c r="K49" s="143"/>
      <c r="L49" s="144"/>
      <c r="M49" s="184" t="s">
        <v>155</v>
      </c>
      <c r="N49" s="185"/>
    </row>
    <row r="50" spans="2:14" s="72" customFormat="1" ht="20.149999999999999" customHeight="1" x14ac:dyDescent="0.45">
      <c r="B50" s="69"/>
      <c r="C50" s="69"/>
      <c r="D50" s="69"/>
      <c r="E50" s="69"/>
      <c r="F50" s="142" t="s">
        <v>133</v>
      </c>
      <c r="G50" s="143"/>
      <c r="H50" s="143"/>
      <c r="I50" s="143"/>
      <c r="J50" s="143"/>
      <c r="K50" s="143"/>
      <c r="L50" s="144"/>
      <c r="M50" s="184" t="s">
        <v>40</v>
      </c>
      <c r="N50" s="185"/>
    </row>
    <row r="51" spans="2:14" s="72" customFormat="1" ht="20.149999999999999" customHeight="1" x14ac:dyDescent="0.45">
      <c r="B51" s="188" t="s">
        <v>185</v>
      </c>
      <c r="C51" s="189"/>
      <c r="D51" s="189"/>
      <c r="E51" s="189"/>
      <c r="F51" s="189"/>
      <c r="G51" s="189"/>
      <c r="H51" s="189"/>
      <c r="I51" s="189"/>
      <c r="J51" s="189"/>
      <c r="K51" s="189"/>
      <c r="L51" s="189"/>
      <c r="M51" s="189"/>
      <c r="N51" s="190"/>
    </row>
    <row r="52" spans="2:14" s="72" customFormat="1" ht="20.149999999999999" customHeight="1" x14ac:dyDescent="0.45">
      <c r="B52" s="68" t="s">
        <v>134</v>
      </c>
      <c r="C52" s="69" t="s">
        <v>128</v>
      </c>
      <c r="D52" s="69" t="s">
        <v>129</v>
      </c>
      <c r="E52" s="70"/>
      <c r="F52" s="179" t="s">
        <v>121</v>
      </c>
      <c r="G52" s="180"/>
      <c r="H52" s="180"/>
      <c r="I52" s="180"/>
      <c r="J52" s="180"/>
      <c r="K52" s="180"/>
      <c r="L52" s="181"/>
      <c r="M52" s="182" t="s">
        <v>131</v>
      </c>
      <c r="N52" s="183"/>
    </row>
    <row r="53" spans="2:14" s="72" customFormat="1" ht="20.149999999999999" customHeight="1" x14ac:dyDescent="0.45">
      <c r="B53" s="69"/>
      <c r="C53" s="69" t="s">
        <v>115</v>
      </c>
      <c r="D53" s="69"/>
      <c r="E53" s="70" t="s">
        <v>132</v>
      </c>
      <c r="F53" s="142" t="s">
        <v>135</v>
      </c>
      <c r="G53" s="143"/>
      <c r="H53" s="143"/>
      <c r="I53" s="143"/>
      <c r="J53" s="143"/>
      <c r="K53" s="143"/>
      <c r="L53" s="144"/>
      <c r="M53" s="184"/>
      <c r="N53" s="185"/>
    </row>
    <row r="54" spans="2:14" s="72" customFormat="1" ht="20.149999999999999" customHeight="1" x14ac:dyDescent="0.45">
      <c r="B54" s="69"/>
      <c r="C54" s="69"/>
      <c r="D54" s="69"/>
      <c r="E54" s="70"/>
      <c r="F54" s="142" t="s">
        <v>151</v>
      </c>
      <c r="G54" s="143"/>
      <c r="H54" s="143"/>
      <c r="I54" s="143"/>
      <c r="J54" s="143"/>
      <c r="K54" s="143"/>
      <c r="L54" s="144"/>
      <c r="M54" s="184" t="s">
        <v>153</v>
      </c>
      <c r="N54" s="185"/>
    </row>
    <row r="55" spans="2:14" s="72" customFormat="1" ht="20.149999999999999" customHeight="1" x14ac:dyDescent="0.45">
      <c r="B55" s="69"/>
      <c r="C55" s="69"/>
      <c r="D55" s="69"/>
      <c r="E55" s="70"/>
      <c r="F55" s="142" t="s">
        <v>152</v>
      </c>
      <c r="G55" s="143"/>
      <c r="H55" s="143"/>
      <c r="I55" s="143"/>
      <c r="J55" s="143"/>
      <c r="K55" s="143"/>
      <c r="L55" s="144"/>
      <c r="M55" s="184"/>
      <c r="N55" s="185"/>
    </row>
    <row r="56" spans="2:14" s="72" customFormat="1" ht="20.149999999999999" customHeight="1" x14ac:dyDescent="0.45">
      <c r="B56" s="69"/>
      <c r="C56" s="69"/>
      <c r="D56" s="69"/>
      <c r="E56" s="70"/>
      <c r="F56" s="142" t="s">
        <v>158</v>
      </c>
      <c r="G56" s="143"/>
      <c r="H56" s="143"/>
      <c r="I56" s="143"/>
      <c r="J56" s="143"/>
      <c r="K56" s="143"/>
      <c r="L56" s="144"/>
      <c r="M56" s="184" t="s">
        <v>136</v>
      </c>
      <c r="N56" s="185"/>
    </row>
    <row r="57" spans="2:14" s="72" customFormat="1" ht="20.149999999999999" customHeight="1" x14ac:dyDescent="0.45">
      <c r="B57" s="69"/>
      <c r="C57" s="69"/>
      <c r="D57" s="69"/>
      <c r="E57" s="70"/>
      <c r="F57" s="87" t="s">
        <v>137</v>
      </c>
      <c r="G57" s="79"/>
      <c r="H57" s="79"/>
      <c r="I57" s="79"/>
      <c r="J57" s="79"/>
      <c r="K57" s="79"/>
      <c r="L57" s="88"/>
      <c r="M57" s="184"/>
      <c r="N57" s="185"/>
    </row>
    <row r="58" spans="2:14" s="72" customFormat="1" ht="20.149999999999999" customHeight="1" x14ac:dyDescent="0.45">
      <c r="B58" s="75"/>
      <c r="C58" s="69"/>
      <c r="D58" s="69" t="s">
        <v>115</v>
      </c>
      <c r="E58" s="70" t="s">
        <v>115</v>
      </c>
      <c r="F58" s="195" t="s">
        <v>138</v>
      </c>
      <c r="G58" s="196"/>
      <c r="H58" s="196"/>
      <c r="I58" s="196"/>
      <c r="J58" s="196"/>
      <c r="K58" s="196"/>
      <c r="L58" s="197"/>
      <c r="M58" s="184"/>
      <c r="N58" s="185"/>
    </row>
    <row r="59" spans="2:14" s="72" customFormat="1" ht="20.149999999999999" customHeight="1" x14ac:dyDescent="0.45">
      <c r="B59" s="76"/>
      <c r="C59" s="76" t="s">
        <v>139</v>
      </c>
      <c r="D59" s="76"/>
      <c r="E59" s="77" t="s">
        <v>40</v>
      </c>
      <c r="F59" s="198" t="s">
        <v>140</v>
      </c>
      <c r="G59" s="199"/>
      <c r="H59" s="199"/>
      <c r="I59" s="199"/>
      <c r="J59" s="199"/>
      <c r="K59" s="199"/>
      <c r="L59" s="200"/>
      <c r="M59" s="201"/>
      <c r="N59" s="202"/>
    </row>
    <row r="60" spans="2:14" s="72" customFormat="1" ht="20.149999999999999" customHeight="1" x14ac:dyDescent="0.45">
      <c r="B60" s="73"/>
      <c r="C60" s="78"/>
      <c r="D60" s="78"/>
      <c r="E60" s="78"/>
      <c r="F60" s="79"/>
      <c r="G60" s="79"/>
      <c r="H60" s="79"/>
      <c r="I60" s="79"/>
      <c r="J60" s="79"/>
      <c r="K60" s="79"/>
      <c r="L60" s="79"/>
      <c r="M60" s="78"/>
      <c r="N60" s="78"/>
    </row>
    <row r="61" spans="2:14" s="72" customFormat="1" ht="20.149999999999999" customHeight="1" x14ac:dyDescent="0.45">
      <c r="B61" s="191" t="s">
        <v>141</v>
      </c>
      <c r="C61" s="191"/>
      <c r="D61" s="191"/>
      <c r="E61" s="191"/>
      <c r="F61" s="191"/>
      <c r="G61" s="191"/>
      <c r="H61" s="191"/>
      <c r="I61" s="191"/>
      <c r="J61" s="191"/>
      <c r="K61" s="191"/>
      <c r="L61" s="191"/>
      <c r="M61" s="191"/>
      <c r="N61" s="191"/>
    </row>
    <row r="62" spans="2:14" s="72" customFormat="1" ht="20.149999999999999" customHeight="1" x14ac:dyDescent="0.45"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</row>
    <row r="63" spans="2:14" s="72" customFormat="1" ht="20.149999999999999" customHeight="1" x14ac:dyDescent="0.45">
      <c r="B63" s="192" t="s">
        <v>142</v>
      </c>
      <c r="C63" s="146"/>
      <c r="D63" s="146"/>
      <c r="E63" s="146"/>
      <c r="F63" s="146"/>
      <c r="G63" s="146"/>
      <c r="H63" s="146"/>
      <c r="I63" s="146"/>
      <c r="J63" s="146"/>
      <c r="K63" s="146"/>
      <c r="L63" s="146"/>
      <c r="M63" s="146"/>
      <c r="N63" s="146"/>
    </row>
    <row r="64" spans="2:14" s="72" customFormat="1" ht="20.25" customHeight="1" x14ac:dyDescent="0.45">
      <c r="B64" s="193" t="s">
        <v>143</v>
      </c>
      <c r="C64" s="193"/>
      <c r="D64" s="193"/>
      <c r="E64" s="193"/>
      <c r="F64" s="193"/>
      <c r="G64" s="193"/>
      <c r="H64" s="193"/>
      <c r="I64" s="193"/>
      <c r="J64" s="193"/>
      <c r="K64" s="193"/>
      <c r="L64" s="193"/>
      <c r="M64" s="193"/>
      <c r="N64" s="193"/>
    </row>
    <row r="65" spans="2:14" s="72" customFormat="1" ht="20.149999999999999" customHeight="1" x14ac:dyDescent="0.45">
      <c r="B65" s="184"/>
      <c r="C65" s="194"/>
      <c r="D65" s="194"/>
      <c r="E65" s="194"/>
      <c r="F65" s="194"/>
      <c r="G65" s="194"/>
      <c r="H65" s="194"/>
      <c r="I65" s="194"/>
      <c r="J65" s="194"/>
      <c r="K65" s="194"/>
      <c r="L65" s="194"/>
      <c r="M65" s="194"/>
      <c r="N65" s="194"/>
    </row>
    <row r="66" spans="2:14" s="72" customFormat="1" ht="20.149999999999999" customHeight="1" x14ac:dyDescent="0.45">
      <c r="B66" s="78"/>
      <c r="C66" s="78"/>
      <c r="D66" s="78"/>
      <c r="E66" s="81"/>
      <c r="F66" s="143"/>
      <c r="G66" s="143"/>
      <c r="H66" s="143"/>
      <c r="I66" s="143"/>
      <c r="J66" s="143"/>
      <c r="K66" s="143"/>
      <c r="L66" s="143"/>
      <c r="M66" s="194"/>
      <c r="N66" s="194"/>
    </row>
    <row r="67" spans="2:14" s="72" customFormat="1" ht="20.149999999999999" customHeight="1" x14ac:dyDescent="0.45">
      <c r="B67" s="82"/>
      <c r="C67" s="78"/>
      <c r="D67" s="78"/>
      <c r="E67" s="81"/>
      <c r="F67" s="143"/>
      <c r="G67" s="143"/>
      <c r="H67" s="143"/>
      <c r="I67" s="143"/>
      <c r="J67" s="143"/>
      <c r="K67" s="143"/>
      <c r="L67" s="143"/>
      <c r="M67" s="194"/>
      <c r="N67" s="194"/>
    </row>
    <row r="68" spans="2:14" s="72" customFormat="1" ht="20.149999999999999" customHeight="1" x14ac:dyDescent="0.45">
      <c r="B68" s="78"/>
      <c r="C68" s="78"/>
      <c r="D68" s="78"/>
      <c r="E68" s="81"/>
      <c r="F68" s="143"/>
      <c r="G68" s="143"/>
      <c r="H68" s="143"/>
      <c r="I68" s="143"/>
      <c r="J68" s="143"/>
      <c r="K68" s="143"/>
      <c r="L68" s="143"/>
      <c r="M68" s="194"/>
      <c r="N68" s="194"/>
    </row>
    <row r="69" spans="2:14" s="72" customFormat="1" ht="20.149999999999999" customHeight="1" x14ac:dyDescent="0.45">
      <c r="B69" s="82"/>
      <c r="C69" s="78"/>
      <c r="D69" s="78"/>
      <c r="E69" s="78"/>
      <c r="F69" s="143"/>
      <c r="G69" s="143"/>
      <c r="H69" s="143"/>
      <c r="I69" s="143"/>
      <c r="J69" s="143"/>
      <c r="K69" s="143"/>
      <c r="L69" s="143"/>
      <c r="M69" s="194"/>
      <c r="N69" s="194"/>
    </row>
    <row r="70" spans="2:14" s="72" customFormat="1" ht="20.149999999999999" customHeight="1" x14ac:dyDescent="0.45">
      <c r="B70" s="78"/>
      <c r="C70" s="78"/>
      <c r="D70" s="78"/>
      <c r="E70" s="78"/>
      <c r="F70" s="143"/>
      <c r="G70" s="143"/>
      <c r="H70" s="143"/>
      <c r="I70" s="143"/>
      <c r="J70" s="143"/>
      <c r="K70" s="143"/>
      <c r="L70" s="143"/>
      <c r="M70" s="194"/>
      <c r="N70" s="194"/>
    </row>
    <row r="71" spans="2:14" ht="8.25" customHeight="1" x14ac:dyDescent="0.45">
      <c r="B71" s="146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</row>
    <row r="72" spans="2:14" ht="20.149999999999999" customHeight="1" x14ac:dyDescent="0.45">
      <c r="B72" s="191"/>
      <c r="C72" s="191"/>
      <c r="D72" s="191"/>
      <c r="E72" s="191"/>
      <c r="F72" s="191"/>
      <c r="G72" s="191"/>
      <c r="H72" s="191"/>
      <c r="I72" s="191"/>
      <c r="J72" s="191"/>
      <c r="K72" s="191"/>
      <c r="L72" s="191"/>
      <c r="M72" s="191"/>
      <c r="N72" s="191"/>
    </row>
    <row r="73" spans="2:14" ht="20.149999999999999" customHeight="1" x14ac:dyDescent="0.45"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</row>
    <row r="74" spans="2:14" ht="27" customHeight="1" x14ac:dyDescent="0.45">
      <c r="B74" s="192"/>
      <c r="C74" s="146"/>
      <c r="D74" s="146"/>
      <c r="E74" s="146"/>
      <c r="F74" s="146"/>
      <c r="G74" s="146"/>
      <c r="H74" s="146"/>
      <c r="I74" s="146"/>
      <c r="J74" s="146"/>
      <c r="K74" s="146"/>
      <c r="L74" s="146"/>
      <c r="M74" s="146"/>
      <c r="N74" s="146"/>
    </row>
    <row r="75" spans="2:14" ht="41.25" customHeight="1" x14ac:dyDescent="0.45">
      <c r="B75" s="193"/>
      <c r="C75" s="193"/>
      <c r="D75" s="193"/>
      <c r="E75" s="193"/>
      <c r="F75" s="193"/>
      <c r="G75" s="193"/>
      <c r="H75" s="193"/>
      <c r="I75" s="193"/>
      <c r="J75" s="193"/>
      <c r="K75" s="193"/>
      <c r="L75" s="193"/>
      <c r="M75" s="193"/>
      <c r="N75" s="193"/>
    </row>
  </sheetData>
  <mergeCells count="160">
    <mergeCell ref="B64:N64"/>
    <mergeCell ref="B65:N65"/>
    <mergeCell ref="F66:L66"/>
    <mergeCell ref="M66:N66"/>
    <mergeCell ref="F67:L67"/>
    <mergeCell ref="M67:N67"/>
    <mergeCell ref="F58:L58"/>
    <mergeCell ref="M58:N58"/>
    <mergeCell ref="F59:L59"/>
    <mergeCell ref="M59:N59"/>
    <mergeCell ref="B61:N61"/>
    <mergeCell ref="B63:N63"/>
    <mergeCell ref="B71:N71"/>
    <mergeCell ref="B72:N72"/>
    <mergeCell ref="B74:N74"/>
    <mergeCell ref="B75:N75"/>
    <mergeCell ref="F68:L68"/>
    <mergeCell ref="M68:N68"/>
    <mergeCell ref="F69:L69"/>
    <mergeCell ref="M69:N69"/>
    <mergeCell ref="F70:L70"/>
    <mergeCell ref="M70:N70"/>
    <mergeCell ref="F55:L55"/>
    <mergeCell ref="M55:N55"/>
    <mergeCell ref="F56:L56"/>
    <mergeCell ref="M56:N56"/>
    <mergeCell ref="M57:N57"/>
    <mergeCell ref="B51:N51"/>
    <mergeCell ref="F52:L52"/>
    <mergeCell ref="M52:N52"/>
    <mergeCell ref="F53:L53"/>
    <mergeCell ref="M53:N53"/>
    <mergeCell ref="F54:L54"/>
    <mergeCell ref="M54:N54"/>
    <mergeCell ref="F49:L49"/>
    <mergeCell ref="M49:N49"/>
    <mergeCell ref="F50:L50"/>
    <mergeCell ref="M50:N50"/>
    <mergeCell ref="F46:L46"/>
    <mergeCell ref="M46:N46"/>
    <mergeCell ref="F47:L47"/>
    <mergeCell ref="M47:N47"/>
    <mergeCell ref="F48:L48"/>
    <mergeCell ref="M48:N48"/>
    <mergeCell ref="F42:L42"/>
    <mergeCell ref="F43:L43"/>
    <mergeCell ref="M43:N43"/>
    <mergeCell ref="B44:N44"/>
    <mergeCell ref="F45:L45"/>
    <mergeCell ref="M45:N45"/>
    <mergeCell ref="F38:L38"/>
    <mergeCell ref="M38:N38"/>
    <mergeCell ref="F39:L39"/>
    <mergeCell ref="M39:N39"/>
    <mergeCell ref="F40:L40"/>
    <mergeCell ref="F41:L41"/>
    <mergeCell ref="F35:L35"/>
    <mergeCell ref="M35:N35"/>
    <mergeCell ref="F36:L36"/>
    <mergeCell ref="M36:N36"/>
    <mergeCell ref="F37:L37"/>
    <mergeCell ref="M37:N37"/>
    <mergeCell ref="F33:L33"/>
    <mergeCell ref="M33:N33"/>
    <mergeCell ref="B34:N34"/>
    <mergeCell ref="F29:L29"/>
    <mergeCell ref="M29:N29"/>
    <mergeCell ref="F30:L30"/>
    <mergeCell ref="M30:N30"/>
    <mergeCell ref="F31:L31"/>
    <mergeCell ref="M31:N31"/>
    <mergeCell ref="B25:C25"/>
    <mergeCell ref="D25:L25"/>
    <mergeCell ref="M25:N25"/>
    <mergeCell ref="B26:C26"/>
    <mergeCell ref="D26:L26"/>
    <mergeCell ref="B27:C27"/>
    <mergeCell ref="D27:L27"/>
    <mergeCell ref="M27:N27"/>
    <mergeCell ref="B23:C23"/>
    <mergeCell ref="D23:E23"/>
    <mergeCell ref="F23:G23"/>
    <mergeCell ref="H23:L23"/>
    <mergeCell ref="M23:N23"/>
    <mergeCell ref="B24:C24"/>
    <mergeCell ref="D24:L24"/>
    <mergeCell ref="M24:N24"/>
    <mergeCell ref="B21:C21"/>
    <mergeCell ref="D21:E21"/>
    <mergeCell ref="F21:G21"/>
    <mergeCell ref="H21:L21"/>
    <mergeCell ref="M21:N21"/>
    <mergeCell ref="B22:C22"/>
    <mergeCell ref="D22:E22"/>
    <mergeCell ref="F22:G22"/>
    <mergeCell ref="H22:L22"/>
    <mergeCell ref="M22:N22"/>
    <mergeCell ref="B19:C19"/>
    <mergeCell ref="D19:E19"/>
    <mergeCell ref="F19:G19"/>
    <mergeCell ref="H19:L19"/>
    <mergeCell ref="M19:N19"/>
    <mergeCell ref="B20:C20"/>
    <mergeCell ref="D20:E20"/>
    <mergeCell ref="F20:G20"/>
    <mergeCell ref="H20:L20"/>
    <mergeCell ref="M20:N20"/>
    <mergeCell ref="B17:C17"/>
    <mergeCell ref="D17:E17"/>
    <mergeCell ref="F17:G17"/>
    <mergeCell ref="M17:N17"/>
    <mergeCell ref="B18:C18"/>
    <mergeCell ref="D18:E18"/>
    <mergeCell ref="F18:G18"/>
    <mergeCell ref="H18:L18"/>
    <mergeCell ref="M18:N18"/>
    <mergeCell ref="B15:C15"/>
    <mergeCell ref="D15:E15"/>
    <mergeCell ref="F15:H15"/>
    <mergeCell ref="J15:L15"/>
    <mergeCell ref="M15:N15"/>
    <mergeCell ref="B16:C16"/>
    <mergeCell ref="D16:E16"/>
    <mergeCell ref="F16:G16"/>
    <mergeCell ref="H16:I16"/>
    <mergeCell ref="J16:K16"/>
    <mergeCell ref="M16:N16"/>
    <mergeCell ref="B13:C14"/>
    <mergeCell ref="D13:E13"/>
    <mergeCell ref="F13:H13"/>
    <mergeCell ref="J13:L13"/>
    <mergeCell ref="M13:N13"/>
    <mergeCell ref="D14:E14"/>
    <mergeCell ref="F14:H14"/>
    <mergeCell ref="J14:L14"/>
    <mergeCell ref="M14:N14"/>
    <mergeCell ref="F32:L32"/>
    <mergeCell ref="E2:N2"/>
    <mergeCell ref="B5:N5"/>
    <mergeCell ref="B7:C7"/>
    <mergeCell ref="D7:G7"/>
    <mergeCell ref="H7:I7"/>
    <mergeCell ref="J7:N7"/>
    <mergeCell ref="G10:I10"/>
    <mergeCell ref="J10:L10"/>
    <mergeCell ref="M10:N10"/>
    <mergeCell ref="B11:N11"/>
    <mergeCell ref="B12:C12"/>
    <mergeCell ref="D12:L12"/>
    <mergeCell ref="M12:N12"/>
    <mergeCell ref="B8:C8"/>
    <mergeCell ref="D8:G8"/>
    <mergeCell ref="H8:I8"/>
    <mergeCell ref="J8:N8"/>
    <mergeCell ref="B9:C10"/>
    <mergeCell ref="D9:F9"/>
    <mergeCell ref="G9:I9"/>
    <mergeCell ref="J9:L9"/>
    <mergeCell ref="M9:N9"/>
    <mergeCell ref="D10:F10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세부내역서</vt:lpstr>
      <vt:lpstr>일정표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</dc:creator>
  <cp:lastModifiedBy>지현민</cp:lastModifiedBy>
  <cp:lastPrinted>2022-12-20T05:59:31Z</cp:lastPrinted>
  <dcterms:created xsi:type="dcterms:W3CDTF">2021-09-06T01:44:30Z</dcterms:created>
  <dcterms:modified xsi:type="dcterms:W3CDTF">2024-10-16T00:25:20Z</dcterms:modified>
</cp:coreProperties>
</file>