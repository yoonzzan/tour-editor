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hanatour0-my.sharepoint.com/personal/eric_hanatour_com/Documents/바탕 화면/싱가포르   쿠알라 견적 블랙다운/"/>
    </mc:Choice>
  </mc:AlternateContent>
  <xr:revisionPtr revIDLastSave="0" documentId="8_{37986581-81AC-41BE-BDAC-A350AC596197}" xr6:coauthVersionLast="47" xr6:coauthVersionMax="47" xr10:uidLastSave="{00000000-0000-0000-0000-000000000000}"/>
  <bookViews>
    <workbookView xWindow="-110" yWindow="-110" windowWidth="38620" windowHeight="21220" tabRatio="491" xr2:uid="{00000000-000D-0000-FFFF-FFFF00000000}"/>
  </bookViews>
  <sheets>
    <sheet name="세부내역서 6+0" sheetId="35" r:id="rId1"/>
  </sheets>
  <definedNames>
    <definedName name="_xlnm.Print_Area" localSheetId="0">'세부내역서 6+0'!$A$1:$L$74</definedName>
    <definedName name="_xlnm.Print_Titles" localSheetId="0">'세부내역서 6+0'!$1:$5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35" l="1"/>
  <c r="I32" i="35"/>
  <c r="I69" i="35" l="1"/>
  <c r="J69" i="35" s="1"/>
  <c r="I68" i="35"/>
  <c r="J68" i="35" s="1"/>
  <c r="J70" i="35" s="1"/>
  <c r="J66" i="35"/>
  <c r="J65" i="35"/>
  <c r="J67" i="35" s="1"/>
  <c r="J64" i="35"/>
  <c r="J62" i="35"/>
  <c r="J61" i="35"/>
  <c r="J60" i="35"/>
  <c r="J59" i="35"/>
  <c r="J57" i="35"/>
  <c r="J56" i="35"/>
  <c r="J55" i="35"/>
  <c r="J53" i="35"/>
  <c r="J52" i="35"/>
  <c r="J51" i="35"/>
  <c r="J50" i="35"/>
  <c r="J49" i="35"/>
  <c r="J46" i="35"/>
  <c r="I46" i="35"/>
  <c r="J45" i="35"/>
  <c r="J47" i="35" s="1"/>
  <c r="I45" i="35"/>
  <c r="I43" i="35"/>
  <c r="J43" i="35" s="1"/>
  <c r="I42" i="35"/>
  <c r="J42" i="35" s="1"/>
  <c r="I39" i="35"/>
  <c r="J39" i="35" s="1"/>
  <c r="J38" i="35"/>
  <c r="I38" i="35"/>
  <c r="J37" i="35"/>
  <c r="I37" i="35"/>
  <c r="I36" i="35"/>
  <c r="J36" i="35" s="1"/>
  <c r="I35" i="35"/>
  <c r="J35" i="35" s="1"/>
  <c r="I33" i="35"/>
  <c r="J33" i="35" s="1"/>
  <c r="I31" i="35"/>
  <c r="J31" i="35" s="1"/>
  <c r="I30" i="35"/>
  <c r="J30" i="35" s="1"/>
  <c r="I27" i="35"/>
  <c r="J27" i="35" s="1"/>
  <c r="I26" i="35"/>
  <c r="J26" i="35" s="1"/>
  <c r="I25" i="35"/>
  <c r="J25" i="35" s="1"/>
  <c r="I24" i="35"/>
  <c r="J24" i="35" s="1"/>
  <c r="I22" i="35"/>
  <c r="J22" i="35" s="1"/>
  <c r="I21" i="35"/>
  <c r="J21" i="35" s="1"/>
  <c r="I20" i="35"/>
  <c r="J20" i="35" s="1"/>
  <c r="I19" i="35"/>
  <c r="J19" i="35" s="1"/>
  <c r="I18" i="35"/>
  <c r="J18" i="35" s="1"/>
  <c r="I17" i="35"/>
  <c r="J17" i="35" s="1"/>
  <c r="I16" i="35"/>
  <c r="J16" i="35" s="1"/>
  <c r="I15" i="35"/>
  <c r="J15" i="35" s="1"/>
  <c r="I12" i="35"/>
  <c r="J12" i="35" s="1"/>
  <c r="I11" i="35"/>
  <c r="J11" i="35" s="1"/>
  <c r="J13" i="35" s="1"/>
  <c r="I9" i="35"/>
  <c r="J9" i="35" s="1"/>
  <c r="I8" i="35"/>
  <c r="J8" i="35" s="1"/>
  <c r="I7" i="35"/>
  <c r="J7" i="35" s="1"/>
  <c r="J40" i="35" l="1"/>
  <c r="J23" i="35"/>
  <c r="J34" i="35"/>
  <c r="J28" i="35"/>
  <c r="J58" i="35"/>
  <c r="J54" i="35"/>
  <c r="J63" i="35"/>
  <c r="J10" i="35"/>
  <c r="J72" i="35"/>
  <c r="K72" i="35" s="1"/>
  <c r="J44" i="35"/>
  <c r="J71" i="35" l="1"/>
  <c r="K71" i="35" l="1"/>
  <c r="K73" i="35" s="1"/>
  <c r="J73" i="35"/>
</calcChain>
</file>

<file path=xl/sharedStrings.xml><?xml version="1.0" encoding="utf-8"?>
<sst xmlns="http://schemas.openxmlformats.org/spreadsheetml/2006/main" count="152" uniqueCount="100">
  <si>
    <t>단체명</t>
    <phoneticPr fontId="7" type="noConversion"/>
  </si>
  <si>
    <t>구         분</t>
    <phoneticPr fontId="7" type="noConversion"/>
  </si>
  <si>
    <t>1박요금</t>
    <phoneticPr fontId="7" type="noConversion"/>
  </si>
  <si>
    <t>일(박수)</t>
    <phoneticPr fontId="7" type="noConversion"/>
  </si>
  <si>
    <t>총 방갯수</t>
    <phoneticPr fontId="7" type="noConversion"/>
  </si>
  <si>
    <t>총 요금</t>
    <phoneticPr fontId="7" type="noConversion"/>
  </si>
  <si>
    <t>호 텔</t>
    <phoneticPr fontId="7" type="noConversion"/>
  </si>
  <si>
    <t>합      계</t>
    <phoneticPr fontId="7" type="noConversion"/>
  </si>
  <si>
    <t>1인요금</t>
    <phoneticPr fontId="7" type="noConversion"/>
  </si>
  <si>
    <t>일</t>
    <phoneticPr fontId="7" type="noConversion"/>
  </si>
  <si>
    <t>인원</t>
    <phoneticPr fontId="7" type="noConversion"/>
  </si>
  <si>
    <t>총요금</t>
    <phoneticPr fontId="7" type="noConversion"/>
  </si>
  <si>
    <t>비 고</t>
    <phoneticPr fontId="7" type="noConversion"/>
  </si>
  <si>
    <t>식  사</t>
    <phoneticPr fontId="7" type="noConversion"/>
  </si>
  <si>
    <t>석식</t>
    <phoneticPr fontId="7" type="noConversion"/>
  </si>
  <si>
    <t>중식</t>
    <phoneticPr fontId="7" type="noConversion"/>
  </si>
  <si>
    <t>차 량</t>
    <phoneticPr fontId="7" type="noConversion"/>
  </si>
  <si>
    <t>구  분</t>
    <phoneticPr fontId="7" type="noConversion"/>
  </si>
  <si>
    <t>인승</t>
    <phoneticPr fontId="7" type="noConversion"/>
  </si>
  <si>
    <t>요금</t>
    <phoneticPr fontId="7" type="noConversion"/>
  </si>
  <si>
    <t>대수</t>
    <phoneticPr fontId="7" type="noConversion"/>
  </si>
  <si>
    <t>.</t>
    <phoneticPr fontId="7" type="noConversion"/>
  </si>
  <si>
    <t>입장료</t>
    <phoneticPr fontId="7" type="noConversion"/>
  </si>
  <si>
    <t xml:space="preserve">횟 수 </t>
    <phoneticPr fontId="7" type="noConversion"/>
  </si>
  <si>
    <t>가이드</t>
    <phoneticPr fontId="7" type="noConversion"/>
  </si>
  <si>
    <t>전체일정</t>
    <phoneticPr fontId="7" type="noConversion"/>
  </si>
  <si>
    <t>싱가포르 한국인 가이드피</t>
    <phoneticPr fontId="7" type="noConversion"/>
  </si>
  <si>
    <t>싱가폴 기사팁</t>
    <phoneticPr fontId="18" type="noConversion"/>
  </si>
  <si>
    <t>기타</t>
    <phoneticPr fontId="7" type="noConversion"/>
  </si>
  <si>
    <t>핸드링차지</t>
    <phoneticPr fontId="7" type="noConversion"/>
  </si>
  <si>
    <t>1인당 요금</t>
    <phoneticPr fontId="7" type="noConversion"/>
  </si>
  <si>
    <t>출발일</t>
    <phoneticPr fontId="7" type="noConversion"/>
  </si>
  <si>
    <t>견적일</t>
    <phoneticPr fontId="7" type="noConversion"/>
  </si>
  <si>
    <t>견적번호</t>
    <phoneticPr fontId="1" type="noConversion"/>
  </si>
  <si>
    <t>출발인원</t>
    <phoneticPr fontId="7" type="noConversion"/>
  </si>
  <si>
    <t>세부내역서</t>
    <phoneticPr fontId="7" type="noConversion"/>
  </si>
  <si>
    <t>선택일정</t>
    <phoneticPr fontId="7" type="noConversion"/>
  </si>
  <si>
    <t>이용객실</t>
    <phoneticPr fontId="7" type="noConversion"/>
  </si>
  <si>
    <t>기사팁&amp;톨비</t>
    <phoneticPr fontId="18" type="noConversion"/>
  </si>
  <si>
    <t>말레이시아 현지인 가이드</t>
    <phoneticPr fontId="7" type="noConversion"/>
  </si>
  <si>
    <t>말레이시아 한국인 가이드</t>
    <phoneticPr fontId="7" type="noConversion"/>
  </si>
  <si>
    <t>싱가포르</t>
    <phoneticPr fontId="1" type="noConversion"/>
  </si>
  <si>
    <t>말레이시아</t>
    <phoneticPr fontId="1" type="noConversion"/>
  </si>
  <si>
    <t>합      계</t>
    <phoneticPr fontId="1" type="noConversion"/>
  </si>
  <si>
    <t>총  합 계 - 싱가포르</t>
    <phoneticPr fontId="7" type="noConversion"/>
  </si>
  <si>
    <t>총  합 계 - 말레이시아</t>
    <phoneticPr fontId="7" type="noConversion"/>
  </si>
  <si>
    <t>여행기간</t>
    <phoneticPr fontId="7" type="noConversion"/>
  </si>
  <si>
    <t>*실시간 요금 기준</t>
    <phoneticPr fontId="1" type="noConversion"/>
  </si>
  <si>
    <t>*기사/가이드 숙소포함</t>
    <phoneticPr fontId="1" type="noConversion"/>
  </si>
  <si>
    <t>1일차</t>
    <phoneticPr fontId="1" type="noConversion"/>
  </si>
  <si>
    <t>CIQ 픽업</t>
    <phoneticPr fontId="18" type="noConversion"/>
  </si>
  <si>
    <t>하나부산</t>
    <phoneticPr fontId="1" type="noConversion"/>
  </si>
  <si>
    <t>노팁 / 노옵션 / 노쇼핑</t>
    <phoneticPr fontId="7" type="noConversion"/>
  </si>
  <si>
    <t>1일</t>
    <phoneticPr fontId="7" type="noConversion"/>
  </si>
  <si>
    <t>2일</t>
    <phoneticPr fontId="7" type="noConversion"/>
  </si>
  <si>
    <t>3일</t>
    <phoneticPr fontId="1" type="noConversion"/>
  </si>
  <si>
    <t>4일</t>
    <phoneticPr fontId="1" type="noConversion"/>
  </si>
  <si>
    <t>한식</t>
    <phoneticPr fontId="1" type="noConversion"/>
  </si>
  <si>
    <t>2일차</t>
    <phoneticPr fontId="1" type="noConversion"/>
  </si>
  <si>
    <t>3일차</t>
    <phoneticPr fontId="1" type="noConversion"/>
  </si>
  <si>
    <t>4일차</t>
    <phoneticPr fontId="1" type="noConversion"/>
  </si>
  <si>
    <t>센토사 케이블카</t>
    <phoneticPr fontId="1" type="noConversion"/>
  </si>
  <si>
    <t>5일차</t>
    <phoneticPr fontId="1" type="noConversion"/>
  </si>
  <si>
    <t xml:space="preserve">3. 포함사항 : </t>
  </si>
  <si>
    <t xml:space="preserve">4. 불포함사항 : </t>
  </si>
  <si>
    <t>성수기 써차지 및 의무디너, 싱글룸 사용시 싱글차지, 생수, 음료 및 주류, 선택관광비, 매너팁 등 기타 개인 비용</t>
  </si>
  <si>
    <t>전일정 호텔 숙박&amp;조식(*2인1실 기준), 관광세, 전일정 식사(*일정표 참고), 관광지 입장료, 공항 미팅&amp;샌딩,</t>
    <phoneticPr fontId="1" type="noConversion"/>
  </si>
  <si>
    <t>15인승</t>
    <phoneticPr fontId="18" type="noConversion"/>
  </si>
  <si>
    <t>12인승</t>
    <phoneticPr fontId="18" type="noConversion"/>
  </si>
  <si>
    <t>3일차</t>
    <phoneticPr fontId="1" type="noConversion"/>
  </si>
  <si>
    <t>4일차</t>
    <phoneticPr fontId="1" type="noConversion"/>
  </si>
  <si>
    <t>1일차: 쿠알라 IN</t>
  </si>
  <si>
    <t>2일차: 겐팅, 바투동굴, 잘란알로 야시장 (중식: 현지식, 석식: 한식)</t>
  </si>
  <si>
    <t>3일차: 공식일정(쿠알라룸푸르 대학), 국립모스크, 페트로나스 트윈타워(외관), 전신마사지 1시간, 말라카 이동 (중식: 현지식, 석식: 한식)</t>
  </si>
  <si>
    <t>4일차: 네달란드 광장, 트라이쇼, 존커스트리트, 중국사원, 쳉훈텐 사원, 싱가포르 이동 (중식: 현지식, 석식: 한식)</t>
  </si>
  <si>
    <t>5일차: 싱가포르 대학, 국립식물원, 스카이파크, 센토사섬(케이블카+실로소비치), 가든스바이더베이(2돔), 머라이언 공원, 리버보트 후 공항 이동 (중식: 현지식, 석식: 한식)</t>
  </si>
  <si>
    <t>1. 행사인원 : 6+0</t>
    <phoneticPr fontId="1" type="noConversion"/>
  </si>
  <si>
    <r>
      <t xml:space="preserve">전용차량(*KUL-15인승1대 / *SIN-12인승 1대), </t>
    </r>
    <r>
      <rPr>
        <b/>
        <sz val="10"/>
        <color rgb="FFFF0000"/>
        <rFont val="맑은 고딕"/>
        <family val="3"/>
        <charset val="129"/>
      </rPr>
      <t>노쇼핑 &amp; 노옵션 &amp; 노팁</t>
    </r>
    <phoneticPr fontId="1" type="noConversion"/>
  </si>
  <si>
    <t>QA00582623001</t>
    <phoneticPr fontId="1" type="noConversion"/>
  </si>
  <si>
    <t>3트윈</t>
    <phoneticPr fontId="1" type="noConversion"/>
  </si>
  <si>
    <t>2. HOTEL :  윈덤그랜드 호텔 또는 동급 + 메리어트 말라카 또는 동급 + 오키드 또는 동급</t>
    <phoneticPr fontId="1" type="noConversion"/>
  </si>
  <si>
    <t xml:space="preserve">윈덤 그랜드 호텔 또는 동급 </t>
    <phoneticPr fontId="1" type="noConversion"/>
  </si>
  <si>
    <t>메리어트 말라카 또는 동급</t>
    <phoneticPr fontId="1" type="noConversion"/>
  </si>
  <si>
    <t>오키드 또는 동급</t>
    <phoneticPr fontId="1" type="noConversion"/>
  </si>
  <si>
    <t>한식</t>
    <phoneticPr fontId="1" type="noConversion"/>
  </si>
  <si>
    <t>한식</t>
    <phoneticPr fontId="1" type="noConversion"/>
  </si>
  <si>
    <t>5일</t>
    <phoneticPr fontId="7" type="noConversion"/>
  </si>
  <si>
    <t>현지식</t>
    <phoneticPr fontId="1" type="noConversion"/>
  </si>
  <si>
    <t>현지식</t>
    <phoneticPr fontId="1" type="noConversion"/>
  </si>
  <si>
    <t>현지식</t>
    <phoneticPr fontId="1" type="noConversion"/>
  </si>
  <si>
    <t>스팀보트</t>
    <phoneticPr fontId="1" type="noConversion"/>
  </si>
  <si>
    <t>겐팅 케이블카</t>
    <phoneticPr fontId="1" type="noConversion"/>
  </si>
  <si>
    <t>전신마사지 1시간</t>
    <phoneticPr fontId="1" type="noConversion"/>
  </si>
  <si>
    <t>트라이쇼</t>
    <phoneticPr fontId="1" type="noConversion"/>
  </si>
  <si>
    <t>스카이파크</t>
    <phoneticPr fontId="1" type="noConversion"/>
  </si>
  <si>
    <t>가바베 돔2개</t>
    <phoneticPr fontId="1" type="noConversion"/>
  </si>
  <si>
    <t>리버보트</t>
    <phoneticPr fontId="1" type="noConversion"/>
  </si>
  <si>
    <t>야시장 &amp; 과일시식</t>
    <phoneticPr fontId="1" type="noConversion"/>
  </si>
  <si>
    <r>
      <t xml:space="preserve">5. 지상비 : </t>
    </r>
    <r>
      <rPr>
        <b/>
        <sz val="10"/>
        <color rgb="FFFF0000"/>
        <rFont val="맑은 고딕"/>
        <family val="3"/>
        <charset val="129"/>
      </rPr>
      <t>1,415,000원 / 인당</t>
    </r>
    <phoneticPr fontId="1" type="noConversion"/>
  </si>
  <si>
    <t>방문지 수배 불가 / 통역 불포함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</si>
</sst>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23" formatCode="\$#,##0_);\(\$#,##0\)"/>
    <numFmt numFmtId="176" formatCode="yyyy/mm/dd;@"/>
    <numFmt numFmtId="177" formatCode="\ m&quot;N&quot;\ d&quot;D&quot;"/>
    <numFmt numFmtId="178" formatCode="#,###\ &quot;PAX&quot;"/>
    <numFmt numFmtId="179" formatCode="_-\$* #,##0.00_ ;_-\$* \-#,##0.00\ ;_-\$* &quot;-&quot;??_ ;_-@_ "/>
    <numFmt numFmtId="180" formatCode="&quot;₩&quot;#,##0_);\(&quot;₩&quot;#,##0\)"/>
    <numFmt numFmtId="181" formatCode="mm&quot;월&quot;\ dd&quot;일&quot;"/>
    <numFmt numFmtId="182" formatCode="_-&quot;SGD$&quot;* #,##0_ ;_-&quot;US$&quot;* \-#,##0\ ;_-&quot;US$&quot;* &quot;-&quot;_ ;_-@_ "/>
    <numFmt numFmtId="183" formatCode="_-&quot;SGD$&quot;* #,##0_ ;_-&quot;US$&quot;* \-#,##0\ ;_-&quot;SGD$&quot;* &quot;-&quot;_ ;_-@_ "/>
    <numFmt numFmtId="184" formatCode="&quot;+&quot;\ \ \ #,###\ &quot;FOC&quot;"/>
    <numFmt numFmtId="185" formatCode="#,###"/>
    <numFmt numFmtId="186" formatCode="_-&quot;RM&quot;* #,##0_ ;_-&quot;RM&quot;* \-#,##0\ ;_-&quot;RM&quot;* &quot;-&quot;_ ;_-@_ "/>
    <numFmt numFmtId="187" formatCode="_-[$RM-4409]* #,##0_-;\-[$RM-4409]* #,##0_-;_-[$RM-4409]* &quot;-&quot;_-;_-@_-"/>
    <numFmt numFmtId="188" formatCode="0_);[Red]\(0\)"/>
    <numFmt numFmtId="189" formatCode="_-&quot;SGD$&quot;* #,##0_ ;_-&quot;SGD$&quot;* \-#,##0\ ;_-&quot;SGD$&quot;* &quot;-&quot;_ ;_-@_ "/>
  </numFmts>
  <fonts count="3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63"/>
      <name val="맑은 고딕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name val="돋움"/>
      <family val="3"/>
      <charset val="129"/>
    </font>
    <font>
      <b/>
      <sz val="10"/>
      <color theme="1" tint="0.249977111117893"/>
      <name val="맑은 고딕"/>
      <family val="3"/>
      <charset val="129"/>
    </font>
    <font>
      <sz val="9"/>
      <name val="맑은 고딕"/>
      <family val="3"/>
      <charset val="129"/>
      <scheme val="major"/>
    </font>
    <font>
      <b/>
      <sz val="14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0000CC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돋움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rgb="FF0000CC"/>
      <name val="돋움"/>
      <family val="3"/>
      <charset val="129"/>
    </font>
    <font>
      <b/>
      <sz val="9"/>
      <color rgb="FFFF000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1"/>
      <name val="돋움"/>
      <family val="3"/>
      <charset val="129"/>
    </font>
    <font>
      <b/>
      <sz val="11"/>
      <color rgb="FFFFFFCC"/>
      <name val="맑은 고딕"/>
      <family val="3"/>
      <charset val="129"/>
      <scheme val="minor"/>
    </font>
    <font>
      <b/>
      <sz val="10"/>
      <color indexed="63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</cellStyleXfs>
  <cellXfs count="198">
    <xf numFmtId="0" fontId="0" fillId="0" borderId="0" xfId="0">
      <alignment vertical="center"/>
    </xf>
    <xf numFmtId="0" fontId="12" fillId="0" borderId="0" xfId="3" applyFont="1" applyAlignment="1">
      <alignment vertical="center"/>
    </xf>
    <xf numFmtId="0" fontId="12" fillId="0" borderId="0" xfId="3" applyFont="1" applyAlignment="1">
      <alignment horizontal="center" vertical="center"/>
    </xf>
    <xf numFmtId="0" fontId="10" fillId="0" borderId="0" xfId="3"/>
    <xf numFmtId="0" fontId="10" fillId="0" borderId="0" xfId="3" applyAlignment="1">
      <alignment horizontal="center" vertical="center"/>
    </xf>
    <xf numFmtId="179" fontId="14" fillId="0" borderId="8" xfId="3" applyNumberFormat="1" applyFont="1" applyBorder="1" applyAlignment="1">
      <alignment vertical="center"/>
    </xf>
    <xf numFmtId="0" fontId="4" fillId="0" borderId="8" xfId="3" applyFont="1" applyBorder="1" applyAlignment="1">
      <alignment horizontal="center" vertical="center"/>
    </xf>
    <xf numFmtId="0" fontId="19" fillId="0" borderId="0" xfId="3" applyFont="1"/>
    <xf numFmtId="0" fontId="14" fillId="0" borderId="9" xfId="3" applyFont="1" applyBorder="1" applyAlignment="1">
      <alignment horizontal="center" vertical="center"/>
    </xf>
    <xf numFmtId="0" fontId="15" fillId="0" borderId="9" xfId="3" applyFont="1" applyBorder="1" applyAlignment="1">
      <alignment horizontal="center" vertical="center"/>
    </xf>
    <xf numFmtId="0" fontId="20" fillId="0" borderId="9" xfId="3" applyFont="1" applyBorder="1" applyAlignment="1">
      <alignment horizontal="center" vertical="center"/>
    </xf>
    <xf numFmtId="0" fontId="14" fillId="0" borderId="26" xfId="3" applyFont="1" applyBorder="1" applyAlignment="1">
      <alignment horizontal="center" vertical="center"/>
    </xf>
    <xf numFmtId="0" fontId="24" fillId="0" borderId="0" xfId="3" applyFont="1"/>
    <xf numFmtId="0" fontId="25" fillId="0" borderId="0" xfId="3" applyFont="1" applyAlignment="1">
      <alignment horizontal="center" vertical="center"/>
    </xf>
    <xf numFmtId="6" fontId="26" fillId="0" borderId="0" xfId="3" applyNumberFormat="1" applyFont="1" applyAlignment="1">
      <alignment horizontal="center" vertical="center"/>
    </xf>
    <xf numFmtId="0" fontId="10" fillId="0" borderId="0" xfId="3" applyAlignment="1">
      <alignment horizontal="center"/>
    </xf>
    <xf numFmtId="0" fontId="27" fillId="0" borderId="0" xfId="3" applyFont="1" applyAlignment="1">
      <alignment horizontal="center"/>
    </xf>
    <xf numFmtId="6" fontId="27" fillId="0" borderId="0" xfId="3" applyNumberFormat="1" applyFont="1" applyAlignment="1">
      <alignment horizontal="center"/>
    </xf>
    <xf numFmtId="177" fontId="6" fillId="0" borderId="0" xfId="0" applyNumberFormat="1" applyFont="1">
      <alignment vertical="center"/>
    </xf>
    <xf numFmtId="182" fontId="12" fillId="0" borderId="0" xfId="3" applyNumberFormat="1" applyFont="1" applyAlignment="1">
      <alignment horizontal="center" vertical="center"/>
    </xf>
    <xf numFmtId="182" fontId="2" fillId="6" borderId="8" xfId="3" applyNumberFormat="1" applyFont="1" applyFill="1" applyBorder="1" applyAlignment="1">
      <alignment horizontal="center" vertical="center"/>
    </xf>
    <xf numFmtId="182" fontId="14" fillId="0" borderId="8" xfId="3" applyNumberFormat="1" applyFont="1" applyBorder="1" applyAlignment="1">
      <alignment horizontal="center" vertical="center"/>
    </xf>
    <xf numFmtId="182" fontId="4" fillId="0" borderId="8" xfId="3" applyNumberFormat="1" applyFont="1" applyBorder="1" applyAlignment="1">
      <alignment horizontal="center" vertical="center"/>
    </xf>
    <xf numFmtId="182" fontId="14" fillId="0" borderId="25" xfId="3" applyNumberFormat="1" applyFont="1" applyBorder="1" applyAlignment="1">
      <alignment horizontal="center" vertical="center"/>
    </xf>
    <xf numFmtId="182" fontId="10" fillId="0" borderId="0" xfId="3" applyNumberFormat="1" applyAlignment="1">
      <alignment horizontal="center"/>
    </xf>
    <xf numFmtId="185" fontId="14" fillId="0" borderId="8" xfId="3" applyNumberFormat="1" applyFont="1" applyBorder="1" applyAlignment="1">
      <alignment horizontal="center" vertical="center"/>
    </xf>
    <xf numFmtId="182" fontId="14" fillId="0" borderId="22" xfId="3" applyNumberFormat="1" applyFont="1" applyBorder="1" applyAlignment="1">
      <alignment horizontal="center" vertical="center"/>
    </xf>
    <xf numFmtId="0" fontId="14" fillId="0" borderId="23" xfId="3" applyFont="1" applyBorder="1" applyAlignment="1">
      <alignment horizontal="center" vertical="center"/>
    </xf>
    <xf numFmtId="182" fontId="16" fillId="7" borderId="8" xfId="3" applyNumberFormat="1" applyFont="1" applyFill="1" applyBorder="1" applyAlignment="1">
      <alignment horizontal="center" vertical="center" shrinkToFit="1"/>
    </xf>
    <xf numFmtId="0" fontId="16" fillId="7" borderId="9" xfId="3" applyFont="1" applyFill="1" applyBorder="1" applyAlignment="1">
      <alignment horizontal="center" vertical="center" shrinkToFit="1"/>
    </xf>
    <xf numFmtId="178" fontId="14" fillId="2" borderId="19" xfId="0" applyNumberFormat="1" applyFont="1" applyFill="1" applyBorder="1" applyAlignment="1">
      <alignment horizontal="center" vertical="center"/>
    </xf>
    <xf numFmtId="184" fontId="15" fillId="2" borderId="3" xfId="0" applyNumberFormat="1" applyFont="1" applyFill="1" applyBorder="1" applyAlignment="1">
      <alignment horizontal="left" vertical="center"/>
    </xf>
    <xf numFmtId="185" fontId="14" fillId="0" borderId="22" xfId="3" applyNumberFormat="1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183" fontId="14" fillId="0" borderId="25" xfId="3" applyNumberFormat="1" applyFont="1" applyBorder="1" applyAlignment="1">
      <alignment horizontal="center" vertical="center"/>
    </xf>
    <xf numFmtId="185" fontId="14" fillId="0" borderId="25" xfId="3" applyNumberFormat="1" applyFont="1" applyBorder="1" applyAlignment="1">
      <alignment horizontal="center" vertical="center"/>
    </xf>
    <xf numFmtId="182" fontId="16" fillId="7" borderId="31" xfId="3" applyNumberFormat="1" applyFont="1" applyFill="1" applyBorder="1" applyAlignment="1">
      <alignment horizontal="center" vertical="center"/>
    </xf>
    <xf numFmtId="23" fontId="16" fillId="7" borderId="31" xfId="3" applyNumberFormat="1" applyFont="1" applyFill="1" applyBorder="1" applyAlignment="1">
      <alignment horizontal="center" vertical="center"/>
    </xf>
    <xf numFmtId="0" fontId="16" fillId="7" borderId="32" xfId="3" applyFont="1" applyFill="1" applyBorder="1" applyAlignment="1">
      <alignment horizontal="center" vertical="center"/>
    </xf>
    <xf numFmtId="179" fontId="14" fillId="0" borderId="31" xfId="3" applyNumberFormat="1" applyFont="1" applyBorder="1" applyAlignment="1">
      <alignment vertical="center"/>
    </xf>
    <xf numFmtId="0" fontId="14" fillId="0" borderId="32" xfId="3" applyFont="1" applyBorder="1" applyAlignment="1">
      <alignment horizontal="center" vertical="center"/>
    </xf>
    <xf numFmtId="179" fontId="14" fillId="5" borderId="17" xfId="3" applyNumberFormat="1" applyFont="1" applyFill="1" applyBorder="1" applyAlignment="1">
      <alignment vertical="center"/>
    </xf>
    <xf numFmtId="0" fontId="14" fillId="5" borderId="18" xfId="3" applyFont="1" applyFill="1" applyBorder="1" applyAlignment="1">
      <alignment vertical="center"/>
    </xf>
    <xf numFmtId="180" fontId="3" fillId="4" borderId="15" xfId="3" applyNumberFormat="1" applyFont="1" applyFill="1" applyBorder="1" applyAlignment="1">
      <alignment horizontal="center" vertical="center"/>
    </xf>
    <xf numFmtId="0" fontId="21" fillId="0" borderId="23" xfId="3" applyFont="1" applyBorder="1" applyAlignment="1">
      <alignment vertical="center"/>
    </xf>
    <xf numFmtId="0" fontId="20" fillId="0" borderId="23" xfId="3" applyFont="1" applyBorder="1" applyAlignment="1">
      <alignment horizontal="center" vertical="center"/>
    </xf>
    <xf numFmtId="0" fontId="14" fillId="0" borderId="23" xfId="3" applyFont="1" applyBorder="1" applyAlignment="1">
      <alignment vertical="center"/>
    </xf>
    <xf numFmtId="182" fontId="14" fillId="0" borderId="31" xfId="3" applyNumberFormat="1" applyFont="1" applyBorder="1" applyAlignment="1">
      <alignment horizontal="center" vertical="center"/>
    </xf>
    <xf numFmtId="0" fontId="14" fillId="5" borderId="18" xfId="3" applyFont="1" applyFill="1" applyBorder="1" applyAlignment="1">
      <alignment horizontal="center" vertical="center"/>
    </xf>
    <xf numFmtId="186" fontId="4" fillId="0" borderId="8" xfId="3" applyNumberFormat="1" applyFont="1" applyBorder="1" applyAlignment="1">
      <alignment horizontal="center" vertical="center"/>
    </xf>
    <xf numFmtId="186" fontId="14" fillId="0" borderId="8" xfId="3" applyNumberFormat="1" applyFont="1" applyBorder="1" applyAlignment="1">
      <alignment horizontal="center" vertical="center"/>
    </xf>
    <xf numFmtId="186" fontId="14" fillId="0" borderId="31" xfId="3" applyNumberFormat="1" applyFont="1" applyBorder="1" applyAlignment="1">
      <alignment horizontal="center" vertical="center"/>
    </xf>
    <xf numFmtId="186" fontId="14" fillId="0" borderId="8" xfId="3" applyNumberFormat="1" applyFont="1" applyBorder="1" applyAlignment="1">
      <alignment vertical="center"/>
    </xf>
    <xf numFmtId="0" fontId="4" fillId="0" borderId="31" xfId="3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/>
    </xf>
    <xf numFmtId="187" fontId="14" fillId="0" borderId="8" xfId="3" applyNumberFormat="1" applyFont="1" applyBorder="1" applyAlignment="1">
      <alignment horizontal="center" vertical="center"/>
    </xf>
    <xf numFmtId="187" fontId="14" fillId="0" borderId="8" xfId="3" applyNumberFormat="1" applyFont="1" applyBorder="1" applyAlignment="1">
      <alignment vertical="center"/>
    </xf>
    <xf numFmtId="187" fontId="14" fillId="5" borderId="17" xfId="3" applyNumberFormat="1" applyFont="1" applyFill="1" applyBorder="1" applyAlignment="1">
      <alignment vertical="center"/>
    </xf>
    <xf numFmtId="183" fontId="14" fillId="0" borderId="25" xfId="3" applyNumberFormat="1" applyFont="1" applyBorder="1" applyAlignment="1">
      <alignment vertical="center"/>
    </xf>
    <xf numFmtId="183" fontId="14" fillId="0" borderId="8" xfId="3" applyNumberFormat="1" applyFont="1" applyBorder="1" applyAlignment="1">
      <alignment vertical="center"/>
    </xf>
    <xf numFmtId="183" fontId="14" fillId="5" borderId="17" xfId="3" applyNumberFormat="1" applyFont="1" applyFill="1" applyBorder="1" applyAlignment="1">
      <alignment vertical="center"/>
    </xf>
    <xf numFmtId="182" fontId="16" fillId="7" borderId="5" xfId="3" applyNumberFormat="1" applyFont="1" applyFill="1" applyBorder="1" applyAlignment="1">
      <alignment horizontal="center" vertical="center"/>
    </xf>
    <xf numFmtId="23" fontId="16" fillId="7" borderId="5" xfId="3" applyNumberFormat="1" applyFont="1" applyFill="1" applyBorder="1" applyAlignment="1">
      <alignment horizontal="center" vertical="center"/>
    </xf>
    <xf numFmtId="0" fontId="16" fillId="7" borderId="6" xfId="3" applyFont="1" applyFill="1" applyBorder="1" applyAlignment="1">
      <alignment horizontal="center" vertical="center"/>
    </xf>
    <xf numFmtId="183" fontId="22" fillId="3" borderId="31" xfId="3" applyNumberFormat="1" applyFont="1" applyFill="1" applyBorder="1" applyAlignment="1">
      <alignment vertical="center"/>
    </xf>
    <xf numFmtId="187" fontId="22" fillId="3" borderId="31" xfId="3" applyNumberFormat="1" applyFont="1" applyFill="1" applyBorder="1" applyAlignment="1">
      <alignment vertical="center"/>
    </xf>
    <xf numFmtId="42" fontId="28" fillId="3" borderId="32" xfId="3" applyNumberFormat="1" applyFont="1" applyFill="1" applyBorder="1" applyAlignment="1">
      <alignment horizontal="center" vertical="center"/>
    </xf>
    <xf numFmtId="42" fontId="14" fillId="4" borderId="14" xfId="3" applyNumberFormat="1" applyFont="1" applyFill="1" applyBorder="1" applyAlignment="1">
      <alignment vertical="center"/>
    </xf>
    <xf numFmtId="186" fontId="4" fillId="0" borderId="14" xfId="3" applyNumberFormat="1" applyFont="1" applyBorder="1" applyAlignment="1">
      <alignment horizontal="center" vertical="center"/>
    </xf>
    <xf numFmtId="0" fontId="4" fillId="0" borderId="14" xfId="3" applyFont="1" applyBorder="1" applyAlignment="1">
      <alignment horizontal="center" vertical="center"/>
    </xf>
    <xf numFmtId="186" fontId="14" fillId="0" borderId="14" xfId="3" applyNumberFormat="1" applyFont="1" applyBorder="1" applyAlignment="1">
      <alignment vertical="center"/>
    </xf>
    <xf numFmtId="0" fontId="14" fillId="0" borderId="15" xfId="3" applyFont="1" applyBorder="1" applyAlignment="1">
      <alignment vertical="center"/>
    </xf>
    <xf numFmtId="184" fontId="14" fillId="2" borderId="3" xfId="0" applyNumberFormat="1" applyFont="1" applyFill="1" applyBorder="1" applyAlignment="1">
      <alignment horizontal="left" vertical="center"/>
    </xf>
    <xf numFmtId="182" fontId="2" fillId="6" borderId="31" xfId="3" applyNumberFormat="1" applyFont="1" applyFill="1" applyBorder="1" applyAlignment="1">
      <alignment horizontal="center" vertical="center"/>
    </xf>
    <xf numFmtId="181" fontId="14" fillId="6" borderId="8" xfId="3" applyNumberFormat="1" applyFont="1" applyFill="1" applyBorder="1" applyAlignment="1">
      <alignment horizontal="center" vertical="center"/>
    </xf>
    <xf numFmtId="188" fontId="9" fillId="3" borderId="9" xfId="0" applyNumberFormat="1" applyFont="1" applyFill="1" applyBorder="1" applyAlignment="1">
      <alignment horizontal="center" vertical="center"/>
    </xf>
    <xf numFmtId="14" fontId="14" fillId="6" borderId="8" xfId="3" applyNumberFormat="1" applyFont="1" applyFill="1" applyBorder="1" applyAlignment="1">
      <alignment horizontal="center" vertical="center"/>
    </xf>
    <xf numFmtId="188" fontId="3" fillId="3" borderId="9" xfId="3" applyNumberFormat="1" applyFont="1" applyFill="1" applyBorder="1" applyAlignment="1">
      <alignment horizontal="center" vertical="center"/>
    </xf>
    <xf numFmtId="177" fontId="8" fillId="0" borderId="38" xfId="1" applyNumberFormat="1" applyFont="1" applyFill="1" applyBorder="1" applyAlignment="1">
      <alignment horizontal="center" vertical="center"/>
    </xf>
    <xf numFmtId="189" fontId="4" fillId="0" borderId="8" xfId="3" applyNumberFormat="1" applyFont="1" applyBorder="1" applyAlignment="1">
      <alignment horizontal="center" vertical="center"/>
    </xf>
    <xf numFmtId="0" fontId="14" fillId="0" borderId="6" xfId="3" applyFont="1" applyBorder="1" applyAlignment="1">
      <alignment horizontal="center" vertical="center"/>
    </xf>
    <xf numFmtId="0" fontId="14" fillId="0" borderId="14" xfId="3" applyFont="1" applyBorder="1" applyAlignment="1">
      <alignment horizontal="center" vertical="center"/>
    </xf>
    <xf numFmtId="179" fontId="14" fillId="0" borderId="14" xfId="3" applyNumberFormat="1" applyFont="1" applyBorder="1" applyAlignment="1">
      <alignment vertical="center"/>
    </xf>
    <xf numFmtId="0" fontId="14" fillId="0" borderId="15" xfId="3" applyFont="1" applyBorder="1" applyAlignment="1">
      <alignment horizontal="center" vertical="center"/>
    </xf>
    <xf numFmtId="0" fontId="23" fillId="0" borderId="0" xfId="3" applyFont="1" applyAlignment="1">
      <alignment horizontal="left" vertical="center"/>
    </xf>
    <xf numFmtId="180" fontId="23" fillId="0" borderId="0" xfId="3" applyNumberFormat="1" applyFont="1" applyAlignment="1">
      <alignment horizontal="left" vertical="center"/>
    </xf>
    <xf numFmtId="0" fontId="20" fillId="0" borderId="23" xfId="3" applyFont="1" applyBorder="1" applyAlignment="1">
      <alignment horizontal="left" vertical="center" indent="1"/>
    </xf>
    <xf numFmtId="187" fontId="14" fillId="0" borderId="49" xfId="3" applyNumberFormat="1" applyFont="1" applyBorder="1" applyAlignment="1">
      <alignment horizontal="center" vertical="center"/>
    </xf>
    <xf numFmtId="0" fontId="30" fillId="0" borderId="9" xfId="3" applyFont="1" applyBorder="1" applyAlignment="1">
      <alignment horizontal="center" vertical="center"/>
    </xf>
    <xf numFmtId="185" fontId="14" fillId="0" borderId="34" xfId="3" applyNumberFormat="1" applyFont="1" applyBorder="1" applyAlignment="1">
      <alignment horizontal="center" vertical="center"/>
    </xf>
    <xf numFmtId="185" fontId="14" fillId="0" borderId="5" xfId="3" applyNumberFormat="1" applyFont="1" applyBorder="1" applyAlignment="1">
      <alignment horizontal="center" vertical="center"/>
    </xf>
    <xf numFmtId="41" fontId="23" fillId="0" borderId="0" xfId="1" applyFont="1" applyAlignment="1">
      <alignment horizontal="left" vertical="center"/>
    </xf>
    <xf numFmtId="0" fontId="16" fillId="7" borderId="8" xfId="3" applyFont="1" applyFill="1" applyBorder="1" applyAlignment="1">
      <alignment horizontal="center" vertical="center" shrinkToFit="1"/>
    </xf>
    <xf numFmtId="0" fontId="16" fillId="7" borderId="31" xfId="3" applyFont="1" applyFill="1" applyBorder="1" applyAlignment="1">
      <alignment horizontal="center" vertical="center"/>
    </xf>
    <xf numFmtId="0" fontId="14" fillId="0" borderId="22" xfId="3" applyFont="1" applyBorder="1" applyAlignment="1">
      <alignment horizontal="center" vertical="center"/>
    </xf>
    <xf numFmtId="0" fontId="14" fillId="0" borderId="31" xfId="3" applyFont="1" applyBorder="1" applyAlignment="1">
      <alignment horizontal="center" vertical="center"/>
    </xf>
    <xf numFmtId="0" fontId="14" fillId="0" borderId="25" xfId="3" applyFont="1" applyBorder="1" applyAlignment="1">
      <alignment horizontal="center" vertical="center"/>
    </xf>
    <xf numFmtId="0" fontId="14" fillId="0" borderId="8" xfId="3" applyFont="1" applyBorder="1" applyAlignment="1">
      <alignment horizontal="center" vertical="center"/>
    </xf>
    <xf numFmtId="0" fontId="14" fillId="0" borderId="4" xfId="3" applyFont="1" applyBorder="1" applyAlignment="1">
      <alignment horizontal="center" vertical="center"/>
    </xf>
    <xf numFmtId="0" fontId="14" fillId="0" borderId="10" xfId="3" applyFont="1" applyBorder="1" applyAlignment="1">
      <alignment horizontal="left" vertical="center" indent="1"/>
    </xf>
    <xf numFmtId="0" fontId="14" fillId="0" borderId="11" xfId="3" applyFont="1" applyBorder="1" applyAlignment="1">
      <alignment horizontal="left" vertical="center" indent="1"/>
    </xf>
    <xf numFmtId="0" fontId="14" fillId="0" borderId="12" xfId="3" applyFont="1" applyBorder="1" applyAlignment="1">
      <alignment horizontal="left" vertical="center" indent="1"/>
    </xf>
    <xf numFmtId="0" fontId="16" fillId="7" borderId="5" xfId="3" applyFont="1" applyFill="1" applyBorder="1" applyAlignment="1">
      <alignment horizontal="center" vertical="center"/>
    </xf>
    <xf numFmtId="0" fontId="4" fillId="0" borderId="22" xfId="3" applyFont="1" applyBorder="1" applyAlignment="1">
      <alignment horizontal="center" vertical="center"/>
    </xf>
    <xf numFmtId="0" fontId="14" fillId="0" borderId="5" xfId="3" applyFont="1" applyBorder="1" applyAlignment="1">
      <alignment horizontal="center" vertical="center"/>
    </xf>
    <xf numFmtId="187" fontId="14" fillId="2" borderId="49" xfId="3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0" fillId="0" borderId="0" xfId="3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3" fillId="2" borderId="16" xfId="3" applyFont="1" applyFill="1" applyBorder="1" applyAlignment="1">
      <alignment horizontal="center" vertical="center"/>
    </xf>
    <xf numFmtId="0" fontId="13" fillId="2" borderId="17" xfId="3" applyFont="1" applyFill="1" applyBorder="1" applyAlignment="1">
      <alignment horizontal="center" vertical="center"/>
    </xf>
    <xf numFmtId="0" fontId="13" fillId="2" borderId="18" xfId="3" applyFont="1" applyFill="1" applyBorder="1" applyAlignment="1">
      <alignment horizontal="center" vertical="center"/>
    </xf>
    <xf numFmtId="0" fontId="2" fillId="6" borderId="24" xfId="3" applyFont="1" applyFill="1" applyBorder="1" applyAlignment="1">
      <alignment horizontal="center" vertical="center" shrinkToFit="1"/>
    </xf>
    <xf numFmtId="0" fontId="2" fillId="6" borderId="25" xfId="3" applyFont="1" applyFill="1" applyBorder="1" applyAlignment="1">
      <alignment horizontal="center" vertical="center" shrinkToFit="1"/>
    </xf>
    <xf numFmtId="0" fontId="14" fillId="0" borderId="25" xfId="3" applyFont="1" applyBorder="1" applyAlignment="1">
      <alignment horizontal="left" vertical="center" indent="1"/>
    </xf>
    <xf numFmtId="176" fontId="14" fillId="0" borderId="36" xfId="3" applyNumberFormat="1" applyFont="1" applyBorder="1" applyAlignment="1">
      <alignment horizontal="center" vertical="center"/>
    </xf>
    <xf numFmtId="176" fontId="14" fillId="0" borderId="37" xfId="3" applyNumberFormat="1" applyFont="1" applyBorder="1" applyAlignment="1">
      <alignment horizontal="center" vertical="center"/>
    </xf>
    <xf numFmtId="0" fontId="2" fillId="6" borderId="7" xfId="3" applyFont="1" applyFill="1" applyBorder="1" applyAlignment="1">
      <alignment horizontal="center" vertical="center" shrinkToFit="1"/>
    </xf>
    <xf numFmtId="0" fontId="2" fillId="6" borderId="8" xfId="3" applyFont="1" applyFill="1" applyBorder="1" applyAlignment="1">
      <alignment horizontal="center" vertical="center" shrinkToFit="1"/>
    </xf>
    <xf numFmtId="0" fontId="20" fillId="0" borderId="8" xfId="3" applyFont="1" applyBorder="1" applyAlignment="1">
      <alignment horizontal="left" vertical="center" indent="1"/>
    </xf>
    <xf numFmtId="14" fontId="14" fillId="0" borderId="8" xfId="3" applyNumberFormat="1" applyFont="1" applyBorder="1" applyAlignment="1">
      <alignment horizontal="center" vertical="center"/>
    </xf>
    <xf numFmtId="0" fontId="2" fillId="6" borderId="21" xfId="3" applyFont="1" applyFill="1" applyBorder="1" applyAlignment="1">
      <alignment horizontal="center" vertical="center"/>
    </xf>
    <xf numFmtId="0" fontId="2" fillId="6" borderId="22" xfId="3" applyFont="1" applyFill="1" applyBorder="1" applyAlignment="1">
      <alignment horizontal="center" vertical="center"/>
    </xf>
    <xf numFmtId="14" fontId="14" fillId="0" borderId="10" xfId="3" applyNumberFormat="1" applyFont="1" applyBorder="1" applyAlignment="1">
      <alignment horizontal="center" vertical="center"/>
    </xf>
    <xf numFmtId="14" fontId="14" fillId="0" borderId="12" xfId="3" applyNumberFormat="1" applyFont="1" applyBorder="1" applyAlignment="1">
      <alignment horizontal="center" vertical="center"/>
    </xf>
    <xf numFmtId="0" fontId="16" fillId="7" borderId="7" xfId="3" applyFont="1" applyFill="1" applyBorder="1" applyAlignment="1">
      <alignment horizontal="center" vertical="center" shrinkToFit="1"/>
    </xf>
    <xf numFmtId="0" fontId="16" fillId="7" borderId="8" xfId="3" applyFont="1" applyFill="1" applyBorder="1" applyAlignment="1">
      <alignment horizontal="center" vertical="center" shrinkToFit="1"/>
    </xf>
    <xf numFmtId="0" fontId="16" fillId="7" borderId="21" xfId="3" applyFont="1" applyFill="1" applyBorder="1" applyAlignment="1">
      <alignment horizontal="center" vertical="center"/>
    </xf>
    <xf numFmtId="0" fontId="16" fillId="7" borderId="1" xfId="3" applyFont="1" applyFill="1" applyBorder="1" applyAlignment="1">
      <alignment horizontal="center" vertical="center"/>
    </xf>
    <xf numFmtId="0" fontId="16" fillId="7" borderId="40" xfId="3" applyFont="1" applyFill="1" applyBorder="1" applyAlignment="1">
      <alignment horizontal="center" vertical="center"/>
    </xf>
    <xf numFmtId="0" fontId="14" fillId="0" borderId="19" xfId="3" applyFont="1" applyBorder="1" applyAlignment="1">
      <alignment horizontal="center" vertical="center" shrinkToFit="1"/>
    </xf>
    <xf numFmtId="0" fontId="14" fillId="0" borderId="2" xfId="3" applyFont="1" applyBorder="1" applyAlignment="1">
      <alignment horizontal="center" vertical="center" shrinkToFit="1"/>
    </xf>
    <xf numFmtId="0" fontId="14" fillId="0" borderId="48" xfId="3" applyFont="1" applyBorder="1" applyAlignment="1">
      <alignment horizontal="center" vertical="center" shrinkToFit="1"/>
    </xf>
    <xf numFmtId="0" fontId="14" fillId="2" borderId="10" xfId="3" applyFont="1" applyFill="1" applyBorder="1" applyAlignment="1">
      <alignment horizontal="left" vertical="center" indent="1" shrinkToFit="1"/>
    </xf>
    <xf numFmtId="0" fontId="14" fillId="2" borderId="11" xfId="3" applyFont="1" applyFill="1" applyBorder="1" applyAlignment="1">
      <alignment horizontal="left" vertical="center" indent="1" shrinkToFit="1"/>
    </xf>
    <xf numFmtId="0" fontId="14" fillId="2" borderId="12" xfId="3" applyFont="1" applyFill="1" applyBorder="1" applyAlignment="1">
      <alignment horizontal="left" vertical="center" indent="1" shrinkToFit="1"/>
    </xf>
    <xf numFmtId="0" fontId="14" fillId="0" borderId="10" xfId="3" applyFont="1" applyBorder="1" applyAlignment="1">
      <alignment horizontal="left" vertical="center" indent="1" shrinkToFit="1"/>
    </xf>
    <xf numFmtId="0" fontId="14" fillId="0" borderId="11" xfId="3" applyFont="1" applyBorder="1" applyAlignment="1">
      <alignment horizontal="left" vertical="center" indent="1" shrinkToFit="1"/>
    </xf>
    <xf numFmtId="0" fontId="14" fillId="0" borderId="12" xfId="3" applyFont="1" applyBorder="1" applyAlignment="1">
      <alignment horizontal="left" vertical="center" indent="1" shrinkToFit="1"/>
    </xf>
    <xf numFmtId="0" fontId="14" fillId="5" borderId="41" xfId="3" applyFont="1" applyFill="1" applyBorder="1" applyAlignment="1">
      <alignment horizontal="center" vertical="center"/>
    </xf>
    <xf numFmtId="0" fontId="14" fillId="5" borderId="42" xfId="3" applyFont="1" applyFill="1" applyBorder="1" applyAlignment="1">
      <alignment horizontal="center" vertical="center"/>
    </xf>
    <xf numFmtId="0" fontId="14" fillId="5" borderId="43" xfId="3" applyFont="1" applyFill="1" applyBorder="1" applyAlignment="1">
      <alignment horizontal="center" vertical="center"/>
    </xf>
    <xf numFmtId="0" fontId="14" fillId="0" borderId="22" xfId="3" applyFont="1" applyBorder="1" applyAlignment="1">
      <alignment horizontal="center" vertical="center" shrinkToFit="1"/>
    </xf>
    <xf numFmtId="0" fontId="14" fillId="0" borderId="4" xfId="3" applyFont="1" applyBorder="1" applyAlignment="1">
      <alignment horizontal="center" vertical="center" shrinkToFit="1"/>
    </xf>
    <xf numFmtId="0" fontId="14" fillId="0" borderId="10" xfId="0" applyFont="1" applyBorder="1" applyAlignment="1">
      <alignment horizontal="left" vertical="center" indent="1"/>
    </xf>
    <xf numFmtId="0" fontId="14" fillId="0" borderId="11" xfId="0" applyFont="1" applyBorder="1" applyAlignment="1">
      <alignment horizontal="left" vertical="center" indent="1"/>
    </xf>
    <xf numFmtId="0" fontId="14" fillId="0" borderId="12" xfId="0" applyFont="1" applyBorder="1" applyAlignment="1">
      <alignment horizontal="left" vertical="center" indent="1"/>
    </xf>
    <xf numFmtId="0" fontId="16" fillId="7" borderId="24" xfId="3" applyFont="1" applyFill="1" applyBorder="1" applyAlignment="1">
      <alignment horizontal="center" vertical="center"/>
    </xf>
    <xf numFmtId="0" fontId="16" fillId="7" borderId="31" xfId="3" applyFont="1" applyFill="1" applyBorder="1" applyAlignment="1">
      <alignment horizontal="center" vertical="center"/>
    </xf>
    <xf numFmtId="0" fontId="14" fillId="0" borderId="22" xfId="3" applyFont="1" applyBorder="1" applyAlignment="1">
      <alignment horizontal="center" vertical="center"/>
    </xf>
    <xf numFmtId="0" fontId="14" fillId="0" borderId="31" xfId="3" applyFont="1" applyBorder="1" applyAlignment="1">
      <alignment horizontal="center" vertical="center"/>
    </xf>
    <xf numFmtId="0" fontId="14" fillId="0" borderId="25" xfId="3" applyFont="1" applyBorder="1" applyAlignment="1">
      <alignment horizontal="center" vertical="center"/>
    </xf>
    <xf numFmtId="0" fontId="14" fillId="0" borderId="8" xfId="3" applyFont="1" applyBorder="1" applyAlignment="1">
      <alignment horizontal="center" vertical="center"/>
    </xf>
    <xf numFmtId="0" fontId="14" fillId="0" borderId="46" xfId="3" applyFont="1" applyBorder="1" applyAlignment="1">
      <alignment horizontal="center" vertical="center"/>
    </xf>
    <xf numFmtId="0" fontId="14" fillId="0" borderId="49" xfId="3" applyFont="1" applyBorder="1" applyAlignment="1">
      <alignment horizontal="center" vertical="center"/>
    </xf>
    <xf numFmtId="0" fontId="14" fillId="0" borderId="4" xfId="3" applyFont="1" applyBorder="1" applyAlignment="1">
      <alignment horizontal="center" vertical="center"/>
    </xf>
    <xf numFmtId="0" fontId="16" fillId="7" borderId="44" xfId="3" applyFont="1" applyFill="1" applyBorder="1" applyAlignment="1">
      <alignment horizontal="center" vertical="center"/>
    </xf>
    <xf numFmtId="0" fontId="16" fillId="7" borderId="37" xfId="3" applyFont="1" applyFill="1" applyBorder="1" applyAlignment="1">
      <alignment horizontal="center" vertical="center"/>
    </xf>
    <xf numFmtId="0" fontId="16" fillId="7" borderId="45" xfId="3" applyFont="1" applyFill="1" applyBorder="1" applyAlignment="1">
      <alignment horizontal="center" vertical="center"/>
    </xf>
    <xf numFmtId="0" fontId="16" fillId="7" borderId="28" xfId="3" applyFont="1" applyFill="1" applyBorder="1" applyAlignment="1">
      <alignment horizontal="center" vertical="center"/>
    </xf>
    <xf numFmtId="0" fontId="16" fillId="7" borderId="29" xfId="3" applyFont="1" applyFill="1" applyBorder="1" applyAlignment="1">
      <alignment horizontal="center" vertical="center"/>
    </xf>
    <xf numFmtId="0" fontId="16" fillId="7" borderId="30" xfId="3" applyFont="1" applyFill="1" applyBorder="1" applyAlignment="1">
      <alignment horizontal="center" vertical="center"/>
    </xf>
    <xf numFmtId="0" fontId="14" fillId="0" borderId="10" xfId="3" applyFont="1" applyBorder="1" applyAlignment="1">
      <alignment horizontal="left" vertical="center" indent="1"/>
    </xf>
    <xf numFmtId="0" fontId="14" fillId="0" borderId="11" xfId="3" applyFont="1" applyBorder="1" applyAlignment="1">
      <alignment horizontal="left" vertical="center" indent="1"/>
    </xf>
    <xf numFmtId="0" fontId="14" fillId="0" borderId="12" xfId="3" applyFont="1" applyBorder="1" applyAlignment="1">
      <alignment horizontal="left" vertical="center" indent="1"/>
    </xf>
    <xf numFmtId="0" fontId="16" fillId="7" borderId="21" xfId="3" applyFont="1" applyFill="1" applyBorder="1" applyAlignment="1">
      <alignment horizontal="center" vertical="center" wrapText="1"/>
    </xf>
    <xf numFmtId="0" fontId="16" fillId="7" borderId="1" xfId="3" applyFont="1" applyFill="1" applyBorder="1" applyAlignment="1">
      <alignment horizontal="center" vertical="center" wrapText="1"/>
    </xf>
    <xf numFmtId="0" fontId="16" fillId="7" borderId="40" xfId="3" applyFont="1" applyFill="1" applyBorder="1" applyAlignment="1">
      <alignment horizontal="center" vertical="center" wrapText="1"/>
    </xf>
    <xf numFmtId="0" fontId="14" fillId="0" borderId="8" xfId="3" applyFont="1" applyBorder="1" applyAlignment="1">
      <alignment horizontal="center" vertical="center" wrapText="1"/>
    </xf>
    <xf numFmtId="0" fontId="14" fillId="0" borderId="14" xfId="3" applyFont="1" applyBorder="1" applyAlignment="1">
      <alignment horizontal="center" vertical="center" wrapText="1"/>
    </xf>
    <xf numFmtId="0" fontId="14" fillId="0" borderId="33" xfId="3" applyFont="1" applyBorder="1" applyAlignment="1">
      <alignment horizontal="left" vertical="center" indent="1"/>
    </xf>
    <xf numFmtId="0" fontId="14" fillId="0" borderId="27" xfId="3" applyFont="1" applyBorder="1" applyAlignment="1">
      <alignment horizontal="left" vertical="center" indent="1"/>
    </xf>
    <xf numFmtId="0" fontId="14" fillId="0" borderId="39" xfId="3" applyFont="1" applyBorder="1" applyAlignment="1">
      <alignment horizontal="left" vertical="center" indent="1"/>
    </xf>
    <xf numFmtId="0" fontId="14" fillId="0" borderId="46" xfId="3" applyFont="1" applyBorder="1" applyAlignment="1">
      <alignment horizontal="center" vertical="center" wrapText="1"/>
    </xf>
    <xf numFmtId="0" fontId="14" fillId="0" borderId="34" xfId="3" applyFont="1" applyBorder="1" applyAlignment="1">
      <alignment horizontal="center" vertical="center" wrapText="1"/>
    </xf>
    <xf numFmtId="0" fontId="16" fillId="7" borderId="47" xfId="3" applyFont="1" applyFill="1" applyBorder="1" applyAlignment="1">
      <alignment horizontal="center" vertical="center"/>
    </xf>
    <xf numFmtId="0" fontId="16" fillId="7" borderId="5" xfId="3" applyFont="1" applyFill="1" applyBorder="1" applyAlignment="1">
      <alignment horizontal="center" vertical="center"/>
    </xf>
    <xf numFmtId="0" fontId="14" fillId="0" borderId="19" xfId="3" applyFont="1" applyBorder="1" applyAlignment="1">
      <alignment horizontal="center" vertical="center"/>
    </xf>
    <xf numFmtId="0" fontId="14" fillId="0" borderId="20" xfId="3" applyFont="1" applyBorder="1" applyAlignment="1">
      <alignment horizontal="center" vertical="center"/>
    </xf>
    <xf numFmtId="0" fontId="14" fillId="0" borderId="2" xfId="3" applyFont="1" applyBorder="1" applyAlignment="1">
      <alignment horizontal="center" vertical="center"/>
    </xf>
    <xf numFmtId="0" fontId="14" fillId="0" borderId="35" xfId="3" applyFont="1" applyBorder="1" applyAlignment="1">
      <alignment horizontal="center" vertical="center"/>
    </xf>
    <xf numFmtId="0" fontId="4" fillId="0" borderId="22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0" borderId="49" xfId="3" applyFont="1" applyBorder="1" applyAlignment="1">
      <alignment horizontal="center" vertical="center"/>
    </xf>
    <xf numFmtId="0" fontId="4" fillId="0" borderId="46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14" fillId="5" borderId="17" xfId="3" applyFont="1" applyFill="1" applyBorder="1" applyAlignment="1">
      <alignment horizontal="center" vertical="center"/>
    </xf>
    <xf numFmtId="0" fontId="14" fillId="5" borderId="16" xfId="3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/>
    </xf>
    <xf numFmtId="0" fontId="22" fillId="3" borderId="31" xfId="3" applyFont="1" applyFill="1" applyBorder="1" applyAlignment="1">
      <alignment horizontal="center" vertical="center"/>
    </xf>
    <xf numFmtId="0" fontId="23" fillId="4" borderId="13" xfId="3" applyFont="1" applyFill="1" applyBorder="1" applyAlignment="1">
      <alignment horizontal="center" vertical="center"/>
    </xf>
    <xf numFmtId="0" fontId="23" fillId="4" borderId="14" xfId="3" applyFont="1" applyFill="1" applyBorder="1" applyAlignment="1">
      <alignment horizontal="center" vertical="center"/>
    </xf>
    <xf numFmtId="0" fontId="14" fillId="0" borderId="34" xfId="3" applyFont="1" applyBorder="1" applyAlignment="1">
      <alignment horizontal="center" vertical="center"/>
    </xf>
    <xf numFmtId="0" fontId="14" fillId="0" borderId="5" xfId="3" applyFont="1" applyBorder="1" applyAlignment="1">
      <alignment horizontal="center" vertical="center"/>
    </xf>
    <xf numFmtId="0" fontId="14" fillId="0" borderId="48" xfId="3" applyFont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 5" xfId="2" xr:uid="{00000000-0005-0000-0000-000002000000}"/>
    <cellStyle name="표준 8" xfId="3" xr:uid="{00000000-0005-0000-0000-000003000000}"/>
  </cellStyles>
  <dxfs count="0"/>
  <tableStyles count="0" defaultTableStyle="TableStyleMedium2" defaultPivotStyle="PivotStyleLight16"/>
  <colors>
    <mruColors>
      <color rgb="FF0000CC"/>
      <color rgb="FFFFFFCC"/>
      <color rgb="FFCCFFFF"/>
      <color rgb="FFFF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B1:U75"/>
  <sheetViews>
    <sheetView showGridLines="0" tabSelected="1" zoomScaleNormal="100" zoomScaleSheetLayoutView="100" workbookViewId="0">
      <selection activeCell="M6" sqref="M6:M24"/>
    </sheetView>
  </sheetViews>
  <sheetFormatPr defaultColWidth="9" defaultRowHeight="20" customHeight="1"/>
  <cols>
    <col min="1" max="1" width="1.6640625" style="3" customWidth="1"/>
    <col min="2" max="2" width="8.75" style="3" customWidth="1"/>
    <col min="3" max="3" width="8.9140625" style="3" customWidth="1"/>
    <col min="4" max="6" width="10.08203125" style="3" customWidth="1"/>
    <col min="7" max="7" width="11.33203125" style="24" customWidth="1"/>
    <col min="8" max="9" width="8.6640625" style="15" customWidth="1"/>
    <col min="10" max="10" width="13.4140625" style="3" customWidth="1"/>
    <col min="11" max="11" width="15.08203125" style="3" customWidth="1"/>
    <col min="12" max="12" width="1.6640625" style="3" customWidth="1"/>
    <col min="13" max="13" width="81.9140625" style="84" customWidth="1"/>
    <col min="14" max="21" width="9" style="4"/>
    <col min="22" max="16384" width="9" style="3"/>
  </cols>
  <sheetData>
    <row r="1" spans="2:13" ht="10" customHeight="1" thickBot="1">
      <c r="B1" s="1"/>
      <c r="C1" s="1"/>
      <c r="D1" s="1"/>
      <c r="E1" s="1"/>
      <c r="F1" s="2"/>
      <c r="G1" s="19"/>
      <c r="H1" s="2"/>
      <c r="I1" s="2"/>
      <c r="J1" s="1"/>
      <c r="K1" s="1"/>
    </row>
    <row r="2" spans="2:13" ht="35.15" customHeight="1" thickBot="1">
      <c r="B2" s="112" t="s">
        <v>35</v>
      </c>
      <c r="C2" s="113"/>
      <c r="D2" s="113"/>
      <c r="E2" s="113"/>
      <c r="F2" s="113"/>
      <c r="G2" s="113"/>
      <c r="H2" s="113"/>
      <c r="I2" s="113"/>
      <c r="J2" s="113"/>
      <c r="K2" s="114"/>
    </row>
    <row r="3" spans="2:13" ht="20" customHeight="1">
      <c r="B3" s="115" t="s">
        <v>0</v>
      </c>
      <c r="C3" s="116"/>
      <c r="D3" s="117" t="s">
        <v>51</v>
      </c>
      <c r="E3" s="117"/>
      <c r="F3" s="117"/>
      <c r="G3" s="73" t="s">
        <v>32</v>
      </c>
      <c r="H3" s="118">
        <v>45582</v>
      </c>
      <c r="I3" s="119"/>
      <c r="J3" s="73" t="s">
        <v>46</v>
      </c>
      <c r="K3" s="78">
        <v>45419</v>
      </c>
      <c r="L3" s="18"/>
      <c r="M3" s="110"/>
    </row>
    <row r="4" spans="2:13" ht="20" customHeight="1">
      <c r="B4" s="120" t="s">
        <v>33</v>
      </c>
      <c r="C4" s="121"/>
      <c r="D4" s="122" t="s">
        <v>78</v>
      </c>
      <c r="E4" s="122"/>
      <c r="F4" s="122"/>
      <c r="G4" s="20" t="s">
        <v>31</v>
      </c>
      <c r="H4" s="123">
        <v>45635</v>
      </c>
      <c r="I4" s="123"/>
      <c r="J4" s="74" t="s">
        <v>41</v>
      </c>
      <c r="K4" s="75">
        <v>1030</v>
      </c>
    </row>
    <row r="5" spans="2:13" ht="20" customHeight="1">
      <c r="B5" s="124" t="s">
        <v>34</v>
      </c>
      <c r="C5" s="125"/>
      <c r="D5" s="30">
        <v>6</v>
      </c>
      <c r="E5" s="72">
        <v>0</v>
      </c>
      <c r="F5" s="31"/>
      <c r="G5" s="20" t="s">
        <v>37</v>
      </c>
      <c r="H5" s="126" t="s">
        <v>79</v>
      </c>
      <c r="I5" s="127"/>
      <c r="J5" s="76" t="s">
        <v>42</v>
      </c>
      <c r="K5" s="77">
        <v>320</v>
      </c>
    </row>
    <row r="6" spans="2:13" ht="20" customHeight="1">
      <c r="B6" s="128" t="s">
        <v>1</v>
      </c>
      <c r="C6" s="129"/>
      <c r="D6" s="129"/>
      <c r="E6" s="129"/>
      <c r="F6" s="129"/>
      <c r="G6" s="28" t="s">
        <v>2</v>
      </c>
      <c r="H6" s="92" t="s">
        <v>3</v>
      </c>
      <c r="I6" s="92" t="s">
        <v>4</v>
      </c>
      <c r="J6" s="92" t="s">
        <v>5</v>
      </c>
      <c r="K6" s="29"/>
      <c r="M6" s="106" t="s">
        <v>76</v>
      </c>
    </row>
    <row r="7" spans="2:13" s="4" customFormat="1" ht="20" customHeight="1">
      <c r="B7" s="130" t="s">
        <v>6</v>
      </c>
      <c r="C7" s="133" t="s">
        <v>42</v>
      </c>
      <c r="D7" s="136" t="s">
        <v>81</v>
      </c>
      <c r="E7" s="137"/>
      <c r="F7" s="138"/>
      <c r="G7" s="105">
        <v>320</v>
      </c>
      <c r="H7" s="53">
        <v>2</v>
      </c>
      <c r="I7" s="6">
        <f t="shared" ref="I7" si="0">$D$5/2+$E$5</f>
        <v>3</v>
      </c>
      <c r="J7" s="56">
        <f t="shared" ref="J7:J9" si="1">I7*H7*G7</f>
        <v>1920</v>
      </c>
      <c r="K7" s="11"/>
      <c r="L7" s="7"/>
      <c r="M7" s="106"/>
    </row>
    <row r="8" spans="2:13" s="4" customFormat="1" ht="20" customHeight="1">
      <c r="B8" s="131"/>
      <c r="C8" s="134"/>
      <c r="D8" s="139" t="s">
        <v>82</v>
      </c>
      <c r="E8" s="140"/>
      <c r="F8" s="141"/>
      <c r="G8" s="87">
        <v>400</v>
      </c>
      <c r="H8" s="53">
        <v>1</v>
      </c>
      <c r="I8" s="6">
        <f>$D$5/2+$E$5+2</f>
        <v>5</v>
      </c>
      <c r="J8" s="56">
        <f t="shared" si="1"/>
        <v>2000</v>
      </c>
      <c r="K8" s="88" t="s">
        <v>48</v>
      </c>
      <c r="L8" s="7"/>
      <c r="M8" s="106" t="s">
        <v>80</v>
      </c>
    </row>
    <row r="9" spans="2:13" s="4" customFormat="1" ht="20" customHeight="1" thickBot="1">
      <c r="B9" s="131"/>
      <c r="C9" s="135"/>
      <c r="D9" s="139"/>
      <c r="E9" s="140"/>
      <c r="F9" s="141"/>
      <c r="G9" s="87"/>
      <c r="H9" s="53">
        <v>1</v>
      </c>
      <c r="I9" s="6">
        <f>$D$5/2+$E$5+2</f>
        <v>5</v>
      </c>
      <c r="J9" s="56">
        <f t="shared" si="1"/>
        <v>0</v>
      </c>
      <c r="K9" s="88" t="s">
        <v>48</v>
      </c>
      <c r="L9" s="7"/>
      <c r="M9" s="106"/>
    </row>
    <row r="10" spans="2:13" s="4" customFormat="1" ht="20" customHeight="1" thickBot="1">
      <c r="B10" s="131"/>
      <c r="C10" s="142" t="s">
        <v>43</v>
      </c>
      <c r="D10" s="143"/>
      <c r="E10" s="143"/>
      <c r="F10" s="143"/>
      <c r="G10" s="143"/>
      <c r="H10" s="143"/>
      <c r="I10" s="144"/>
      <c r="J10" s="57">
        <f>SUM(J7:J9)</f>
        <v>3920</v>
      </c>
      <c r="K10" s="48"/>
      <c r="L10" s="7"/>
      <c r="M10" s="106" t="s">
        <v>63</v>
      </c>
    </row>
    <row r="11" spans="2:13" s="4" customFormat="1" ht="20" customHeight="1">
      <c r="B11" s="131"/>
      <c r="C11" s="145" t="s">
        <v>41</v>
      </c>
      <c r="D11" s="147" t="s">
        <v>83</v>
      </c>
      <c r="E11" s="148"/>
      <c r="F11" s="149"/>
      <c r="G11" s="23">
        <v>220</v>
      </c>
      <c r="H11" s="33">
        <v>1</v>
      </c>
      <c r="I11" s="33">
        <f>$D$5/2+$E$5</f>
        <v>3</v>
      </c>
      <c r="J11" s="58">
        <f>I11*H11*G11</f>
        <v>660</v>
      </c>
      <c r="K11" s="54"/>
      <c r="L11" s="7"/>
      <c r="M11" s="106" t="s">
        <v>66</v>
      </c>
    </row>
    <row r="12" spans="2:13" s="4" customFormat="1" ht="20" customHeight="1" thickBot="1">
      <c r="B12" s="131"/>
      <c r="C12" s="146"/>
      <c r="D12" s="147"/>
      <c r="E12" s="148"/>
      <c r="F12" s="149"/>
      <c r="G12" s="23">
        <v>0</v>
      </c>
      <c r="H12" s="33">
        <v>1</v>
      </c>
      <c r="I12" s="33">
        <f>$D$5/2+$E$5</f>
        <v>3</v>
      </c>
      <c r="J12" s="58">
        <f>I12*H12*G12</f>
        <v>0</v>
      </c>
      <c r="K12" s="54"/>
      <c r="L12" s="7"/>
      <c r="M12" s="106" t="s">
        <v>77</v>
      </c>
    </row>
    <row r="13" spans="2:13" s="4" customFormat="1" ht="20" customHeight="1" thickBot="1">
      <c r="B13" s="132"/>
      <c r="C13" s="142" t="s">
        <v>43</v>
      </c>
      <c r="D13" s="143"/>
      <c r="E13" s="143"/>
      <c r="F13" s="143"/>
      <c r="G13" s="143"/>
      <c r="H13" s="143"/>
      <c r="I13" s="144"/>
      <c r="J13" s="60">
        <f>SUM(J11:J12)</f>
        <v>660</v>
      </c>
      <c r="K13" s="48"/>
      <c r="L13" s="3"/>
      <c r="M13" s="106"/>
    </row>
    <row r="14" spans="2:13" s="4" customFormat="1" ht="20" customHeight="1">
      <c r="B14" s="150" t="s">
        <v>1</v>
      </c>
      <c r="C14" s="151"/>
      <c r="D14" s="151"/>
      <c r="E14" s="151"/>
      <c r="F14" s="151"/>
      <c r="G14" s="36" t="s">
        <v>8</v>
      </c>
      <c r="H14" s="93" t="s">
        <v>9</v>
      </c>
      <c r="I14" s="93" t="s">
        <v>10</v>
      </c>
      <c r="J14" s="37" t="s">
        <v>11</v>
      </c>
      <c r="K14" s="38" t="s">
        <v>12</v>
      </c>
      <c r="L14" s="3"/>
      <c r="M14" s="107" t="s">
        <v>64</v>
      </c>
    </row>
    <row r="15" spans="2:13" s="4" customFormat="1" ht="20" customHeight="1">
      <c r="B15" s="130" t="s">
        <v>13</v>
      </c>
      <c r="C15" s="152" t="s">
        <v>53</v>
      </c>
      <c r="D15" s="97" t="s">
        <v>15</v>
      </c>
      <c r="E15" s="154"/>
      <c r="F15" s="154"/>
      <c r="G15" s="55">
        <v>0</v>
      </c>
      <c r="H15" s="96">
        <v>1</v>
      </c>
      <c r="I15" s="35">
        <f>$D$5+$E$5+$F$5</f>
        <v>6</v>
      </c>
      <c r="J15" s="56">
        <f t="shared" ref="J15:J22" si="2">G15*H15*I15</f>
        <v>0</v>
      </c>
      <c r="K15" s="11"/>
      <c r="L15" s="7"/>
      <c r="M15" s="107" t="s">
        <v>65</v>
      </c>
    </row>
    <row r="16" spans="2:13" s="4" customFormat="1" ht="20" customHeight="1">
      <c r="B16" s="131"/>
      <c r="C16" s="153"/>
      <c r="D16" s="97" t="s">
        <v>14</v>
      </c>
      <c r="E16" s="154"/>
      <c r="F16" s="154"/>
      <c r="G16" s="55">
        <v>0</v>
      </c>
      <c r="H16" s="96">
        <v>1</v>
      </c>
      <c r="I16" s="35">
        <f>$D$5+$E$5+$F$5</f>
        <v>6</v>
      </c>
      <c r="J16" s="56">
        <f t="shared" si="2"/>
        <v>0</v>
      </c>
      <c r="K16" s="11"/>
      <c r="L16" s="7"/>
      <c r="M16" s="111" t="s">
        <v>99</v>
      </c>
    </row>
    <row r="17" spans="2:13" s="4" customFormat="1" ht="20" customHeight="1">
      <c r="B17" s="131"/>
      <c r="C17" s="155" t="s">
        <v>54</v>
      </c>
      <c r="D17" s="97" t="s">
        <v>15</v>
      </c>
      <c r="E17" s="155" t="s">
        <v>87</v>
      </c>
      <c r="F17" s="155"/>
      <c r="G17" s="55">
        <v>50</v>
      </c>
      <c r="H17" s="97">
        <v>1</v>
      </c>
      <c r="I17" s="25">
        <f t="shared" ref="I17:I27" si="3">$D$5+$E$5+$F$5</f>
        <v>6</v>
      </c>
      <c r="J17" s="56">
        <f t="shared" si="2"/>
        <v>300</v>
      </c>
      <c r="K17" s="8"/>
      <c r="L17" s="3"/>
      <c r="M17" s="108"/>
    </row>
    <row r="18" spans="2:13" s="4" customFormat="1" ht="20" customHeight="1">
      <c r="B18" s="131"/>
      <c r="C18" s="155"/>
      <c r="D18" s="97" t="s">
        <v>14</v>
      </c>
      <c r="E18" s="155" t="s">
        <v>84</v>
      </c>
      <c r="F18" s="155"/>
      <c r="G18" s="55">
        <v>50</v>
      </c>
      <c r="H18" s="97">
        <v>1</v>
      </c>
      <c r="I18" s="25">
        <f t="shared" si="3"/>
        <v>6</v>
      </c>
      <c r="J18" s="56">
        <f t="shared" si="2"/>
        <v>300</v>
      </c>
      <c r="K18" s="8"/>
      <c r="L18" s="7"/>
      <c r="M18" s="107" t="s">
        <v>71</v>
      </c>
    </row>
    <row r="19" spans="2:13" s="4" customFormat="1" ht="20" customHeight="1">
      <c r="B19" s="131"/>
      <c r="C19" s="155" t="s">
        <v>55</v>
      </c>
      <c r="D19" s="97" t="s">
        <v>15</v>
      </c>
      <c r="E19" s="155" t="s">
        <v>88</v>
      </c>
      <c r="F19" s="155"/>
      <c r="G19" s="55">
        <v>50</v>
      </c>
      <c r="H19" s="97">
        <v>1</v>
      </c>
      <c r="I19" s="25">
        <f t="shared" si="3"/>
        <v>6</v>
      </c>
      <c r="J19" s="56">
        <f t="shared" si="2"/>
        <v>300</v>
      </c>
      <c r="K19" s="8"/>
      <c r="L19" s="3"/>
      <c r="M19" s="107" t="s">
        <v>72</v>
      </c>
    </row>
    <row r="20" spans="2:13" s="4" customFormat="1" ht="20" customHeight="1">
      <c r="B20" s="131"/>
      <c r="C20" s="155"/>
      <c r="D20" s="97" t="s">
        <v>14</v>
      </c>
      <c r="E20" s="155" t="s">
        <v>85</v>
      </c>
      <c r="F20" s="155"/>
      <c r="G20" s="55">
        <v>50</v>
      </c>
      <c r="H20" s="97">
        <v>1</v>
      </c>
      <c r="I20" s="25">
        <f t="shared" si="3"/>
        <v>6</v>
      </c>
      <c r="J20" s="56">
        <f t="shared" si="2"/>
        <v>300</v>
      </c>
      <c r="K20" s="8"/>
      <c r="L20" s="7"/>
      <c r="M20" s="108" t="s">
        <v>73</v>
      </c>
    </row>
    <row r="21" spans="2:13" s="4" customFormat="1" ht="20" customHeight="1">
      <c r="B21" s="131"/>
      <c r="C21" s="155" t="s">
        <v>56</v>
      </c>
      <c r="D21" s="97" t="s">
        <v>15</v>
      </c>
      <c r="E21" s="155" t="s">
        <v>89</v>
      </c>
      <c r="F21" s="155"/>
      <c r="G21" s="55">
        <v>50</v>
      </c>
      <c r="H21" s="97">
        <v>1</v>
      </c>
      <c r="I21" s="25">
        <f t="shared" si="3"/>
        <v>6</v>
      </c>
      <c r="J21" s="56">
        <f t="shared" si="2"/>
        <v>300</v>
      </c>
      <c r="K21" s="9"/>
      <c r="L21" s="7"/>
      <c r="M21" s="107" t="s">
        <v>74</v>
      </c>
    </row>
    <row r="22" spans="2:13" s="4" customFormat="1" ht="20" customHeight="1" thickBot="1">
      <c r="B22" s="131"/>
      <c r="C22" s="155"/>
      <c r="D22" s="97" t="s">
        <v>14</v>
      </c>
      <c r="E22" s="155" t="s">
        <v>57</v>
      </c>
      <c r="F22" s="155"/>
      <c r="G22" s="55">
        <v>50</v>
      </c>
      <c r="H22" s="97">
        <v>1</v>
      </c>
      <c r="I22" s="25">
        <f t="shared" si="3"/>
        <v>6</v>
      </c>
      <c r="J22" s="56">
        <f t="shared" si="2"/>
        <v>300</v>
      </c>
      <c r="K22" s="9"/>
      <c r="L22" s="7"/>
      <c r="M22" s="106" t="s">
        <v>75</v>
      </c>
    </row>
    <row r="23" spans="2:13" s="4" customFormat="1" ht="20" customHeight="1" thickBot="1">
      <c r="B23" s="131"/>
      <c r="C23" s="142" t="s">
        <v>43</v>
      </c>
      <c r="D23" s="143"/>
      <c r="E23" s="143"/>
      <c r="F23" s="143"/>
      <c r="G23" s="143"/>
      <c r="H23" s="143"/>
      <c r="I23" s="144"/>
      <c r="J23" s="57">
        <f>SUM(J15:J22)</f>
        <v>1800</v>
      </c>
      <c r="K23" s="48"/>
      <c r="L23" s="7"/>
      <c r="M23" s="106"/>
    </row>
    <row r="24" spans="2:13" s="4" customFormat="1" ht="20" customHeight="1">
      <c r="B24" s="131"/>
      <c r="C24" s="156" t="s">
        <v>86</v>
      </c>
      <c r="D24" s="97" t="s">
        <v>15</v>
      </c>
      <c r="E24" s="155" t="s">
        <v>90</v>
      </c>
      <c r="F24" s="155"/>
      <c r="G24" s="34">
        <v>18</v>
      </c>
      <c r="H24" s="96">
        <v>1</v>
      </c>
      <c r="I24" s="35">
        <f>$D$5+$E$5+$F$5</f>
        <v>6</v>
      </c>
      <c r="J24" s="58">
        <f>G24*H24*I24</f>
        <v>108</v>
      </c>
      <c r="K24" s="9"/>
      <c r="L24" s="7"/>
      <c r="M24" s="106" t="s">
        <v>98</v>
      </c>
    </row>
    <row r="25" spans="2:13" s="4" customFormat="1" ht="20" customHeight="1">
      <c r="B25" s="131"/>
      <c r="C25" s="157"/>
      <c r="D25" s="97" t="s">
        <v>14</v>
      </c>
      <c r="E25" s="155" t="s">
        <v>85</v>
      </c>
      <c r="F25" s="155"/>
      <c r="G25" s="34">
        <v>15</v>
      </c>
      <c r="H25" s="97">
        <v>1</v>
      </c>
      <c r="I25" s="25">
        <f t="shared" si="3"/>
        <v>6</v>
      </c>
      <c r="J25" s="58">
        <f t="shared" ref="J25" si="4">G25*H25*I25</f>
        <v>90</v>
      </c>
      <c r="K25" s="9"/>
      <c r="L25" s="7"/>
      <c r="M25" s="106"/>
    </row>
    <row r="26" spans="2:13" s="4" customFormat="1" ht="20" customHeight="1">
      <c r="B26" s="131"/>
      <c r="C26" s="158"/>
      <c r="D26" s="97" t="s">
        <v>15</v>
      </c>
      <c r="E26" s="155"/>
      <c r="F26" s="155"/>
      <c r="G26" s="34">
        <v>0</v>
      </c>
      <c r="H26" s="96">
        <v>1</v>
      </c>
      <c r="I26" s="35">
        <f>$D$5+$E$5+$F$5</f>
        <v>6</v>
      </c>
      <c r="J26" s="58">
        <f>G26*H26*I26</f>
        <v>0</v>
      </c>
      <c r="K26" s="9"/>
      <c r="L26" s="7"/>
      <c r="M26" s="106"/>
    </row>
    <row r="27" spans="2:13" s="4" customFormat="1" ht="20" customHeight="1" thickBot="1">
      <c r="B27" s="131"/>
      <c r="C27" s="157"/>
      <c r="D27" s="97" t="s">
        <v>14</v>
      </c>
      <c r="E27" s="155"/>
      <c r="F27" s="155"/>
      <c r="G27" s="34">
        <v>0</v>
      </c>
      <c r="H27" s="97">
        <v>1</v>
      </c>
      <c r="I27" s="25">
        <f t="shared" si="3"/>
        <v>6</v>
      </c>
      <c r="J27" s="58">
        <f t="shared" ref="J27" si="5">G27*H27*I27</f>
        <v>0</v>
      </c>
      <c r="K27" s="9"/>
      <c r="L27" s="7"/>
      <c r="M27" s="109"/>
    </row>
    <row r="28" spans="2:13" s="4" customFormat="1" ht="20" customHeight="1" thickBot="1">
      <c r="B28" s="132"/>
      <c r="C28" s="142" t="s">
        <v>43</v>
      </c>
      <c r="D28" s="143"/>
      <c r="E28" s="143"/>
      <c r="F28" s="143"/>
      <c r="G28" s="143"/>
      <c r="H28" s="143"/>
      <c r="I28" s="144"/>
      <c r="J28" s="60">
        <f>SUM(J24:J27)</f>
        <v>198</v>
      </c>
      <c r="K28" s="42"/>
      <c r="L28" s="3"/>
      <c r="M28" s="109"/>
    </row>
    <row r="29" spans="2:13" s="4" customFormat="1" ht="20" customHeight="1">
      <c r="B29" s="162" t="s">
        <v>17</v>
      </c>
      <c r="C29" s="163"/>
      <c r="D29" s="163"/>
      <c r="E29" s="163"/>
      <c r="F29" s="164"/>
      <c r="G29" s="36" t="s">
        <v>19</v>
      </c>
      <c r="H29" s="93" t="s">
        <v>23</v>
      </c>
      <c r="I29" s="93" t="s">
        <v>10</v>
      </c>
      <c r="J29" s="37" t="s">
        <v>5</v>
      </c>
      <c r="K29" s="38" t="s">
        <v>12</v>
      </c>
      <c r="L29" s="3"/>
      <c r="M29" s="109"/>
    </row>
    <row r="30" spans="2:13" s="4" customFormat="1" ht="20" customHeight="1">
      <c r="B30" s="130" t="s">
        <v>22</v>
      </c>
      <c r="C30" s="152" t="s">
        <v>42</v>
      </c>
      <c r="D30" s="165" t="s">
        <v>91</v>
      </c>
      <c r="E30" s="166"/>
      <c r="F30" s="167"/>
      <c r="G30" s="49">
        <v>35</v>
      </c>
      <c r="H30" s="97">
        <v>1</v>
      </c>
      <c r="I30" s="25">
        <f>$D$5+$E$5+$F$5+1</f>
        <v>7</v>
      </c>
      <c r="J30" s="52">
        <f t="shared" ref="J30:J33" si="6">G30*H30*I30</f>
        <v>245</v>
      </c>
      <c r="K30" s="8"/>
      <c r="L30" s="3"/>
      <c r="M30" s="109"/>
    </row>
    <row r="31" spans="2:13" s="4" customFormat="1" ht="20" customHeight="1">
      <c r="B31" s="131"/>
      <c r="C31" s="158"/>
      <c r="D31" s="99" t="s">
        <v>92</v>
      </c>
      <c r="E31" s="100"/>
      <c r="F31" s="101"/>
      <c r="G31" s="49">
        <v>110</v>
      </c>
      <c r="H31" s="97">
        <v>1</v>
      </c>
      <c r="I31" s="25">
        <f>$D$5+$E$5+$F$5+1</f>
        <v>7</v>
      </c>
      <c r="J31" s="52">
        <f t="shared" si="6"/>
        <v>770</v>
      </c>
      <c r="K31" s="8"/>
      <c r="L31" s="3"/>
      <c r="M31" s="107"/>
    </row>
    <row r="32" spans="2:13" s="4" customFormat="1" ht="20" customHeight="1">
      <c r="B32" s="131"/>
      <c r="C32" s="158"/>
      <c r="D32" s="99" t="s">
        <v>97</v>
      </c>
      <c r="E32" s="100"/>
      <c r="F32" s="101"/>
      <c r="G32" s="49">
        <v>60</v>
      </c>
      <c r="H32" s="97">
        <v>1</v>
      </c>
      <c r="I32" s="25">
        <f>$D$5+$E$5+$F$5+1</f>
        <v>7</v>
      </c>
      <c r="J32" s="52">
        <f t="shared" si="6"/>
        <v>420</v>
      </c>
      <c r="K32" s="8"/>
      <c r="L32" s="3"/>
      <c r="M32" s="107"/>
    </row>
    <row r="33" spans="2:13" s="4" customFormat="1" ht="20" customHeight="1" thickBot="1">
      <c r="B33" s="131"/>
      <c r="C33" s="153"/>
      <c r="D33" s="165" t="s">
        <v>93</v>
      </c>
      <c r="E33" s="166"/>
      <c r="F33" s="167"/>
      <c r="G33" s="49">
        <v>40</v>
      </c>
      <c r="H33" s="97">
        <v>1</v>
      </c>
      <c r="I33" s="25">
        <f>$D$5+$E$5+$F$5+1</f>
        <v>7</v>
      </c>
      <c r="J33" s="52">
        <f t="shared" si="6"/>
        <v>280</v>
      </c>
      <c r="K33" s="8"/>
      <c r="L33" s="3"/>
      <c r="M33" s="107"/>
    </row>
    <row r="34" spans="2:13" s="4" customFormat="1" ht="20" customHeight="1" thickBot="1">
      <c r="B34" s="131"/>
      <c r="C34" s="142" t="s">
        <v>43</v>
      </c>
      <c r="D34" s="143"/>
      <c r="E34" s="143"/>
      <c r="F34" s="143"/>
      <c r="G34" s="143"/>
      <c r="H34" s="143"/>
      <c r="I34" s="144"/>
      <c r="J34" s="57">
        <f>SUM(J30:J33)</f>
        <v>1715</v>
      </c>
      <c r="K34" s="48"/>
      <c r="L34" s="3"/>
      <c r="M34" s="107"/>
    </row>
    <row r="35" spans="2:13" s="4" customFormat="1" ht="19.75" customHeight="1">
      <c r="B35" s="131"/>
      <c r="C35" s="152" t="s">
        <v>41</v>
      </c>
      <c r="D35" s="165" t="s">
        <v>94</v>
      </c>
      <c r="E35" s="166"/>
      <c r="F35" s="167"/>
      <c r="G35" s="79">
        <v>35</v>
      </c>
      <c r="H35" s="97">
        <v>1</v>
      </c>
      <c r="I35" s="25">
        <f t="shared" ref="I35:I39" si="7">$D$5+$E$5+$F$5</f>
        <v>6</v>
      </c>
      <c r="J35" s="58">
        <f>G35*H35*I35</f>
        <v>210</v>
      </c>
      <c r="K35" s="8"/>
      <c r="L35" s="3"/>
      <c r="M35" s="107"/>
    </row>
    <row r="36" spans="2:13" s="4" customFormat="1" ht="20" customHeight="1">
      <c r="B36" s="131"/>
      <c r="C36" s="158"/>
      <c r="D36" s="165" t="s">
        <v>61</v>
      </c>
      <c r="E36" s="166"/>
      <c r="F36" s="167"/>
      <c r="G36" s="22">
        <v>19</v>
      </c>
      <c r="H36" s="97">
        <v>1</v>
      </c>
      <c r="I36" s="25">
        <f t="shared" si="7"/>
        <v>6</v>
      </c>
      <c r="J36" s="59">
        <f>G36*H36*I36</f>
        <v>114</v>
      </c>
      <c r="K36" s="8"/>
      <c r="L36" s="3"/>
      <c r="M36" s="107"/>
    </row>
    <row r="37" spans="2:13" s="4" customFormat="1" ht="20" customHeight="1">
      <c r="B37" s="131"/>
      <c r="C37" s="158"/>
      <c r="D37" s="99" t="s">
        <v>95</v>
      </c>
      <c r="E37" s="100"/>
      <c r="F37" s="101"/>
      <c r="G37" s="22">
        <v>40</v>
      </c>
      <c r="H37" s="97">
        <v>1</v>
      </c>
      <c r="I37" s="25">
        <f t="shared" si="7"/>
        <v>6</v>
      </c>
      <c r="J37" s="59">
        <f t="shared" ref="J37:J39" si="8">G37*H37*I37</f>
        <v>240</v>
      </c>
      <c r="K37" s="8"/>
      <c r="L37" s="3"/>
      <c r="M37" s="107"/>
    </row>
    <row r="38" spans="2:13" s="4" customFormat="1" ht="20" customHeight="1">
      <c r="B38" s="131"/>
      <c r="C38" s="158"/>
      <c r="D38" s="99" t="s">
        <v>96</v>
      </c>
      <c r="E38" s="100"/>
      <c r="F38" s="101"/>
      <c r="G38" s="22">
        <v>25</v>
      </c>
      <c r="H38" s="97">
        <v>1</v>
      </c>
      <c r="I38" s="25">
        <f t="shared" si="7"/>
        <v>6</v>
      </c>
      <c r="J38" s="59">
        <f t="shared" si="8"/>
        <v>150</v>
      </c>
      <c r="K38" s="8"/>
      <c r="L38" s="3"/>
      <c r="M38" s="84"/>
    </row>
    <row r="39" spans="2:13" s="4" customFormat="1" ht="20" customHeight="1" thickBot="1">
      <c r="B39" s="131"/>
      <c r="C39" s="158"/>
      <c r="D39" s="165"/>
      <c r="E39" s="166"/>
      <c r="F39" s="167"/>
      <c r="G39" s="22"/>
      <c r="H39" s="97">
        <v>1</v>
      </c>
      <c r="I39" s="25">
        <f t="shared" si="7"/>
        <v>6</v>
      </c>
      <c r="J39" s="59">
        <f t="shared" si="8"/>
        <v>0</v>
      </c>
      <c r="K39" s="8"/>
      <c r="L39" s="3"/>
      <c r="M39" s="84"/>
    </row>
    <row r="40" spans="2:13" s="4" customFormat="1" ht="20" customHeight="1" thickBot="1">
      <c r="B40" s="132"/>
      <c r="C40" s="142" t="s">
        <v>43</v>
      </c>
      <c r="D40" s="143"/>
      <c r="E40" s="143"/>
      <c r="F40" s="143"/>
      <c r="G40" s="143"/>
      <c r="H40" s="143"/>
      <c r="I40" s="144"/>
      <c r="J40" s="60">
        <f>SUM(J35:J39)</f>
        <v>714</v>
      </c>
      <c r="K40" s="48"/>
      <c r="L40" s="3"/>
      <c r="M40" s="107"/>
    </row>
    <row r="41" spans="2:13" s="4" customFormat="1" ht="20" customHeight="1">
      <c r="B41" s="159" t="s">
        <v>17</v>
      </c>
      <c r="C41" s="160"/>
      <c r="D41" s="160"/>
      <c r="E41" s="160"/>
      <c r="F41" s="161"/>
      <c r="G41" s="36" t="s">
        <v>19</v>
      </c>
      <c r="H41" s="93" t="s">
        <v>23</v>
      </c>
      <c r="I41" s="93" t="s">
        <v>10</v>
      </c>
      <c r="J41" s="37" t="s">
        <v>5</v>
      </c>
      <c r="K41" s="38" t="s">
        <v>12</v>
      </c>
      <c r="L41" s="3"/>
      <c r="M41" s="107"/>
    </row>
    <row r="42" spans="2:13" s="4" customFormat="1" ht="20" customHeight="1">
      <c r="B42" s="168" t="s">
        <v>36</v>
      </c>
      <c r="C42" s="171" t="s">
        <v>42</v>
      </c>
      <c r="D42" s="165"/>
      <c r="E42" s="166"/>
      <c r="F42" s="167"/>
      <c r="G42" s="49">
        <v>0</v>
      </c>
      <c r="H42" s="103">
        <v>1</v>
      </c>
      <c r="I42" s="25">
        <f t="shared" ref="I42:I46" si="9">$D$5+$E$5+$F$5</f>
        <v>6</v>
      </c>
      <c r="J42" s="52">
        <f t="shared" ref="J42:J43" si="10">G42*H42*I42</f>
        <v>0</v>
      </c>
      <c r="K42" s="86" t="s">
        <v>47</v>
      </c>
      <c r="L42" s="3"/>
      <c r="M42" s="107"/>
    </row>
    <row r="43" spans="2:13" s="4" customFormat="1" ht="20" customHeight="1" thickBot="1">
      <c r="B43" s="169"/>
      <c r="C43" s="172"/>
      <c r="D43" s="173"/>
      <c r="E43" s="174"/>
      <c r="F43" s="175"/>
      <c r="G43" s="68"/>
      <c r="H43" s="69">
        <v>1</v>
      </c>
      <c r="I43" s="32">
        <f t="shared" si="9"/>
        <v>6</v>
      </c>
      <c r="J43" s="70">
        <f t="shared" si="10"/>
        <v>0</v>
      </c>
      <c r="K43" s="71"/>
      <c r="L43" s="3"/>
      <c r="M43" s="107"/>
    </row>
    <row r="44" spans="2:13" s="4" customFormat="1" ht="20" customHeight="1" thickBot="1">
      <c r="B44" s="169"/>
      <c r="C44" s="142" t="s">
        <v>43</v>
      </c>
      <c r="D44" s="143"/>
      <c r="E44" s="143"/>
      <c r="F44" s="143"/>
      <c r="G44" s="143"/>
      <c r="H44" s="143"/>
      <c r="I44" s="144"/>
      <c r="J44" s="57">
        <f>SUM(J42:J43)</f>
        <v>0</v>
      </c>
      <c r="K44" s="48"/>
      <c r="L44" s="3"/>
      <c r="M44" s="107"/>
    </row>
    <row r="45" spans="2:13" s="4" customFormat="1" ht="20" customHeight="1">
      <c r="B45" s="169"/>
      <c r="C45" s="176" t="s">
        <v>41</v>
      </c>
      <c r="D45" s="165"/>
      <c r="E45" s="166"/>
      <c r="F45" s="167"/>
      <c r="G45" s="22"/>
      <c r="H45" s="97">
        <v>1</v>
      </c>
      <c r="I45" s="25">
        <f t="shared" ref="I45" si="11">$D$5+$E$5+$F$5</f>
        <v>6</v>
      </c>
      <c r="J45" s="59">
        <f>G45*H45*I45</f>
        <v>0</v>
      </c>
      <c r="K45" s="46"/>
      <c r="L45" s="3"/>
      <c r="M45" s="108"/>
    </row>
    <row r="46" spans="2:13" s="4" customFormat="1" ht="20" customHeight="1" thickBot="1">
      <c r="B46" s="169"/>
      <c r="C46" s="177"/>
      <c r="D46" s="165"/>
      <c r="E46" s="166"/>
      <c r="F46" s="167"/>
      <c r="G46" s="26"/>
      <c r="H46" s="103">
        <v>1</v>
      </c>
      <c r="I46" s="32">
        <f t="shared" si="9"/>
        <v>6</v>
      </c>
      <c r="J46" s="59">
        <f t="shared" ref="J46" si="12">G46*H46*I46</f>
        <v>0</v>
      </c>
      <c r="K46" s="46"/>
      <c r="L46" s="3"/>
      <c r="M46" s="108"/>
    </row>
    <row r="47" spans="2:13" s="4" customFormat="1" ht="20" customHeight="1" thickBot="1">
      <c r="B47" s="170"/>
      <c r="C47" s="142" t="s">
        <v>43</v>
      </c>
      <c r="D47" s="143"/>
      <c r="E47" s="143"/>
      <c r="F47" s="143"/>
      <c r="G47" s="143"/>
      <c r="H47" s="143"/>
      <c r="I47" s="144"/>
      <c r="J47" s="60">
        <f>SUM(J45:J46)</f>
        <v>0</v>
      </c>
      <c r="K47" s="42"/>
      <c r="L47" s="7"/>
      <c r="M47" s="108"/>
    </row>
    <row r="48" spans="2:13" s="4" customFormat="1" ht="20" customHeight="1">
      <c r="B48" s="178" t="s">
        <v>16</v>
      </c>
      <c r="C48" s="179" t="s">
        <v>17</v>
      </c>
      <c r="D48" s="179"/>
      <c r="E48" s="179" t="s">
        <v>18</v>
      </c>
      <c r="F48" s="179"/>
      <c r="G48" s="61" t="s">
        <v>19</v>
      </c>
      <c r="H48" s="102" t="s">
        <v>9</v>
      </c>
      <c r="I48" s="102" t="s">
        <v>20</v>
      </c>
      <c r="J48" s="62" t="s">
        <v>11</v>
      </c>
      <c r="K48" s="63" t="s">
        <v>12</v>
      </c>
      <c r="L48" s="3"/>
      <c r="M48" s="108"/>
    </row>
    <row r="49" spans="2:16" s="4" customFormat="1" ht="20" customHeight="1">
      <c r="B49" s="131"/>
      <c r="C49" s="180" t="s">
        <v>42</v>
      </c>
      <c r="D49" s="181"/>
      <c r="E49" s="97" t="s">
        <v>49</v>
      </c>
      <c r="F49" s="184" t="s">
        <v>67</v>
      </c>
      <c r="G49" s="49">
        <v>800</v>
      </c>
      <c r="H49" s="103">
        <v>1</v>
      </c>
      <c r="I49" s="103">
        <v>1</v>
      </c>
      <c r="J49" s="52">
        <f t="shared" ref="J49:J53" si="13">G49*H49*I49</f>
        <v>800</v>
      </c>
      <c r="K49" s="10"/>
      <c r="L49" s="7"/>
      <c r="M49" s="108"/>
      <c r="P49" s="4" t="s">
        <v>21</v>
      </c>
    </row>
    <row r="50" spans="2:16" s="4" customFormat="1" ht="20" customHeight="1">
      <c r="B50" s="131"/>
      <c r="C50" s="182"/>
      <c r="D50" s="183"/>
      <c r="E50" s="97" t="s">
        <v>58</v>
      </c>
      <c r="F50" s="185"/>
      <c r="G50" s="49">
        <v>1000</v>
      </c>
      <c r="H50" s="103">
        <v>1</v>
      </c>
      <c r="I50" s="103">
        <v>1</v>
      </c>
      <c r="J50" s="52">
        <f t="shared" si="13"/>
        <v>1000</v>
      </c>
      <c r="K50" s="10"/>
      <c r="L50" s="7"/>
      <c r="M50" s="84"/>
    </row>
    <row r="51" spans="2:16" s="4" customFormat="1" ht="20" customHeight="1">
      <c r="B51" s="131"/>
      <c r="C51" s="182"/>
      <c r="D51" s="183"/>
      <c r="E51" s="97" t="s">
        <v>59</v>
      </c>
      <c r="F51" s="185"/>
      <c r="G51" s="49">
        <v>1200</v>
      </c>
      <c r="H51" s="103">
        <v>1</v>
      </c>
      <c r="I51" s="103">
        <v>1</v>
      </c>
      <c r="J51" s="52">
        <f t="shared" si="13"/>
        <v>1200</v>
      </c>
      <c r="K51" s="10"/>
      <c r="L51" s="7"/>
    </row>
    <row r="52" spans="2:16" s="4" customFormat="1" ht="20" customHeight="1">
      <c r="B52" s="131"/>
      <c r="C52" s="182"/>
      <c r="D52" s="183"/>
      <c r="E52" s="97" t="s">
        <v>60</v>
      </c>
      <c r="F52" s="186"/>
      <c r="G52" s="49">
        <v>1600</v>
      </c>
      <c r="H52" s="103">
        <v>1</v>
      </c>
      <c r="I52" s="103">
        <v>1</v>
      </c>
      <c r="J52" s="52">
        <f t="shared" si="13"/>
        <v>1600</v>
      </c>
      <c r="K52" s="10"/>
      <c r="L52" s="7"/>
    </row>
    <row r="53" spans="2:16" s="4" customFormat="1" ht="20" customHeight="1" thickBot="1">
      <c r="B53" s="131"/>
      <c r="C53" s="182"/>
      <c r="D53" s="183"/>
      <c r="E53" s="97" t="s">
        <v>60</v>
      </c>
      <c r="F53" s="6" t="s">
        <v>50</v>
      </c>
      <c r="G53" s="49">
        <v>500</v>
      </c>
      <c r="H53" s="103">
        <v>1</v>
      </c>
      <c r="I53" s="103">
        <v>2</v>
      </c>
      <c r="J53" s="52">
        <f t="shared" si="13"/>
        <v>1000</v>
      </c>
      <c r="K53" s="10"/>
      <c r="L53" s="7"/>
    </row>
    <row r="54" spans="2:16" s="4" customFormat="1" ht="20" customHeight="1" thickBot="1">
      <c r="B54" s="131"/>
      <c r="C54" s="142" t="s">
        <v>43</v>
      </c>
      <c r="D54" s="143"/>
      <c r="E54" s="143"/>
      <c r="F54" s="143"/>
      <c r="G54" s="143"/>
      <c r="H54" s="143"/>
      <c r="I54" s="144"/>
      <c r="J54" s="57">
        <f>SUM(J49:J53)</f>
        <v>5600</v>
      </c>
      <c r="K54" s="48"/>
      <c r="L54" s="7"/>
    </row>
    <row r="55" spans="2:16" s="4" customFormat="1" ht="20" customHeight="1">
      <c r="B55" s="131"/>
      <c r="C55" s="180" t="s">
        <v>41</v>
      </c>
      <c r="D55" s="181"/>
      <c r="E55" s="97" t="s">
        <v>69</v>
      </c>
      <c r="F55" s="187" t="s">
        <v>68</v>
      </c>
      <c r="G55" s="22">
        <v>0</v>
      </c>
      <c r="H55" s="6">
        <v>1</v>
      </c>
      <c r="I55" s="6">
        <v>1</v>
      </c>
      <c r="J55" s="58">
        <f>G55*H55*I55</f>
        <v>0</v>
      </c>
      <c r="K55" s="45"/>
      <c r="L55" s="7"/>
    </row>
    <row r="56" spans="2:16" s="4" customFormat="1" ht="20" customHeight="1">
      <c r="B56" s="131"/>
      <c r="C56" s="182"/>
      <c r="D56" s="183"/>
      <c r="E56" s="97" t="s">
        <v>70</v>
      </c>
      <c r="F56" s="185"/>
      <c r="G56" s="22">
        <v>0</v>
      </c>
      <c r="H56" s="6">
        <v>1</v>
      </c>
      <c r="I56" s="6">
        <v>1</v>
      </c>
      <c r="J56" s="58">
        <f t="shared" ref="J56:J57" si="14">G56*H56*I56</f>
        <v>0</v>
      </c>
      <c r="K56" s="45"/>
      <c r="L56" s="7"/>
    </row>
    <row r="57" spans="2:16" s="4" customFormat="1" ht="20" customHeight="1" thickBot="1">
      <c r="B57" s="131"/>
      <c r="C57" s="182"/>
      <c r="D57" s="183"/>
      <c r="E57" s="97" t="s">
        <v>62</v>
      </c>
      <c r="F57" s="188"/>
      <c r="G57" s="22">
        <v>500</v>
      </c>
      <c r="H57" s="6">
        <v>1</v>
      </c>
      <c r="I57" s="6">
        <v>1</v>
      </c>
      <c r="J57" s="58">
        <f t="shared" si="14"/>
        <v>500</v>
      </c>
      <c r="K57" s="45"/>
      <c r="L57" s="7"/>
    </row>
    <row r="58" spans="2:16" s="4" customFormat="1" ht="20" customHeight="1" thickBot="1">
      <c r="B58" s="132"/>
      <c r="C58" s="142" t="s">
        <v>43</v>
      </c>
      <c r="D58" s="143"/>
      <c r="E58" s="143"/>
      <c r="F58" s="143"/>
      <c r="G58" s="143"/>
      <c r="H58" s="143"/>
      <c r="I58" s="144"/>
      <c r="J58" s="60">
        <f>SUM(J55:J57)</f>
        <v>500</v>
      </c>
      <c r="K58" s="48"/>
      <c r="L58" s="3"/>
    </row>
    <row r="59" spans="2:16" s="4" customFormat="1" ht="20" customHeight="1">
      <c r="B59" s="178" t="s">
        <v>24</v>
      </c>
      <c r="C59" s="156" t="s">
        <v>25</v>
      </c>
      <c r="D59" s="156" t="s">
        <v>42</v>
      </c>
      <c r="E59" s="153" t="s">
        <v>38</v>
      </c>
      <c r="F59" s="153"/>
      <c r="G59" s="51">
        <v>150</v>
      </c>
      <c r="H59" s="98">
        <v>4</v>
      </c>
      <c r="I59" s="98">
        <v>1</v>
      </c>
      <c r="J59" s="52">
        <f t="shared" ref="J59:J62" si="15">G59*H59*I59</f>
        <v>600</v>
      </c>
      <c r="K59" s="40"/>
      <c r="L59" s="7"/>
    </row>
    <row r="60" spans="2:16" s="4" customFormat="1" ht="20" customHeight="1">
      <c r="B60" s="131"/>
      <c r="C60" s="158"/>
      <c r="D60" s="158"/>
      <c r="E60" s="155" t="s">
        <v>39</v>
      </c>
      <c r="F60" s="155"/>
      <c r="G60" s="50">
        <v>250</v>
      </c>
      <c r="H60" s="94">
        <v>0</v>
      </c>
      <c r="I60" s="94">
        <v>1</v>
      </c>
      <c r="J60" s="52">
        <f t="shared" si="15"/>
        <v>0</v>
      </c>
      <c r="K60" s="8"/>
      <c r="L60" s="7"/>
    </row>
    <row r="61" spans="2:16" s="4" customFormat="1" ht="20" customHeight="1">
      <c r="B61" s="131"/>
      <c r="C61" s="158"/>
      <c r="D61" s="158"/>
      <c r="E61" s="155" t="s">
        <v>40</v>
      </c>
      <c r="F61" s="155"/>
      <c r="G61" s="50">
        <v>600</v>
      </c>
      <c r="H61" s="94">
        <v>4</v>
      </c>
      <c r="I61" s="94">
        <v>1</v>
      </c>
      <c r="J61" s="52">
        <f t="shared" si="15"/>
        <v>2400</v>
      </c>
      <c r="K61" s="27"/>
      <c r="L61" s="7"/>
    </row>
    <row r="62" spans="2:16" s="4" customFormat="1" ht="20" customHeight="1" thickBot="1">
      <c r="B62" s="131"/>
      <c r="C62" s="158"/>
      <c r="D62" s="158"/>
      <c r="E62" s="155"/>
      <c r="F62" s="155"/>
      <c r="G62" s="50"/>
      <c r="H62" s="94"/>
      <c r="I62" s="94"/>
      <c r="J62" s="52">
        <f t="shared" si="15"/>
        <v>0</v>
      </c>
      <c r="K62" s="27"/>
      <c r="L62" s="7"/>
    </row>
    <row r="63" spans="2:16" s="4" customFormat="1" ht="20" customHeight="1" thickBot="1">
      <c r="B63" s="131"/>
      <c r="C63" s="182"/>
      <c r="D63" s="189" t="s">
        <v>43</v>
      </c>
      <c r="E63" s="189"/>
      <c r="F63" s="189"/>
      <c r="G63" s="189"/>
      <c r="H63" s="189"/>
      <c r="I63" s="189"/>
      <c r="J63" s="57">
        <f>SUM(J59:J62)</f>
        <v>3000</v>
      </c>
      <c r="K63" s="48"/>
      <c r="L63" s="7"/>
    </row>
    <row r="64" spans="2:16" s="4" customFormat="1" ht="20" customHeight="1">
      <c r="B64" s="131"/>
      <c r="C64" s="158"/>
      <c r="D64" s="158" t="s">
        <v>41</v>
      </c>
      <c r="E64" s="153" t="s">
        <v>27</v>
      </c>
      <c r="F64" s="153"/>
      <c r="G64" s="47">
        <v>60</v>
      </c>
      <c r="H64" s="95">
        <v>2</v>
      </c>
      <c r="I64" s="95">
        <v>1</v>
      </c>
      <c r="J64" s="39">
        <f t="shared" ref="J64" si="16">G64*H64*I64</f>
        <v>120</v>
      </c>
      <c r="K64" s="27"/>
      <c r="L64" s="7"/>
      <c r="M64" s="84"/>
    </row>
    <row r="65" spans="2:13" s="4" customFormat="1" ht="20" customHeight="1">
      <c r="B65" s="131"/>
      <c r="C65" s="158"/>
      <c r="D65" s="158"/>
      <c r="E65" s="155" t="s">
        <v>26</v>
      </c>
      <c r="F65" s="155"/>
      <c r="G65" s="21">
        <v>350</v>
      </c>
      <c r="H65" s="97">
        <v>2</v>
      </c>
      <c r="I65" s="97">
        <v>1</v>
      </c>
      <c r="J65" s="5">
        <f>G65*H65*I65</f>
        <v>700</v>
      </c>
      <c r="K65" s="27"/>
      <c r="L65" s="7"/>
      <c r="M65" s="85"/>
    </row>
    <row r="66" spans="2:13" s="4" customFormat="1" ht="20" customHeight="1" thickBot="1">
      <c r="B66" s="131"/>
      <c r="C66" s="158"/>
      <c r="D66" s="158"/>
      <c r="E66" s="155"/>
      <c r="F66" s="155"/>
      <c r="G66" s="21"/>
      <c r="H66" s="97"/>
      <c r="I66" s="97"/>
      <c r="J66" s="5">
        <f>G66*H66*I66</f>
        <v>0</v>
      </c>
      <c r="K66" s="44"/>
      <c r="L66" s="7"/>
      <c r="M66" s="84"/>
    </row>
    <row r="67" spans="2:13" s="4" customFormat="1" ht="20" customHeight="1" thickBot="1">
      <c r="B67" s="132"/>
      <c r="C67" s="197"/>
      <c r="D67" s="189" t="s">
        <v>43</v>
      </c>
      <c r="E67" s="189"/>
      <c r="F67" s="189"/>
      <c r="G67" s="189"/>
      <c r="H67" s="189"/>
      <c r="I67" s="189"/>
      <c r="J67" s="60">
        <f>SUM(J64:J66)</f>
        <v>820</v>
      </c>
      <c r="K67" s="42"/>
      <c r="L67" s="7"/>
      <c r="M67" s="84"/>
    </row>
    <row r="68" spans="2:13" s="4" customFormat="1" ht="20" customHeight="1">
      <c r="B68" s="178" t="s">
        <v>28</v>
      </c>
      <c r="C68" s="156" t="s">
        <v>29</v>
      </c>
      <c r="D68" s="104" t="s">
        <v>42</v>
      </c>
      <c r="E68" s="196" t="s">
        <v>52</v>
      </c>
      <c r="F68" s="196"/>
      <c r="G68" s="50">
        <v>100</v>
      </c>
      <c r="H68" s="97">
        <v>1</v>
      </c>
      <c r="I68" s="90">
        <f>$D$5</f>
        <v>6</v>
      </c>
      <c r="J68" s="56">
        <f t="shared" ref="J68" si="17">G68*H68*I68</f>
        <v>600</v>
      </c>
      <c r="K68" s="80"/>
      <c r="L68" s="7"/>
      <c r="M68" s="91"/>
    </row>
    <row r="69" spans="2:13" s="4" customFormat="1" ht="20" customHeight="1" thickBot="1">
      <c r="B69" s="132"/>
      <c r="C69" s="195"/>
      <c r="D69" s="81" t="s">
        <v>41</v>
      </c>
      <c r="E69" s="157" t="s">
        <v>52</v>
      </c>
      <c r="F69" s="157"/>
      <c r="G69" s="21">
        <v>30</v>
      </c>
      <c r="H69" s="81">
        <v>1</v>
      </c>
      <c r="I69" s="89">
        <f>$D$5</f>
        <v>6</v>
      </c>
      <c r="J69" s="82">
        <f>G69*H69*I69</f>
        <v>180</v>
      </c>
      <c r="K69" s="83"/>
      <c r="L69" s="7"/>
      <c r="M69" s="84"/>
    </row>
    <row r="70" spans="2:13" s="4" customFormat="1" ht="20" customHeight="1" thickBot="1">
      <c r="B70" s="190" t="s">
        <v>7</v>
      </c>
      <c r="C70" s="189"/>
      <c r="D70" s="189"/>
      <c r="E70" s="189"/>
      <c r="F70" s="189"/>
      <c r="G70" s="189"/>
      <c r="H70" s="189"/>
      <c r="I70" s="189"/>
      <c r="J70" s="41">
        <f>SUM(J68:J68)</f>
        <v>600</v>
      </c>
      <c r="K70" s="48"/>
      <c r="L70" s="3"/>
      <c r="M70" s="84"/>
    </row>
    <row r="71" spans="2:13" s="4" customFormat="1" ht="20" customHeight="1">
      <c r="B71" s="191" t="s">
        <v>45</v>
      </c>
      <c r="C71" s="192"/>
      <c r="D71" s="192"/>
      <c r="E71" s="192"/>
      <c r="F71" s="192"/>
      <c r="G71" s="192"/>
      <c r="H71" s="192"/>
      <c r="I71" s="192"/>
      <c r="J71" s="65">
        <f>J10+J23+J34+J44+J54+J63+J68</f>
        <v>16635</v>
      </c>
      <c r="K71" s="66">
        <f>J71/$D$5*$K$5</f>
        <v>887200</v>
      </c>
      <c r="L71" s="3"/>
      <c r="M71" s="84"/>
    </row>
    <row r="72" spans="2:13" s="4" customFormat="1" ht="20" customHeight="1">
      <c r="B72" s="191" t="s">
        <v>44</v>
      </c>
      <c r="C72" s="192"/>
      <c r="D72" s="192"/>
      <c r="E72" s="192"/>
      <c r="F72" s="192"/>
      <c r="G72" s="192"/>
      <c r="H72" s="192"/>
      <c r="I72" s="192"/>
      <c r="J72" s="64">
        <f>J13+J28+J40+J47+J58+J67+J69</f>
        <v>3072</v>
      </c>
      <c r="K72" s="66">
        <f>J72/$D$5*$K$4</f>
        <v>527360</v>
      </c>
      <c r="L72" s="3"/>
      <c r="M72" s="84"/>
    </row>
    <row r="73" spans="2:13" s="4" customFormat="1" ht="30.15" customHeight="1" thickBot="1">
      <c r="B73" s="193" t="s">
        <v>30</v>
      </c>
      <c r="C73" s="194"/>
      <c r="D73" s="194"/>
      <c r="E73" s="194"/>
      <c r="F73" s="194"/>
      <c r="G73" s="194"/>
      <c r="H73" s="194"/>
      <c r="I73" s="194"/>
      <c r="J73" s="67">
        <f>J71*$K$5+J72*$K$4</f>
        <v>8487360</v>
      </c>
      <c r="K73" s="43">
        <f>K71+K72</f>
        <v>1414560</v>
      </c>
      <c r="L73" s="12">
        <v>777000</v>
      </c>
      <c r="M73" s="84"/>
    </row>
    <row r="74" spans="2:13" s="4" customFormat="1" ht="10" customHeight="1">
      <c r="B74" s="1"/>
      <c r="C74" s="1"/>
      <c r="D74" s="1"/>
      <c r="E74" s="1"/>
      <c r="F74" s="1"/>
      <c r="G74" s="19"/>
      <c r="H74" s="2"/>
      <c r="I74" s="2"/>
      <c r="J74" s="13"/>
      <c r="K74" s="14"/>
      <c r="L74" s="3"/>
      <c r="M74" s="84"/>
    </row>
    <row r="75" spans="2:13" s="4" customFormat="1" ht="20" customHeight="1">
      <c r="B75" s="3"/>
      <c r="C75" s="3"/>
      <c r="D75" s="3"/>
      <c r="E75" s="3"/>
      <c r="F75" s="3"/>
      <c r="G75" s="24"/>
      <c r="H75" s="15"/>
      <c r="I75" s="15"/>
      <c r="J75" s="16"/>
      <c r="K75" s="17"/>
      <c r="L75" s="3"/>
      <c r="M75" s="84"/>
    </row>
  </sheetData>
  <mergeCells count="93">
    <mergeCell ref="B70:I70"/>
    <mergeCell ref="B71:I71"/>
    <mergeCell ref="B72:I72"/>
    <mergeCell ref="B73:I73"/>
    <mergeCell ref="E65:F65"/>
    <mergeCell ref="E66:F66"/>
    <mergeCell ref="D67:I67"/>
    <mergeCell ref="B68:B69"/>
    <mergeCell ref="C68:C69"/>
    <mergeCell ref="E68:F68"/>
    <mergeCell ref="E69:F69"/>
    <mergeCell ref="B59:B67"/>
    <mergeCell ref="C59:C67"/>
    <mergeCell ref="D59:D62"/>
    <mergeCell ref="E59:F59"/>
    <mergeCell ref="E60:F60"/>
    <mergeCell ref="E61:F61"/>
    <mergeCell ref="E62:F62"/>
    <mergeCell ref="D63:I63"/>
    <mergeCell ref="D64:D66"/>
    <mergeCell ref="E64:F64"/>
    <mergeCell ref="B48:B58"/>
    <mergeCell ref="C48:D48"/>
    <mergeCell ref="E48:F48"/>
    <mergeCell ref="C49:D53"/>
    <mergeCell ref="F49:F52"/>
    <mergeCell ref="C54:I54"/>
    <mergeCell ref="C55:D57"/>
    <mergeCell ref="F55:F57"/>
    <mergeCell ref="C58:I58"/>
    <mergeCell ref="B42:B47"/>
    <mergeCell ref="C42:C43"/>
    <mergeCell ref="D42:F42"/>
    <mergeCell ref="D43:F43"/>
    <mergeCell ref="C44:I44"/>
    <mergeCell ref="C45:C46"/>
    <mergeCell ref="D45:F45"/>
    <mergeCell ref="D46:F46"/>
    <mergeCell ref="C47:I47"/>
    <mergeCell ref="B41:F41"/>
    <mergeCell ref="C28:I28"/>
    <mergeCell ref="B29:F29"/>
    <mergeCell ref="B30:B40"/>
    <mergeCell ref="C30:C33"/>
    <mergeCell ref="D30:F30"/>
    <mergeCell ref="D33:F33"/>
    <mergeCell ref="C34:I34"/>
    <mergeCell ref="C35:C39"/>
    <mergeCell ref="D35:F35"/>
    <mergeCell ref="D36:F36"/>
    <mergeCell ref="D39:F39"/>
    <mergeCell ref="C40:I40"/>
    <mergeCell ref="E24:F24"/>
    <mergeCell ref="E25:F25"/>
    <mergeCell ref="C26:C27"/>
    <mergeCell ref="E26:F26"/>
    <mergeCell ref="E27:F27"/>
    <mergeCell ref="B14:F14"/>
    <mergeCell ref="B15:B28"/>
    <mergeCell ref="C15:C16"/>
    <mergeCell ref="E15:F15"/>
    <mergeCell ref="E16:F16"/>
    <mergeCell ref="C17:C18"/>
    <mergeCell ref="E17:F17"/>
    <mergeCell ref="E18:F18"/>
    <mergeCell ref="C19:C20"/>
    <mergeCell ref="E19:F19"/>
    <mergeCell ref="E20:F20"/>
    <mergeCell ref="C21:C22"/>
    <mergeCell ref="E21:F21"/>
    <mergeCell ref="E22:F22"/>
    <mergeCell ref="C23:I23"/>
    <mergeCell ref="C24:C25"/>
    <mergeCell ref="B5:C5"/>
    <mergeCell ref="H5:I5"/>
    <mergeCell ref="B6:F6"/>
    <mergeCell ref="B7:B13"/>
    <mergeCell ref="C7:C9"/>
    <mergeCell ref="D7:F7"/>
    <mergeCell ref="D8:F8"/>
    <mergeCell ref="D9:F9"/>
    <mergeCell ref="C10:I10"/>
    <mergeCell ref="C11:C12"/>
    <mergeCell ref="D11:F11"/>
    <mergeCell ref="D12:F12"/>
    <mergeCell ref="C13:I13"/>
    <mergeCell ref="B2:K2"/>
    <mergeCell ref="B3:C3"/>
    <mergeCell ref="D3:F3"/>
    <mergeCell ref="H3:I3"/>
    <mergeCell ref="B4:C4"/>
    <mergeCell ref="D4:F4"/>
    <mergeCell ref="H4:I4"/>
  </mergeCells>
  <phoneticPr fontId="1" type="noConversion"/>
  <printOptions horizontalCentered="1"/>
  <pageMargins left="0.19685039370078741" right="0.19685039370078741" top="0.98425196850393704" bottom="0.19685039370078741" header="0.31496062992125984" footer="0.31496062992125984"/>
  <pageSetup paperSize="9" scale="86" orientation="portrait" horizontalDpi="4294967293" verticalDpi="4294967293" r:id="rId1"/>
  <headerFooter>
    <oddHeader>&amp;C&amp;G</oddHeader>
  </headerFooter>
  <rowBreaks count="1" manualBreakCount="1">
    <brk id="40" max="11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세부내역서 6+0</vt:lpstr>
      <vt:lpstr>'세부내역서 6+0'!Print_Area</vt:lpstr>
      <vt:lpstr>'세부내역서 6+0'!Print_Titles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지현민</cp:lastModifiedBy>
  <cp:lastPrinted>2024-04-11T02:38:57Z</cp:lastPrinted>
  <dcterms:created xsi:type="dcterms:W3CDTF">2023-02-09T08:09:50Z</dcterms:created>
  <dcterms:modified xsi:type="dcterms:W3CDTF">2024-10-17T23:44:36Z</dcterms:modified>
</cp:coreProperties>
</file>