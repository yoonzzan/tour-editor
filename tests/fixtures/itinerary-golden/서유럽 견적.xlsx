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oon/Desktop/"/>
    </mc:Choice>
  </mc:AlternateContent>
  <xr:revisionPtr revIDLastSave="0" documentId="8_{532B1448-B8F1-FE41-8348-7B4912035753}" xr6:coauthVersionLast="47" xr6:coauthVersionMax="47" xr10:uidLastSave="{00000000-0000-0000-0000-000000000000}"/>
  <bookViews>
    <workbookView xWindow="25140" yWindow="13620" windowWidth="27300" windowHeight="16380" xr2:uid="{A8649ADF-8819-F347-A457-735946223577}"/>
  </bookViews>
  <sheets>
    <sheet name="서유럽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I131" i="1"/>
  <c r="I130" i="1"/>
  <c r="I129" i="1"/>
  <c r="I128" i="1"/>
  <c r="I127" i="1"/>
  <c r="I134" i="1" s="1"/>
  <c r="I126" i="1"/>
  <c r="I125" i="1"/>
  <c r="I124" i="1"/>
  <c r="I123" i="1"/>
  <c r="I122" i="1"/>
  <c r="I121" i="1"/>
  <c r="I120" i="1"/>
  <c r="I116" i="1"/>
  <c r="I115" i="1"/>
  <c r="I114" i="1"/>
  <c r="I113" i="1"/>
  <c r="I112" i="1"/>
  <c r="I111" i="1"/>
  <c r="I110" i="1"/>
  <c r="I109" i="1"/>
  <c r="I108" i="1"/>
  <c r="I107" i="1"/>
  <c r="I118" i="1" s="1"/>
  <c r="I106" i="1"/>
  <c r="I104" i="1"/>
  <c r="I87" i="1"/>
  <c r="I86" i="1"/>
  <c r="I85" i="1"/>
  <c r="I84" i="1"/>
  <c r="I83" i="1"/>
  <c r="I89" i="1" s="1"/>
  <c r="I82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80" i="1" s="1"/>
  <c r="I136" i="1" l="1"/>
  <c r="H138" i="1" s="1"/>
  <c r="H139" i="1" s="1"/>
</calcChain>
</file>

<file path=xl/sharedStrings.xml><?xml version="1.0" encoding="utf-8"?>
<sst xmlns="http://schemas.openxmlformats.org/spreadsheetml/2006/main" count="159" uniqueCount="137">
  <si>
    <t>견   적   서</t>
    <phoneticPr fontId="5" type="noConversion"/>
  </si>
  <si>
    <t>ATTN.</t>
    <phoneticPr fontId="5" type="noConversion"/>
  </si>
  <si>
    <t xml:space="preserve"> 하나투어 / 이 정민 수석님</t>
    <phoneticPr fontId="5" type="noConversion"/>
  </si>
  <si>
    <t>날         짜</t>
    <phoneticPr fontId="5" type="noConversion"/>
  </si>
  <si>
    <t xml:space="preserve"> 2025. 02. 17</t>
    <phoneticPr fontId="5" type="noConversion"/>
  </si>
  <si>
    <t>FROM.</t>
    <phoneticPr fontId="5" type="noConversion"/>
  </si>
  <si>
    <t xml:space="preserve"> 예스유럽 / 양 영란소장, 정 상범 드림</t>
    <phoneticPr fontId="5" type="noConversion"/>
  </si>
  <si>
    <t>전화 &amp; 팩스</t>
    <phoneticPr fontId="5" type="noConversion"/>
  </si>
  <si>
    <t xml:space="preserve"> 02.773.0066 / 02.6008.0238</t>
    <phoneticPr fontId="5" type="noConversion"/>
  </si>
  <si>
    <t>REF</t>
    <phoneticPr fontId="5" type="noConversion"/>
  </si>
  <si>
    <t xml:space="preserve"> R082400 하나투어) 서유럽 3국 10일 PTY (QE00606023001) </t>
    <phoneticPr fontId="5" type="noConversion"/>
  </si>
  <si>
    <t>여행기간</t>
    <phoneticPr fontId="5" type="noConversion"/>
  </si>
  <si>
    <t xml:space="preserve"> 2025년 8월 24일 출발 기준</t>
    <phoneticPr fontId="5" type="noConversion"/>
  </si>
  <si>
    <t>Room Style</t>
  </si>
  <si>
    <t>6TWB+1TRP+2SGL  기준</t>
    <phoneticPr fontId="5" type="noConversion"/>
  </si>
  <si>
    <r>
      <t xml:space="preserve">*        EUR  2,840  </t>
    </r>
    <r>
      <rPr>
        <sz val="12"/>
        <rFont val="맑은 고딕"/>
        <family val="3"/>
        <charset val="129"/>
      </rPr>
      <t>PER PERSON FOR</t>
    </r>
    <r>
      <rPr>
        <b/>
        <sz val="12"/>
        <rFont val="맑은 고딕"/>
        <family val="3"/>
        <charset val="129"/>
      </rPr>
      <t xml:space="preserve">   15  </t>
    </r>
    <r>
      <rPr>
        <sz val="12"/>
        <rFont val="맑은 고딕"/>
        <family val="3"/>
        <charset val="129"/>
      </rPr>
      <t>FULL PAYING PAX AND</t>
    </r>
    <r>
      <rPr>
        <b/>
        <sz val="12"/>
        <rFont val="맑은 고딕"/>
        <family val="3"/>
        <charset val="129"/>
      </rPr>
      <t xml:space="preserve">   2   </t>
    </r>
    <r>
      <rPr>
        <sz val="12"/>
        <rFont val="맑은 고딕"/>
        <family val="3"/>
        <charset val="129"/>
      </rPr>
      <t xml:space="preserve"> FREE</t>
    </r>
    <phoneticPr fontId="5" type="noConversion"/>
  </si>
  <si>
    <t>싱글차지 &lt;룸당발생&gt; : EUR 650</t>
    <phoneticPr fontId="5" type="noConversion"/>
  </si>
  <si>
    <t>* 여행조건 (08N 10D)</t>
    <phoneticPr fontId="5" type="noConversion"/>
  </si>
  <si>
    <t>1. 호텔</t>
    <phoneticPr fontId="5" type="noConversion"/>
  </si>
  <si>
    <t xml:space="preserve">: 4성 호텔 사용 기준 </t>
    <phoneticPr fontId="5" type="noConversion"/>
  </si>
  <si>
    <t>예정호텔</t>
    <phoneticPr fontId="5" type="noConversion"/>
  </si>
  <si>
    <t>: 파리 - NOVOTEL PARIS CENTRE GARE MONTPARNASSE  혹은 동급 (4*)</t>
    <phoneticPr fontId="5" type="noConversion"/>
  </si>
  <si>
    <t>: 바젤 - Essential by Dorint Basel City 혹은 동급 (4*)</t>
    <phoneticPr fontId="5" type="noConversion"/>
  </si>
  <si>
    <t>: 인터라켄  - Hotel Krebs Interlaken 혹은 동급 (4*)</t>
    <phoneticPr fontId="5" type="noConversion"/>
  </si>
  <si>
    <t>: 밀라노 - COSMO PALACE HOTEL 혹은 동급 (4*)</t>
    <phoneticPr fontId="5" type="noConversion"/>
  </si>
  <si>
    <t>: 베니스 - HOTEL POPPI 혹은 동급 (4*)</t>
    <phoneticPr fontId="5" type="noConversion"/>
  </si>
  <si>
    <t>: 로마 - NOVOTEL ROMA EST  혹은 동급 (4*)</t>
    <phoneticPr fontId="5" type="noConversion"/>
  </si>
  <si>
    <t>2. 차량</t>
    <phoneticPr fontId="5" type="noConversion"/>
  </si>
  <si>
    <t>: 대형 차량 기준</t>
    <phoneticPr fontId="5" type="noConversion"/>
  </si>
  <si>
    <t>3. 가이드</t>
    <phoneticPr fontId="5" type="noConversion"/>
  </si>
  <si>
    <t>: 한국인 가이드, 현지인 가이드</t>
    <phoneticPr fontId="5" type="noConversion"/>
  </si>
  <si>
    <t>4. 식사</t>
    <phoneticPr fontId="5" type="noConversion"/>
  </si>
  <si>
    <t>: 호텔 조식 + 중&amp;석식 15회 기준 (특식 - 르 씨엘 드 파리 / 에스까르고 / 치즈퐁뒤 / 피오렌티나 스테이크 / 탈리에레 / 이탈리아 화덕피자 / 삼겹살 또는 불판불고기)</t>
    <phoneticPr fontId="5" type="noConversion"/>
  </si>
  <si>
    <t xml:space="preserve">5. 입장지 </t>
    <phoneticPr fontId="5" type="noConversion"/>
  </si>
  <si>
    <t>: 바티칸박물관+예약, 벤츠투어,  베니스 바포레토+수상택시, 몬테풀차노 와이너리</t>
    <phoneticPr fontId="5" type="noConversion"/>
  </si>
  <si>
    <t>: 루브르박물관+오디오가이드, 에펠2F, 세느강유람선, 융프라우</t>
    <phoneticPr fontId="5" type="noConversion"/>
  </si>
  <si>
    <t>6. 기타포함</t>
    <phoneticPr fontId="5" type="noConversion"/>
  </si>
  <si>
    <t>: 각종TIP, 전일 주차비용, 호텔 TAX, TGV 열차비용 (2등석 / 예상가)</t>
    <phoneticPr fontId="5" type="noConversion"/>
  </si>
  <si>
    <t xml:space="preserve">* 불포함내역 </t>
    <phoneticPr fontId="5" type="noConversion"/>
  </si>
  <si>
    <t xml:space="preserve">    1. 전 구간에 대한 항공운임은 불포함입니다. </t>
    <phoneticPr fontId="5" type="noConversion"/>
  </si>
  <si>
    <t xml:space="preserve">    2. 개인경비, 포터비, 음료수 불포함입니다.</t>
    <phoneticPr fontId="5" type="noConversion"/>
  </si>
  <si>
    <t xml:space="preserve">    3. 상기 견적서에 명기되지 않은 관광지 입장요금 불포함입니다.</t>
    <phoneticPr fontId="5" type="noConversion"/>
  </si>
  <si>
    <t xml:space="preserve">    4. 전문인솔자 진행시 스위스 지역 / 이태리 로마,피렌체,베니스 지역을 제외한 나머지 가이드 서비스 불포함 기준입니다.</t>
    <phoneticPr fontId="5" type="noConversion"/>
  </si>
  <si>
    <t xml:space="preserve">    5. 전문인솔자 진행시 첫날 트랜스퍼 서비스 불포함 기준입니다.</t>
    <phoneticPr fontId="5" type="noConversion"/>
  </si>
  <si>
    <t xml:space="preserve">    6. 전 일정 송수신기 비용 불포함 기준입니다.</t>
    <phoneticPr fontId="5" type="noConversion"/>
  </si>
  <si>
    <t xml:space="preserve">    7. 첫날 마지막날 석식 불포함 기준입니다.</t>
    <phoneticPr fontId="5" type="noConversion"/>
  </si>
  <si>
    <t xml:space="preserve">* REMARK </t>
    <phoneticPr fontId="5" type="noConversion"/>
  </si>
  <si>
    <t xml:space="preserve">   1. 차량 사용 및 가이드 서비스 시간은 오전 9시부터 오후 7시까지입니다. 추가 사용시엔 요금 발생이 될 수 있음을 알려드립니다.</t>
    <phoneticPr fontId="5" type="noConversion"/>
  </si>
  <si>
    <t xml:space="preserve">   2. 상기요금 및 호텔은 인원변동과 현지사정에 의해 다소 변경될 수 있습니다. </t>
    <phoneticPr fontId="5" type="noConversion"/>
  </si>
  <si>
    <t xml:space="preserve">   3. 열차 및 호텔 금액은 현재 조회기준으로 추후 예약시 금액 변동 될 수 있습니다. </t>
    <phoneticPr fontId="5" type="noConversion"/>
  </si>
  <si>
    <t xml:space="preserve">귀사의 견적의뢰에 감사의 말씀 드립니다. </t>
    <phoneticPr fontId="5" type="noConversion"/>
  </si>
  <si>
    <r>
      <t xml:space="preserve">견적서 내용 중 궁금하신 사항이 있으면 언제든지 연락 부탁 드립니다. </t>
    </r>
    <r>
      <rPr>
        <b/>
        <sz val="11"/>
        <rFont val="돋움"/>
        <family val="3"/>
        <charset val="129"/>
      </rPr>
      <t/>
    </r>
    <phoneticPr fontId="5" type="noConversion"/>
  </si>
  <si>
    <r>
      <t xml:space="preserve">즐거운 마음으로 성심 성의껏 답해 드릴 것을 약속 드립니다. </t>
    </r>
    <r>
      <rPr>
        <b/>
        <sz val="11"/>
        <rFont val="돋움"/>
        <family val="3"/>
        <charset val="129"/>
      </rPr>
      <t/>
    </r>
    <phoneticPr fontId="5" type="noConversion"/>
  </si>
  <si>
    <t xml:space="preserve">감사합니다. </t>
    <phoneticPr fontId="5" type="noConversion"/>
  </si>
  <si>
    <t xml:space="preserve"> R082400 하나투어) 서유럽 3국 10일 PTY (QE00606023001)      DATE : 17.FEB.(THU).2025</t>
    <phoneticPr fontId="5" type="noConversion"/>
  </si>
  <si>
    <t>항    목</t>
    <phoneticPr fontId="5" type="noConversion"/>
  </si>
  <si>
    <t>날    짜</t>
    <phoneticPr fontId="5" type="noConversion"/>
  </si>
  <si>
    <t>내        역</t>
    <phoneticPr fontId="5" type="noConversion"/>
  </si>
  <si>
    <t>가  격</t>
    <phoneticPr fontId="5" type="noConversion"/>
  </si>
  <si>
    <t>수량/인원</t>
    <phoneticPr fontId="5" type="noConversion"/>
  </si>
  <si>
    <t>횟수/박수</t>
    <phoneticPr fontId="5" type="noConversion"/>
  </si>
  <si>
    <t>기 타</t>
    <phoneticPr fontId="5" type="noConversion"/>
  </si>
  <si>
    <t>합   계</t>
    <phoneticPr fontId="5" type="noConversion"/>
  </si>
  <si>
    <t>호텔</t>
    <phoneticPr fontId="5" type="noConversion"/>
  </si>
  <si>
    <t>파리</t>
    <phoneticPr fontId="5" type="noConversion"/>
  </si>
  <si>
    <t>TWB</t>
    <phoneticPr fontId="5" type="noConversion"/>
  </si>
  <si>
    <t>TRP</t>
    <phoneticPr fontId="5" type="noConversion"/>
  </si>
  <si>
    <t>SGL</t>
    <phoneticPr fontId="5" type="noConversion"/>
  </si>
  <si>
    <t>바젤</t>
    <phoneticPr fontId="5" type="noConversion"/>
  </si>
  <si>
    <t>인터라켄</t>
    <phoneticPr fontId="5" type="noConversion"/>
  </si>
  <si>
    <t>밀라노</t>
    <phoneticPr fontId="5" type="noConversion"/>
  </si>
  <si>
    <t>베니스</t>
    <phoneticPr fontId="5" type="noConversion"/>
  </si>
  <si>
    <t>키안치아노 테르메</t>
    <phoneticPr fontId="5" type="noConversion"/>
  </si>
  <si>
    <t>로마</t>
    <phoneticPr fontId="5" type="noConversion"/>
  </si>
  <si>
    <t xml:space="preserve">* SUB. Total : </t>
    <phoneticPr fontId="5" type="noConversion"/>
  </si>
  <si>
    <t>식사</t>
    <phoneticPr fontId="5" type="noConversion"/>
  </si>
  <si>
    <t>* 파리 식사</t>
    <phoneticPr fontId="5" type="noConversion"/>
  </si>
  <si>
    <t>* 스위스 식사</t>
    <phoneticPr fontId="5" type="noConversion"/>
  </si>
  <si>
    <t>* 이태리 식사</t>
    <phoneticPr fontId="5" type="noConversion"/>
  </si>
  <si>
    <t>* 파리 / 이태리 기사 식사</t>
    <phoneticPr fontId="5" type="noConversion"/>
  </si>
  <si>
    <t xml:space="preserve">* 스위스 기사 식사 </t>
    <phoneticPr fontId="5" type="noConversion"/>
  </si>
  <si>
    <t xml:space="preserve">* 특식 추가 </t>
    <phoneticPr fontId="5" type="noConversion"/>
  </si>
  <si>
    <t>차량/가이드</t>
    <phoneticPr fontId="5" type="noConversion"/>
  </si>
  <si>
    <t>대형버스</t>
    <phoneticPr fontId="5" type="noConversion"/>
  </si>
  <si>
    <t>기사TIP</t>
    <phoneticPr fontId="5" type="noConversion"/>
  </si>
  <si>
    <t>가이드</t>
    <phoneticPr fontId="5" type="noConversion"/>
  </si>
  <si>
    <t>가이드TIP</t>
    <phoneticPr fontId="5" type="noConversion"/>
  </si>
  <si>
    <t>제01일</t>
    <phoneticPr fontId="5" type="noConversion"/>
  </si>
  <si>
    <t>파리 공항 - 호텔</t>
    <phoneticPr fontId="5" type="noConversion"/>
  </si>
  <si>
    <t>제02일</t>
    <phoneticPr fontId="5" type="noConversion"/>
  </si>
  <si>
    <t>파리 전일 - 공항</t>
    <phoneticPr fontId="5" type="noConversion"/>
  </si>
  <si>
    <t>제03일</t>
    <phoneticPr fontId="5" type="noConversion"/>
  </si>
  <si>
    <t>파리 전일 - 기차역</t>
    <phoneticPr fontId="5" type="noConversion"/>
  </si>
  <si>
    <t>바젤 기차역 - 호텔</t>
    <phoneticPr fontId="5" type="noConversion"/>
  </si>
  <si>
    <t>제04일</t>
    <phoneticPr fontId="5" type="noConversion"/>
  </si>
  <si>
    <t xml:space="preserve">바젤 - 베른 - 인터라켄 </t>
    <phoneticPr fontId="5" type="noConversion"/>
  </si>
  <si>
    <t>제05일</t>
    <phoneticPr fontId="5" type="noConversion"/>
  </si>
  <si>
    <t>인터라켄 - 루체른 - 밀라노</t>
    <phoneticPr fontId="5" type="noConversion"/>
  </si>
  <si>
    <t>제06일</t>
    <phoneticPr fontId="5" type="noConversion"/>
  </si>
  <si>
    <t>밀라노 - 베니스</t>
    <phoneticPr fontId="5" type="noConversion"/>
  </si>
  <si>
    <t>제07일</t>
    <phoneticPr fontId="5" type="noConversion"/>
  </si>
  <si>
    <t>베니스 - 피렌체 - 키안치아노 테르메</t>
    <phoneticPr fontId="5" type="noConversion"/>
  </si>
  <si>
    <t>제08일</t>
    <phoneticPr fontId="5" type="noConversion"/>
  </si>
  <si>
    <t>키안치아노 - 몬테풀차노 - 로마</t>
    <phoneticPr fontId="5" type="noConversion"/>
  </si>
  <si>
    <t>제09일</t>
    <phoneticPr fontId="5" type="noConversion"/>
  </si>
  <si>
    <t>로마 전일 - 공항</t>
    <phoneticPr fontId="5" type="noConversion"/>
  </si>
  <si>
    <t>입장료</t>
    <phoneticPr fontId="5" type="noConversion"/>
  </si>
  <si>
    <t>루브르박물관+오디오가이드</t>
    <phoneticPr fontId="5" type="noConversion"/>
  </si>
  <si>
    <t>루브르 로컬가이드</t>
    <phoneticPr fontId="5" type="noConversion"/>
  </si>
  <si>
    <t xml:space="preserve">에펠 2F </t>
    <phoneticPr fontId="5" type="noConversion"/>
  </si>
  <si>
    <t xml:space="preserve">세느강유람선 </t>
    <phoneticPr fontId="5" type="noConversion"/>
  </si>
  <si>
    <t>융프라우</t>
    <phoneticPr fontId="5" type="noConversion"/>
  </si>
  <si>
    <t>베니스 바포레토</t>
    <phoneticPr fontId="5" type="noConversion"/>
  </si>
  <si>
    <t>베니스 수상택시</t>
    <phoneticPr fontId="5" type="noConversion"/>
  </si>
  <si>
    <t>바티칸박물관 + 예약</t>
    <phoneticPr fontId="5" type="noConversion"/>
  </si>
  <si>
    <t>바티칸박물관 로컬가이드</t>
    <phoneticPr fontId="5" type="noConversion"/>
  </si>
  <si>
    <t>벤츠투어</t>
    <phoneticPr fontId="5" type="noConversion"/>
  </si>
  <si>
    <t>몬테풀차노 와이너리</t>
    <phoneticPr fontId="5" type="noConversion"/>
  </si>
  <si>
    <t>기타</t>
    <phoneticPr fontId="5" type="noConversion"/>
  </si>
  <si>
    <t>식당TIP&amp;물값</t>
    <phoneticPr fontId="5" type="noConversion"/>
  </si>
  <si>
    <t>이태리 호텔 TAX</t>
    <phoneticPr fontId="5" type="noConversion"/>
  </si>
  <si>
    <t>파리 호텔 TAX</t>
    <phoneticPr fontId="5" type="noConversion"/>
  </si>
  <si>
    <t>스위스 호텔 TAX</t>
    <phoneticPr fontId="5" type="noConversion"/>
  </si>
  <si>
    <t>이태리 현지인 가이드</t>
    <phoneticPr fontId="5" type="noConversion"/>
  </si>
  <si>
    <t>로마 진입세</t>
    <phoneticPr fontId="5" type="noConversion"/>
  </si>
  <si>
    <t>피렌체 체크포인트</t>
    <phoneticPr fontId="5" type="noConversion"/>
  </si>
  <si>
    <t>베니스 체크포인트</t>
    <phoneticPr fontId="5" type="noConversion"/>
  </si>
  <si>
    <t>밀라노 에코패스</t>
    <phoneticPr fontId="5" type="noConversion"/>
  </si>
  <si>
    <t>파리 주차 비용 (FD 1번 HD 1번)</t>
    <phoneticPr fontId="5" type="noConversion"/>
  </si>
  <si>
    <t>TGV  2등석 기준 (바젤 - 파리 구간, 예상가)</t>
    <phoneticPr fontId="5" type="noConversion"/>
  </si>
  <si>
    <t>기사룸</t>
    <phoneticPr fontId="5" type="noConversion"/>
  </si>
  <si>
    <t>가이드룸</t>
    <phoneticPr fontId="5" type="noConversion"/>
  </si>
  <si>
    <t>HANDLING CHARGE</t>
    <phoneticPr fontId="5" type="noConversion"/>
  </si>
  <si>
    <t>SUB TOTAL</t>
    <phoneticPr fontId="5" type="noConversion"/>
  </si>
  <si>
    <t>EURO</t>
    <phoneticPr fontId="5" type="noConversion"/>
  </si>
  <si>
    <t>GRAND TOTAL</t>
  </si>
  <si>
    <t>PER PERSON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</si>
</sst>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0_ "/>
    <numFmt numFmtId="178" formatCode="#,##0.00_ "/>
  </numFmts>
  <fonts count="24"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7030A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top"/>
    </xf>
    <xf numFmtId="0" fontId="6" fillId="3" borderId="0" xfId="0" applyFont="1" applyFill="1" applyAlignment="1">
      <alignment horizontal="left" vertical="center" indent="2" shrinkToFit="1"/>
    </xf>
    <xf numFmtId="0" fontId="7" fillId="4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4" borderId="3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vertical="center" shrinkToFit="1"/>
    </xf>
    <xf numFmtId="0" fontId="7" fillId="0" borderId="2" xfId="0" applyFont="1" applyBorder="1" applyAlignment="1">
      <alignment vertical="center" shrinkToFit="1"/>
    </xf>
    <xf numFmtId="0" fontId="7" fillId="0" borderId="5" xfId="0" applyFont="1" applyBorder="1" applyAlignment="1">
      <alignment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4" borderId="8" xfId="0" applyFont="1" applyFill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left" vertical="center" shrinkToFit="1"/>
    </xf>
    <xf numFmtId="0" fontId="7" fillId="0" borderId="10" xfId="0" applyFont="1" applyBorder="1" applyAlignment="1">
      <alignment horizontal="left" vertical="center" shrinkToFit="1"/>
    </xf>
    <xf numFmtId="0" fontId="8" fillId="0" borderId="7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left" vertical="center" shrinkToFit="1"/>
    </xf>
    <xf numFmtId="0" fontId="7" fillId="4" borderId="11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left" vertical="center" shrinkToFit="1"/>
    </xf>
    <xf numFmtId="0" fontId="7" fillId="4" borderId="13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left" vertical="center" shrinkToFit="1"/>
    </xf>
    <xf numFmtId="0" fontId="7" fillId="3" borderId="0" xfId="0" applyFont="1" applyFill="1" applyAlignment="1">
      <alignment horizontal="left" vertical="center" shrinkToFit="1"/>
    </xf>
    <xf numFmtId="0" fontId="6" fillId="5" borderId="0" xfId="0" applyFont="1" applyFill="1" applyAlignment="1">
      <alignment horizontal="center" vertical="center" shrinkToFit="1"/>
    </xf>
    <xf numFmtId="0" fontId="6" fillId="5" borderId="0" xfId="0" applyFont="1" applyFill="1" applyAlignment="1">
      <alignment horizontal="right" vertical="center" shrinkToFit="1"/>
    </xf>
    <xf numFmtId="0" fontId="6" fillId="5" borderId="0" xfId="0" applyFont="1" applyFill="1" applyAlignment="1">
      <alignment horizontal="right" vertical="center" indent="2" shrinkToFit="1"/>
    </xf>
    <xf numFmtId="0" fontId="7" fillId="3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6" fillId="4" borderId="0" xfId="0" applyFont="1" applyFill="1" applyAlignment="1">
      <alignment horizontal="left" vertical="center" shrinkToFit="1"/>
    </xf>
    <xf numFmtId="0" fontId="11" fillId="3" borderId="0" xfId="0" applyFont="1" applyFill="1" applyAlignment="1">
      <alignment horizontal="left" vertical="center" indent="1" shrinkToFit="1"/>
    </xf>
    <xf numFmtId="0" fontId="11" fillId="3" borderId="0" xfId="0" applyFont="1" applyFill="1" applyAlignment="1">
      <alignment horizontal="left" vertical="center" shrinkToFit="1"/>
    </xf>
    <xf numFmtId="0" fontId="12" fillId="3" borderId="0" xfId="0" applyFont="1" applyFill="1" applyAlignment="1">
      <alignment horizontal="left" vertical="center" indent="1" shrinkToFit="1"/>
    </xf>
    <xf numFmtId="0" fontId="12" fillId="3" borderId="0" xfId="0" applyFont="1" applyFill="1" applyAlignment="1">
      <alignment horizontal="left" vertical="center" shrinkToFit="1"/>
    </xf>
    <xf numFmtId="0" fontId="13" fillId="6" borderId="0" xfId="0" applyFont="1" applyFill="1" applyAlignment="1">
      <alignment horizontal="left" vertical="center" shrinkToFit="1"/>
    </xf>
    <xf numFmtId="0" fontId="14" fillId="6" borderId="0" xfId="0" applyFont="1" applyFill="1" applyAlignment="1">
      <alignment horizontal="left" vertical="center" shrinkToFit="1"/>
    </xf>
    <xf numFmtId="0" fontId="15" fillId="3" borderId="0" xfId="0" applyFont="1" applyFill="1" applyAlignment="1">
      <alignment horizontal="left" vertical="center" shrinkToFit="1"/>
    </xf>
    <xf numFmtId="0" fontId="3" fillId="3" borderId="0" xfId="0" applyFont="1" applyFill="1" applyAlignment="1">
      <alignment horizontal="left" vertical="center" indent="2" shrinkToFit="1"/>
    </xf>
    <xf numFmtId="0" fontId="3" fillId="3" borderId="0" xfId="0" applyFont="1" applyFill="1" applyAlignment="1">
      <alignment horizontal="left" vertical="center" indent="2" shrinkToFit="1"/>
    </xf>
    <xf numFmtId="0" fontId="11" fillId="4" borderId="17" xfId="0" applyFont="1" applyFill="1" applyBorder="1" applyAlignment="1">
      <alignment horizontal="center" vertical="center" shrinkToFit="1"/>
    </xf>
    <xf numFmtId="0" fontId="11" fillId="4" borderId="18" xfId="0" applyFont="1" applyFill="1" applyBorder="1" applyAlignment="1">
      <alignment horizontal="center" vertical="center" shrinkToFit="1"/>
    </xf>
    <xf numFmtId="0" fontId="11" fillId="4" borderId="19" xfId="0" applyFont="1" applyFill="1" applyBorder="1" applyAlignment="1">
      <alignment horizontal="center" vertical="center" shrinkToFit="1"/>
    </xf>
    <xf numFmtId="0" fontId="17" fillId="3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 shrinkToFit="1"/>
    </xf>
    <xf numFmtId="0" fontId="11" fillId="4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176" fontId="17" fillId="2" borderId="26" xfId="0" applyNumberFormat="1" applyFont="1" applyFill="1" applyBorder="1" applyAlignment="1">
      <alignment horizontal="left" vertical="center"/>
    </xf>
    <xf numFmtId="0" fontId="18" fillId="6" borderId="27" xfId="0" applyFont="1" applyFill="1" applyBorder="1">
      <alignment vertical="center"/>
    </xf>
    <xf numFmtId="0" fontId="18" fillId="6" borderId="28" xfId="0" applyFont="1" applyFill="1" applyBorder="1">
      <alignment vertical="center"/>
    </xf>
    <xf numFmtId="39" fontId="18" fillId="6" borderId="26" xfId="0" applyNumberFormat="1" applyFont="1" applyFill="1" applyBorder="1" applyAlignment="1">
      <alignment horizontal="right" vertical="center"/>
    </xf>
    <xf numFmtId="177" fontId="18" fillId="6" borderId="26" xfId="0" applyNumberFormat="1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right" vertical="center"/>
    </xf>
    <xf numFmtId="0" fontId="17" fillId="2" borderId="27" xfId="0" applyFont="1" applyFill="1" applyBorder="1">
      <alignment vertical="center"/>
    </xf>
    <xf numFmtId="0" fontId="17" fillId="2" borderId="28" xfId="0" applyFont="1" applyFill="1" applyBorder="1">
      <alignment vertical="center"/>
    </xf>
    <xf numFmtId="176" fontId="17" fillId="2" borderId="30" xfId="0" applyNumberFormat="1" applyFont="1" applyFill="1" applyBorder="1" applyAlignment="1">
      <alignment horizontal="left" vertical="center"/>
    </xf>
    <xf numFmtId="0" fontId="17" fillId="2" borderId="31" xfId="0" applyFont="1" applyFill="1" applyBorder="1">
      <alignment vertical="center"/>
    </xf>
    <xf numFmtId="0" fontId="17" fillId="2" borderId="32" xfId="0" applyFont="1" applyFill="1" applyBorder="1">
      <alignment vertical="center"/>
    </xf>
    <xf numFmtId="39" fontId="17" fillId="2" borderId="30" xfId="0" applyNumberFormat="1" applyFont="1" applyFill="1" applyBorder="1" applyAlignment="1">
      <alignment horizontal="right" vertical="center"/>
    </xf>
    <xf numFmtId="177" fontId="17" fillId="2" borderId="30" xfId="0" applyNumberFormat="1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178" fontId="17" fillId="2" borderId="33" xfId="0" applyNumberFormat="1" applyFont="1" applyFill="1" applyBorder="1" applyAlignment="1">
      <alignment horizontal="right" vertical="center"/>
    </xf>
    <xf numFmtId="0" fontId="8" fillId="2" borderId="34" xfId="0" applyFont="1" applyFill="1" applyBorder="1" applyAlignment="1">
      <alignment horizontal="center" vertical="center"/>
    </xf>
    <xf numFmtId="176" fontId="17" fillId="2" borderId="35" xfId="0" applyNumberFormat="1" applyFont="1" applyFill="1" applyBorder="1" applyAlignment="1">
      <alignment horizontal="left" vertical="center"/>
    </xf>
    <xf numFmtId="0" fontId="17" fillId="2" borderId="7" xfId="0" applyFont="1" applyFill="1" applyBorder="1">
      <alignment vertical="center"/>
    </xf>
    <xf numFmtId="39" fontId="17" fillId="2" borderId="7" xfId="0" applyNumberFormat="1" applyFont="1" applyFill="1" applyBorder="1" applyAlignment="1">
      <alignment horizontal="right" vertical="center"/>
    </xf>
    <xf numFmtId="177" fontId="17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8" fontId="17" fillId="5" borderId="36" xfId="0" applyNumberFormat="1" applyFont="1" applyFill="1" applyBorder="1" applyAlignment="1">
      <alignment horizontal="right" vertical="center"/>
    </xf>
    <xf numFmtId="17" fontId="8" fillId="2" borderId="37" xfId="0" applyNumberFormat="1" applyFont="1" applyFill="1" applyBorder="1" applyAlignment="1">
      <alignment horizontal="center" vertical="center"/>
    </xf>
    <xf numFmtId="39" fontId="17" fillId="2" borderId="26" xfId="0" applyNumberFormat="1" applyFont="1" applyFill="1" applyBorder="1" applyAlignment="1">
      <alignment horizontal="right" vertical="center"/>
    </xf>
    <xf numFmtId="177" fontId="17" fillId="2" borderId="26" xfId="0" applyNumberFormat="1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178" fontId="17" fillId="2" borderId="29" xfId="0" applyNumberFormat="1" applyFont="1" applyFill="1" applyBorder="1" applyAlignment="1">
      <alignment horizontal="right" vertical="center"/>
    </xf>
    <xf numFmtId="17" fontId="8" fillId="2" borderId="25" xfId="0" applyNumberFormat="1" applyFont="1" applyFill="1" applyBorder="1" applyAlignment="1">
      <alignment horizontal="center" vertical="center"/>
    </xf>
    <xf numFmtId="0" fontId="12" fillId="2" borderId="27" xfId="0" applyFont="1" applyFill="1" applyBorder="1">
      <alignment vertical="center"/>
    </xf>
    <xf numFmtId="0" fontId="12" fillId="2" borderId="28" xfId="0" applyFont="1" applyFill="1" applyBorder="1">
      <alignment vertical="center"/>
    </xf>
    <xf numFmtId="39" fontId="12" fillId="2" borderId="26" xfId="0" applyNumberFormat="1" applyFont="1" applyFill="1" applyBorder="1" applyAlignment="1">
      <alignment horizontal="right" vertical="center"/>
    </xf>
    <xf numFmtId="177" fontId="12" fillId="2" borderId="26" xfId="0" applyNumberFormat="1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178" fontId="12" fillId="2" borderId="29" xfId="0" applyNumberFormat="1" applyFont="1" applyFill="1" applyBorder="1" applyAlignment="1">
      <alignment horizontal="right" vertical="center"/>
    </xf>
    <xf numFmtId="0" fontId="19" fillId="2" borderId="27" xfId="0" applyFont="1" applyFill="1" applyBorder="1">
      <alignment vertical="center"/>
    </xf>
    <xf numFmtId="0" fontId="19" fillId="2" borderId="28" xfId="0" applyFont="1" applyFill="1" applyBorder="1">
      <alignment vertical="center"/>
    </xf>
    <xf numFmtId="39" fontId="19" fillId="2" borderId="26" xfId="0" applyNumberFormat="1" applyFont="1" applyFill="1" applyBorder="1" applyAlignment="1">
      <alignment horizontal="right" vertical="center"/>
    </xf>
    <xf numFmtId="177" fontId="19" fillId="2" borderId="26" xfId="0" applyNumberFormat="1" applyFont="1" applyFill="1" applyBorder="1" applyAlignment="1">
      <alignment horizontal="center" vertical="center"/>
    </xf>
    <xf numFmtId="17" fontId="8" fillId="2" borderId="34" xfId="0" applyNumberFormat="1" applyFont="1" applyFill="1" applyBorder="1" applyAlignment="1">
      <alignment horizontal="center" vertical="center"/>
    </xf>
    <xf numFmtId="0" fontId="17" fillId="2" borderId="8" xfId="0" applyFont="1" applyFill="1" applyBorder="1">
      <alignment vertical="center"/>
    </xf>
    <xf numFmtId="176" fontId="17" fillId="2" borderId="38" xfId="0" applyNumberFormat="1" applyFont="1" applyFill="1" applyBorder="1" applyAlignment="1">
      <alignment horizontal="center" vertical="center"/>
    </xf>
    <xf numFmtId="0" fontId="17" fillId="2" borderId="39" xfId="0" applyFont="1" applyFill="1" applyBorder="1">
      <alignment vertical="center"/>
    </xf>
    <xf numFmtId="0" fontId="17" fillId="2" borderId="40" xfId="0" applyFont="1" applyFill="1" applyBorder="1">
      <alignment vertical="center"/>
    </xf>
    <xf numFmtId="39" fontId="20" fillId="2" borderId="41" xfId="0" applyNumberFormat="1" applyFont="1" applyFill="1" applyBorder="1" applyAlignment="1">
      <alignment horizontal="center" vertical="center"/>
    </xf>
    <xf numFmtId="177" fontId="17" fillId="2" borderId="38" xfId="0" applyNumberFormat="1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176" fontId="17" fillId="2" borderId="26" xfId="0" applyNumberFormat="1" applyFont="1" applyFill="1" applyBorder="1" applyAlignment="1">
      <alignment horizontal="center" vertical="center"/>
    </xf>
    <xf numFmtId="0" fontId="17" fillId="2" borderId="27" xfId="0" applyFont="1" applyFill="1" applyBorder="1">
      <alignment vertical="center"/>
    </xf>
    <xf numFmtId="0" fontId="17" fillId="2" borderId="28" xfId="0" applyFont="1" applyFill="1" applyBorder="1">
      <alignment vertical="center"/>
    </xf>
    <xf numFmtId="39" fontId="17" fillId="2" borderId="42" xfId="0" applyNumberFormat="1" applyFont="1" applyFill="1" applyBorder="1" applyAlignment="1">
      <alignment horizontal="center" vertical="center"/>
    </xf>
    <xf numFmtId="176" fontId="17" fillId="2" borderId="26" xfId="0" applyNumberFormat="1" applyFont="1" applyFill="1" applyBorder="1" applyAlignment="1">
      <alignment horizontal="center"/>
    </xf>
    <xf numFmtId="39" fontId="17" fillId="2" borderId="43" xfId="0" applyNumberFormat="1" applyFont="1" applyFill="1" applyBorder="1" applyAlignment="1">
      <alignment horizontal="center" vertical="center"/>
    </xf>
    <xf numFmtId="0" fontId="21" fillId="2" borderId="27" xfId="0" applyFont="1" applyFill="1" applyBorder="1">
      <alignment vertical="center"/>
    </xf>
    <xf numFmtId="0" fontId="21" fillId="2" borderId="28" xfId="0" applyFont="1" applyFill="1" applyBorder="1">
      <alignment vertical="center"/>
    </xf>
    <xf numFmtId="39" fontId="17" fillId="2" borderId="44" xfId="0" applyNumberFormat="1" applyFont="1" applyFill="1" applyBorder="1" applyAlignment="1">
      <alignment horizontal="center" vertical="center"/>
    </xf>
    <xf numFmtId="39" fontId="17" fillId="2" borderId="44" xfId="0" applyNumberFormat="1" applyFont="1" applyFill="1" applyBorder="1">
      <alignment vertical="center"/>
    </xf>
    <xf numFmtId="0" fontId="21" fillId="2" borderId="27" xfId="0" applyFont="1" applyFill="1" applyBorder="1">
      <alignment vertical="center"/>
    </xf>
    <xf numFmtId="0" fontId="21" fillId="2" borderId="28" xfId="0" applyFont="1" applyFill="1" applyBorder="1">
      <alignment vertical="center"/>
    </xf>
    <xf numFmtId="176" fontId="17" fillId="2" borderId="30" xfId="0" applyNumberFormat="1" applyFont="1" applyFill="1" applyBorder="1" applyAlignment="1">
      <alignment horizontal="left"/>
    </xf>
    <xf numFmtId="0" fontId="17" fillId="2" borderId="8" xfId="0" applyFont="1" applyFill="1" applyBorder="1">
      <alignment vertical="center"/>
    </xf>
    <xf numFmtId="0" fontId="17" fillId="2" borderId="7" xfId="0" applyFont="1" applyFill="1" applyBorder="1">
      <alignment vertical="center"/>
    </xf>
    <xf numFmtId="0" fontId="17" fillId="2" borderId="10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176" fontId="17" fillId="2" borderId="44" xfId="0" applyNumberFormat="1" applyFont="1" applyFill="1" applyBorder="1" applyAlignment="1">
      <alignment horizontal="left"/>
    </xf>
    <xf numFmtId="0" fontId="17" fillId="2" borderId="45" xfId="0" applyFont="1" applyFill="1" applyBorder="1">
      <alignment vertical="center"/>
    </xf>
    <xf numFmtId="0" fontId="17" fillId="2" borderId="0" xfId="0" applyFont="1" applyFill="1">
      <alignment vertical="center"/>
    </xf>
    <xf numFmtId="39" fontId="17" fillId="2" borderId="38" xfId="0" applyNumberFormat="1" applyFont="1" applyFill="1" applyBorder="1" applyAlignment="1">
      <alignment horizontal="right" vertical="center"/>
    </xf>
    <xf numFmtId="178" fontId="17" fillId="0" borderId="46" xfId="0" applyNumberFormat="1" applyFont="1" applyBorder="1" applyAlignment="1">
      <alignment horizontal="right" vertical="center"/>
    </xf>
    <xf numFmtId="176" fontId="17" fillId="2" borderId="26" xfId="0" applyNumberFormat="1" applyFont="1" applyFill="1" applyBorder="1" applyAlignment="1">
      <alignment horizontal="left"/>
    </xf>
    <xf numFmtId="0" fontId="22" fillId="0" borderId="28" xfId="0" applyFont="1" applyBorder="1">
      <alignment vertical="center"/>
    </xf>
    <xf numFmtId="177" fontId="17" fillId="3" borderId="26" xfId="0" applyNumberFormat="1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178" fontId="17" fillId="3" borderId="29" xfId="0" applyNumberFormat="1" applyFont="1" applyFill="1" applyBorder="1" applyAlignment="1">
      <alignment horizontal="right" vertical="center"/>
    </xf>
    <xf numFmtId="0" fontId="12" fillId="0" borderId="28" xfId="0" applyFont="1" applyBorder="1">
      <alignment vertical="center"/>
    </xf>
    <xf numFmtId="0" fontId="8" fillId="0" borderId="28" xfId="0" applyFont="1" applyBorder="1">
      <alignment vertical="center"/>
    </xf>
    <xf numFmtId="176" fontId="17" fillId="2" borderId="30" xfId="0" applyNumberFormat="1" applyFont="1" applyFill="1" applyBorder="1" applyAlignment="1">
      <alignment horizontal="center"/>
    </xf>
    <xf numFmtId="0" fontId="17" fillId="2" borderId="31" xfId="0" applyFont="1" applyFill="1" applyBorder="1" applyAlignment="1"/>
    <xf numFmtId="0" fontId="17" fillId="2" borderId="32" xfId="0" applyFont="1" applyFill="1" applyBorder="1" applyAlignment="1"/>
    <xf numFmtId="176" fontId="17" fillId="2" borderId="35" xfId="0" applyNumberFormat="1" applyFont="1" applyFill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7" fillId="2" borderId="7" xfId="0" applyFont="1" applyFill="1" applyBorder="1" applyAlignment="1"/>
    <xf numFmtId="0" fontId="17" fillId="0" borderId="45" xfId="0" applyFont="1" applyBorder="1" applyAlignment="1">
      <alignment horizontal="left"/>
    </xf>
    <xf numFmtId="0" fontId="8" fillId="0" borderId="0" xfId="0" applyFont="1" applyAlignment="1">
      <alignment horizontal="left"/>
    </xf>
    <xf numFmtId="39" fontId="17" fillId="2" borderId="41" xfId="0" applyNumberFormat="1" applyFont="1" applyFill="1" applyBorder="1" applyAlignment="1">
      <alignment horizontal="right" vertical="center"/>
    </xf>
    <xf numFmtId="0" fontId="17" fillId="2" borderId="41" xfId="0" applyFont="1" applyFill="1" applyBorder="1" applyAlignment="1"/>
    <xf numFmtId="0" fontId="17" fillId="2" borderId="41" xfId="0" applyFont="1" applyFill="1" applyBorder="1" applyAlignment="1">
      <alignment horizontal="center" vertical="center"/>
    </xf>
    <xf numFmtId="39" fontId="17" fillId="2" borderId="44" xfId="0" applyNumberFormat="1" applyFont="1" applyFill="1" applyBorder="1" applyAlignment="1">
      <alignment horizontal="right" vertical="center"/>
    </xf>
    <xf numFmtId="177" fontId="17" fillId="2" borderId="44" xfId="0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17" fontId="8" fillId="2" borderId="47" xfId="0" applyNumberFormat="1" applyFont="1" applyFill="1" applyBorder="1" applyAlignment="1">
      <alignment horizontal="center" vertical="center"/>
    </xf>
    <xf numFmtId="176" fontId="17" fillId="2" borderId="48" xfId="0" applyNumberFormat="1" applyFont="1" applyFill="1" applyBorder="1" applyAlignment="1">
      <alignment horizontal="left" vertical="center"/>
    </xf>
    <xf numFmtId="0" fontId="17" fillId="2" borderId="13" xfId="0" applyFont="1" applyFill="1" applyBorder="1">
      <alignment vertical="center"/>
    </xf>
    <xf numFmtId="0" fontId="17" fillId="2" borderId="12" xfId="0" applyFont="1" applyFill="1" applyBorder="1">
      <alignment vertical="center"/>
    </xf>
    <xf numFmtId="39" fontId="17" fillId="2" borderId="12" xfId="0" applyNumberFormat="1" applyFont="1" applyFill="1" applyBorder="1" applyAlignment="1">
      <alignment horizontal="right" vertical="center"/>
    </xf>
    <xf numFmtId="177" fontId="17" fillId="2" borderId="12" xfId="0" applyNumberFormat="1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17" fontId="11" fillId="2" borderId="17" xfId="0" applyNumberFormat="1" applyFont="1" applyFill="1" applyBorder="1" applyAlignment="1">
      <alignment horizontal="center" vertical="center"/>
    </xf>
    <xf numFmtId="17" fontId="11" fillId="2" borderId="23" xfId="0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39" fontId="17" fillId="2" borderId="49" xfId="0" applyNumberFormat="1" applyFont="1" applyFill="1" applyBorder="1">
      <alignment vertical="center"/>
    </xf>
    <xf numFmtId="49" fontId="17" fillId="2" borderId="49" xfId="0" applyNumberFormat="1" applyFont="1" applyFill="1" applyBorder="1" applyAlignment="1">
      <alignment horizontal="center" vertical="center"/>
    </xf>
    <xf numFmtId="39" fontId="17" fillId="2" borderId="49" xfId="0" applyNumberFormat="1" applyFont="1" applyFill="1" applyBorder="1" applyAlignment="1">
      <alignment horizontal="right" vertical="center"/>
    </xf>
    <xf numFmtId="39" fontId="17" fillId="2" borderId="50" xfId="0" applyNumberFormat="1" applyFont="1" applyFill="1" applyBorder="1" applyAlignment="1">
      <alignment horizontal="right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8" xfId="0" applyFont="1" applyFill="1" applyBorder="1">
      <alignment vertical="center"/>
    </xf>
    <xf numFmtId="0" fontId="17" fillId="2" borderId="18" xfId="0" applyFont="1" applyFill="1" applyBorder="1" applyAlignment="1">
      <alignment horizontal="right" vertical="center"/>
    </xf>
    <xf numFmtId="40" fontId="17" fillId="2" borderId="19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40" fontId="8" fillId="2" borderId="17" xfId="0" applyNumberFormat="1" applyFont="1" applyFill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3" borderId="17" xfId="0" applyFont="1" applyFill="1" applyBorder="1" applyAlignment="1">
      <alignment horizontal="center" vertical="center"/>
    </xf>
    <xf numFmtId="0" fontId="8" fillId="2" borderId="18" xfId="0" applyFont="1" applyFill="1" applyBorder="1">
      <alignment vertical="center"/>
    </xf>
    <xf numFmtId="0" fontId="8" fillId="2" borderId="19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635000</xdr:colOff>
      <xdr:row>45</xdr:row>
      <xdr:rowOff>133350</xdr:rowOff>
    </xdr:from>
    <xdr:to>
      <xdr:col>7</xdr:col>
      <xdr:colOff>1356273</xdr:colOff>
      <xdr:row>53</xdr:row>
      <xdr:rowOff>25400</xdr:rowOff>
    </xdr:to>
    <xdr:pic>
      <xdr:nvPicPr>
        <xdr:cNvPr id="2" name="그림 4" descr="회사도장.png">
          <a:extLst>
            <a:ext uri="{FF2B5EF4-FFF2-40B4-BE49-F238E27FC236}">
              <a16:creationId xmlns:a16="http://schemas.microsoft.com/office/drawing/2014/main" id="{DE1BD161-C726-FB42-964D-6B2DD9B8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204450"/>
          <a:ext cx="19431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589017</xdr:colOff>
      <xdr:row>4</xdr:row>
      <xdr:rowOff>171450</xdr:rowOff>
    </xdr:to>
    <xdr:pic>
      <xdr:nvPicPr>
        <xdr:cNvPr id="3" name="그림 5">
          <a:extLst>
            <a:ext uri="{FF2B5EF4-FFF2-40B4-BE49-F238E27FC236}">
              <a16:creationId xmlns:a16="http://schemas.microsoft.com/office/drawing/2014/main" id="{0CBBAB2C-C189-B246-A9D0-F2945FA3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644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59E4-ABE8-054E-9104-262B20584764}">
  <dimension ref="A1:I139"/>
  <sheetViews>
    <sheetView tabSelected="1" topLeftCell="A22" zoomScale="174" workbookViewId="0">
      <selection activeCell="D58" sqref="D58:I60"/>
    </sheetView>
  </sheetViews>
  <sheetFormatPr baseColWidth="10" defaultColWidth="8.83203125" defaultRowHeight="17"/>
  <cols>
    <col min="4" max="4" width="21.33203125" customWidth="1"/>
    <col min="8" max="8" width="20.1640625" customWidth="1"/>
    <col min="9" max="9" width="24.332031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 ht="35">
      <c r="A6" s="3" t="s">
        <v>0</v>
      </c>
      <c r="B6" s="3"/>
      <c r="C6" s="3"/>
      <c r="D6" s="3"/>
      <c r="E6" s="3"/>
      <c r="F6" s="3"/>
      <c r="G6" s="3"/>
      <c r="H6" s="3"/>
      <c r="I6" s="3"/>
    </row>
    <row r="7" spans="1:9" ht="19" thickBot="1">
      <c r="A7" s="4"/>
      <c r="B7" s="4"/>
      <c r="C7" s="4"/>
      <c r="D7" s="4"/>
      <c r="E7" s="4"/>
      <c r="F7" s="4"/>
      <c r="G7" s="4"/>
      <c r="H7" s="4"/>
      <c r="I7" s="4"/>
    </row>
    <row r="8" spans="1:9">
      <c r="A8" s="5" t="s">
        <v>1</v>
      </c>
      <c r="B8" s="6" t="s">
        <v>2</v>
      </c>
      <c r="C8" s="7"/>
      <c r="D8" s="7"/>
      <c r="E8" s="8" t="s">
        <v>3</v>
      </c>
      <c r="F8" s="9"/>
      <c r="G8" s="10" t="s">
        <v>4</v>
      </c>
      <c r="H8" s="11"/>
      <c r="I8" s="12"/>
    </row>
    <row r="9" spans="1:9">
      <c r="A9" s="13" t="s">
        <v>5</v>
      </c>
      <c r="B9" s="14" t="s">
        <v>6</v>
      </c>
      <c r="C9" s="15"/>
      <c r="D9" s="15"/>
      <c r="E9" s="16" t="s">
        <v>7</v>
      </c>
      <c r="F9" s="17"/>
      <c r="G9" s="18" t="s">
        <v>8</v>
      </c>
      <c r="H9" s="15"/>
      <c r="I9" s="19"/>
    </row>
    <row r="10" spans="1:9">
      <c r="A10" s="13" t="s">
        <v>9</v>
      </c>
      <c r="B10" s="14" t="s">
        <v>10</v>
      </c>
      <c r="C10" s="20"/>
      <c r="D10" s="20"/>
      <c r="E10" s="20"/>
      <c r="F10" s="20"/>
      <c r="G10" s="20"/>
      <c r="H10" s="20"/>
      <c r="I10" s="21"/>
    </row>
    <row r="11" spans="1:9" ht="18" thickBot="1">
      <c r="A11" s="22" t="s">
        <v>11</v>
      </c>
      <c r="B11" s="23" t="s">
        <v>12</v>
      </c>
      <c r="C11" s="24"/>
      <c r="D11" s="24"/>
      <c r="E11" s="25" t="s">
        <v>13</v>
      </c>
      <c r="F11" s="26"/>
      <c r="G11" s="27" t="s">
        <v>14</v>
      </c>
      <c r="H11" s="28"/>
      <c r="I11" s="29"/>
    </row>
    <row r="12" spans="1:9">
      <c r="A12" s="30"/>
      <c r="B12" s="31"/>
      <c r="C12" s="31"/>
      <c r="D12" s="31"/>
      <c r="E12" s="31"/>
      <c r="F12" s="31"/>
      <c r="G12" s="31"/>
      <c r="H12" s="31"/>
      <c r="I12" s="31"/>
    </row>
    <row r="13" spans="1:9" ht="18">
      <c r="A13" s="32"/>
      <c r="B13" s="32"/>
      <c r="C13" s="32"/>
      <c r="D13" s="32"/>
      <c r="E13" s="32"/>
      <c r="F13" s="32"/>
      <c r="G13" s="32"/>
      <c r="H13" s="32"/>
      <c r="I13" s="32"/>
    </row>
    <row r="14" spans="1:9" ht="18">
      <c r="A14" s="32" t="s">
        <v>15</v>
      </c>
      <c r="B14" s="32"/>
      <c r="C14" s="32"/>
      <c r="D14" s="32"/>
      <c r="E14" s="32"/>
      <c r="F14" s="32"/>
      <c r="G14" s="32"/>
      <c r="H14" s="32"/>
      <c r="I14" s="32"/>
    </row>
    <row r="15" spans="1:9" ht="18">
      <c r="A15" s="33" t="s">
        <v>16</v>
      </c>
      <c r="B15" s="33"/>
      <c r="C15" s="33"/>
      <c r="D15" s="33"/>
      <c r="E15" s="33"/>
      <c r="F15" s="33"/>
      <c r="G15" s="33"/>
      <c r="H15" s="33"/>
      <c r="I15" s="33"/>
    </row>
    <row r="16" spans="1:9" ht="18">
      <c r="A16" s="34"/>
      <c r="B16" s="34"/>
      <c r="C16" s="34"/>
      <c r="D16" s="34"/>
      <c r="E16" s="34"/>
      <c r="F16" s="34"/>
      <c r="G16" s="34"/>
      <c r="H16" s="34"/>
      <c r="I16" s="34"/>
    </row>
    <row r="17" spans="1:9">
      <c r="A17" s="35"/>
      <c r="B17" s="36"/>
      <c r="C17" s="37"/>
      <c r="D17" s="37"/>
      <c r="E17" s="36"/>
      <c r="F17" s="36"/>
      <c r="G17" s="36"/>
      <c r="H17" s="36"/>
      <c r="I17" s="36"/>
    </row>
    <row r="18" spans="1:9" ht="18">
      <c r="A18" s="38" t="s">
        <v>17</v>
      </c>
      <c r="B18" s="38"/>
      <c r="C18" s="38"/>
      <c r="D18" s="38"/>
      <c r="E18" s="38"/>
      <c r="F18" s="38"/>
      <c r="G18" s="38"/>
      <c r="H18" s="38"/>
      <c r="I18" s="38"/>
    </row>
    <row r="19" spans="1:9">
      <c r="A19" s="39" t="s">
        <v>18</v>
      </c>
      <c r="B19" s="40" t="s">
        <v>19</v>
      </c>
      <c r="C19" s="40"/>
      <c r="D19" s="40"/>
      <c r="E19" s="40"/>
      <c r="F19" s="40"/>
      <c r="G19" s="40"/>
      <c r="H19" s="40"/>
      <c r="I19" s="40"/>
    </row>
    <row r="20" spans="1:9">
      <c r="A20" s="41" t="s">
        <v>20</v>
      </c>
      <c r="B20" s="42" t="s">
        <v>21</v>
      </c>
      <c r="C20" s="42"/>
      <c r="D20" s="42"/>
      <c r="E20" s="42"/>
      <c r="F20" s="42"/>
      <c r="G20" s="42"/>
      <c r="H20" s="42"/>
      <c r="I20" s="42"/>
    </row>
    <row r="21" spans="1:9">
      <c r="A21" s="41"/>
      <c r="B21" s="42" t="s">
        <v>22</v>
      </c>
      <c r="C21" s="42"/>
      <c r="D21" s="42"/>
      <c r="E21" s="42"/>
      <c r="F21" s="42"/>
      <c r="G21" s="42"/>
      <c r="H21" s="42"/>
      <c r="I21" s="42"/>
    </row>
    <row r="22" spans="1:9">
      <c r="A22" s="41"/>
      <c r="B22" s="42" t="s">
        <v>23</v>
      </c>
      <c r="C22" s="42"/>
      <c r="D22" s="42"/>
      <c r="E22" s="42"/>
      <c r="F22" s="42"/>
      <c r="G22" s="42"/>
      <c r="H22" s="42"/>
      <c r="I22" s="42"/>
    </row>
    <row r="23" spans="1:9">
      <c r="A23" s="41"/>
      <c r="B23" s="42" t="s">
        <v>24</v>
      </c>
      <c r="C23" s="42"/>
      <c r="D23" s="42"/>
      <c r="E23" s="42"/>
      <c r="F23" s="42"/>
      <c r="G23" s="42"/>
      <c r="H23" s="42"/>
      <c r="I23" s="42"/>
    </row>
    <row r="24" spans="1:9">
      <c r="A24" s="41"/>
      <c r="B24" s="42" t="s">
        <v>25</v>
      </c>
      <c r="C24" s="42"/>
      <c r="D24" s="42"/>
      <c r="E24" s="42"/>
      <c r="F24" s="42"/>
      <c r="G24" s="42"/>
      <c r="H24" s="42"/>
      <c r="I24" s="42"/>
    </row>
    <row r="25" spans="1:9">
      <c r="A25" s="41"/>
      <c r="B25" s="42" t="s">
        <v>26</v>
      </c>
      <c r="C25" s="42"/>
      <c r="D25" s="42"/>
      <c r="E25" s="42"/>
      <c r="F25" s="42"/>
      <c r="G25" s="42"/>
      <c r="H25" s="42"/>
      <c r="I25" s="42"/>
    </row>
    <row r="26" spans="1:9">
      <c r="A26" s="39" t="s">
        <v>27</v>
      </c>
      <c r="B26" s="43" t="s">
        <v>28</v>
      </c>
      <c r="C26" s="43"/>
      <c r="D26" s="43"/>
      <c r="E26" s="43"/>
      <c r="F26" s="43"/>
      <c r="G26" s="43"/>
      <c r="H26" s="43"/>
      <c r="I26" s="43"/>
    </row>
    <row r="27" spans="1:9">
      <c r="A27" s="39" t="s">
        <v>29</v>
      </c>
      <c r="B27" s="40" t="s">
        <v>30</v>
      </c>
      <c r="C27" s="40"/>
      <c r="D27" s="40"/>
      <c r="E27" s="40"/>
      <c r="F27" s="40"/>
      <c r="G27" s="40"/>
      <c r="H27" s="40"/>
      <c r="I27" s="40"/>
    </row>
    <row r="28" spans="1:9">
      <c r="A28" s="39" t="s">
        <v>31</v>
      </c>
      <c r="B28" s="40" t="s">
        <v>32</v>
      </c>
      <c r="C28" s="40"/>
      <c r="D28" s="40"/>
      <c r="E28" s="40"/>
      <c r="F28" s="40"/>
      <c r="G28" s="40"/>
      <c r="H28" s="40"/>
      <c r="I28" s="40"/>
    </row>
    <row r="29" spans="1:9">
      <c r="A29" s="39" t="s">
        <v>33</v>
      </c>
      <c r="B29" s="40" t="s">
        <v>34</v>
      </c>
      <c r="C29" s="40"/>
      <c r="D29" s="40"/>
      <c r="E29" s="40"/>
      <c r="F29" s="40"/>
      <c r="G29" s="40"/>
      <c r="H29" s="40"/>
      <c r="I29" s="40"/>
    </row>
    <row r="30" spans="1:9">
      <c r="A30" s="39"/>
      <c r="B30" s="43" t="s">
        <v>35</v>
      </c>
      <c r="C30" s="43"/>
      <c r="D30" s="43"/>
      <c r="E30" s="43"/>
      <c r="F30" s="43"/>
      <c r="G30" s="43"/>
      <c r="H30" s="43"/>
      <c r="I30" s="43"/>
    </row>
    <row r="31" spans="1:9">
      <c r="A31" s="39" t="s">
        <v>36</v>
      </c>
      <c r="B31" s="40" t="s">
        <v>37</v>
      </c>
      <c r="C31" s="40"/>
      <c r="D31" s="40"/>
      <c r="E31" s="40"/>
      <c r="F31" s="40"/>
      <c r="G31" s="40"/>
      <c r="H31" s="40"/>
      <c r="I31" s="40"/>
    </row>
    <row r="32" spans="1:9">
      <c r="A32" s="39"/>
      <c r="B32" s="40"/>
      <c r="C32" s="40"/>
      <c r="D32" s="40"/>
      <c r="E32" s="40"/>
      <c r="F32" s="40"/>
      <c r="G32" s="40"/>
      <c r="H32" s="40"/>
      <c r="I32" s="40"/>
    </row>
    <row r="33" spans="1:9">
      <c r="A33" s="31"/>
      <c r="B33" s="31"/>
      <c r="C33" s="31"/>
      <c r="D33" s="31"/>
      <c r="E33" s="31"/>
      <c r="F33" s="31"/>
      <c r="G33" s="31"/>
      <c r="H33" s="31"/>
      <c r="I33" s="31"/>
    </row>
    <row r="34" spans="1:9" ht="18">
      <c r="A34" s="38" t="s">
        <v>38</v>
      </c>
      <c r="B34" s="38"/>
      <c r="C34" s="38"/>
      <c r="D34" s="38"/>
      <c r="E34" s="38"/>
      <c r="F34" s="38"/>
      <c r="G34" s="38"/>
      <c r="H34" s="38"/>
      <c r="I34" s="38"/>
    </row>
    <row r="35" spans="1:9">
      <c r="A35" s="40" t="s">
        <v>39</v>
      </c>
      <c r="B35" s="40"/>
      <c r="C35" s="40"/>
      <c r="D35" s="40"/>
      <c r="E35" s="40"/>
      <c r="F35" s="40"/>
      <c r="G35" s="40"/>
      <c r="H35" s="40"/>
      <c r="I35" s="40"/>
    </row>
    <row r="36" spans="1:9">
      <c r="A36" s="40" t="s">
        <v>40</v>
      </c>
      <c r="B36" s="40"/>
      <c r="C36" s="40"/>
      <c r="D36" s="40"/>
      <c r="E36" s="40"/>
      <c r="F36" s="40"/>
      <c r="G36" s="40"/>
      <c r="H36" s="40"/>
      <c r="I36" s="40"/>
    </row>
    <row r="37" spans="1:9">
      <c r="A37" s="40" t="s">
        <v>41</v>
      </c>
      <c r="B37" s="40"/>
      <c r="C37" s="40"/>
      <c r="D37" s="40"/>
      <c r="E37" s="40"/>
      <c r="F37" s="40"/>
      <c r="G37" s="40"/>
      <c r="H37" s="40"/>
      <c r="I37" s="40"/>
    </row>
    <row r="38" spans="1:9">
      <c r="A38" s="40" t="s">
        <v>42</v>
      </c>
      <c r="B38" s="40"/>
      <c r="C38" s="40"/>
      <c r="D38" s="40"/>
      <c r="E38" s="40"/>
      <c r="F38" s="40"/>
      <c r="G38" s="40"/>
      <c r="H38" s="40"/>
      <c r="I38" s="40"/>
    </row>
    <row r="39" spans="1:9">
      <c r="A39" s="40" t="s">
        <v>43</v>
      </c>
      <c r="B39" s="40"/>
      <c r="C39" s="40"/>
      <c r="D39" s="40"/>
      <c r="E39" s="40"/>
      <c r="F39" s="40"/>
      <c r="G39" s="40"/>
      <c r="H39" s="40"/>
      <c r="I39" s="40"/>
    </row>
    <row r="40" spans="1:9">
      <c r="A40" s="40" t="s">
        <v>44</v>
      </c>
      <c r="B40" s="40"/>
      <c r="C40" s="40"/>
      <c r="D40" s="40"/>
      <c r="E40" s="40"/>
      <c r="F40" s="40"/>
      <c r="G40" s="40"/>
      <c r="H40" s="40"/>
      <c r="I40" s="40"/>
    </row>
    <row r="41" spans="1:9">
      <c r="A41" s="40" t="s">
        <v>45</v>
      </c>
      <c r="B41" s="40"/>
      <c r="C41" s="40"/>
      <c r="D41" s="40"/>
      <c r="E41" s="40"/>
      <c r="F41" s="40"/>
      <c r="G41" s="40"/>
      <c r="H41" s="40"/>
      <c r="I41" s="40"/>
    </row>
    <row r="42" spans="1:9">
      <c r="A42" s="40"/>
      <c r="B42" s="40"/>
      <c r="C42" s="40"/>
      <c r="D42" s="40"/>
      <c r="E42" s="40"/>
      <c r="F42" s="40"/>
      <c r="G42" s="40"/>
      <c r="H42" s="40"/>
      <c r="I42" s="40"/>
    </row>
    <row r="43" spans="1:9">
      <c r="A43" s="35"/>
      <c r="B43" s="31"/>
      <c r="C43" s="31"/>
      <c r="D43" s="31"/>
      <c r="E43" s="31"/>
      <c r="F43" s="31"/>
      <c r="G43" s="31"/>
      <c r="H43" s="31"/>
      <c r="I43" s="31"/>
    </row>
    <row r="44" spans="1:9" ht="18">
      <c r="A44" s="38" t="s">
        <v>46</v>
      </c>
      <c r="B44" s="38"/>
      <c r="C44" s="38"/>
      <c r="D44" s="38"/>
      <c r="E44" s="38"/>
      <c r="F44" s="38"/>
      <c r="G44" s="38"/>
      <c r="H44" s="38"/>
      <c r="I44" s="38"/>
    </row>
    <row r="45" spans="1:9">
      <c r="A45" s="40" t="s">
        <v>47</v>
      </c>
      <c r="B45" s="40"/>
      <c r="C45" s="40"/>
      <c r="D45" s="40"/>
      <c r="E45" s="40"/>
      <c r="F45" s="40"/>
      <c r="G45" s="40"/>
      <c r="H45" s="40"/>
      <c r="I45" s="40"/>
    </row>
    <row r="46" spans="1:9">
      <c r="A46" s="40" t="s">
        <v>48</v>
      </c>
      <c r="B46" s="40"/>
      <c r="C46" s="40"/>
      <c r="D46" s="40"/>
      <c r="E46" s="40"/>
      <c r="F46" s="40"/>
      <c r="G46" s="40"/>
      <c r="H46" s="40"/>
      <c r="I46" s="40"/>
    </row>
    <row r="47" spans="1:9">
      <c r="A47" s="44" t="s">
        <v>49</v>
      </c>
      <c r="B47" s="44"/>
      <c r="C47" s="44"/>
      <c r="D47" s="44"/>
      <c r="E47" s="44"/>
      <c r="F47" s="44"/>
      <c r="G47" s="44"/>
      <c r="H47" s="44"/>
      <c r="I47" s="44"/>
    </row>
    <row r="48" spans="1:9">
      <c r="A48" s="44"/>
      <c r="B48" s="44"/>
      <c r="C48" s="44"/>
      <c r="D48" s="44"/>
      <c r="E48" s="44"/>
      <c r="F48" s="44"/>
      <c r="G48" s="44"/>
      <c r="H48" s="44"/>
      <c r="I48" s="44"/>
    </row>
    <row r="49" spans="1:9">
      <c r="A49" s="45"/>
      <c r="B49" s="45"/>
      <c r="C49" s="45"/>
      <c r="D49" s="45"/>
      <c r="E49" s="45"/>
      <c r="F49" s="45"/>
      <c r="G49" s="45"/>
      <c r="H49" s="45"/>
      <c r="I49" s="45"/>
    </row>
    <row r="50" spans="1:9">
      <c r="A50" s="46" t="s">
        <v>50</v>
      </c>
      <c r="B50" s="46"/>
      <c r="C50" s="46"/>
      <c r="D50" s="46"/>
      <c r="E50" s="46"/>
      <c r="F50" s="46"/>
      <c r="G50" s="46"/>
      <c r="H50" s="46"/>
      <c r="I50" s="46"/>
    </row>
    <row r="51" spans="1:9">
      <c r="A51" s="46" t="s">
        <v>51</v>
      </c>
      <c r="B51" s="46"/>
      <c r="C51" s="46"/>
      <c r="D51" s="46"/>
      <c r="E51" s="46"/>
      <c r="F51" s="46"/>
      <c r="G51" s="46"/>
      <c r="H51" s="46"/>
      <c r="I51" s="46"/>
    </row>
    <row r="52" spans="1:9">
      <c r="A52" s="46" t="s">
        <v>52</v>
      </c>
      <c r="B52" s="46"/>
      <c r="C52" s="46"/>
      <c r="D52" s="46"/>
      <c r="E52" s="46"/>
      <c r="F52" s="46"/>
      <c r="G52" s="46"/>
      <c r="H52" s="46"/>
      <c r="I52" s="46"/>
    </row>
    <row r="53" spans="1:9">
      <c r="A53" s="46" t="s">
        <v>53</v>
      </c>
      <c r="B53" s="46"/>
      <c r="C53" s="46"/>
      <c r="D53" s="46"/>
      <c r="E53" s="46"/>
      <c r="F53" s="46"/>
      <c r="G53" s="46"/>
      <c r="H53" s="46"/>
      <c r="I53" s="46"/>
    </row>
    <row r="54" spans="1:9" ht="18" thickBot="1">
      <c r="A54" s="47"/>
      <c r="B54" s="47"/>
      <c r="C54" s="47"/>
      <c r="D54" s="47"/>
      <c r="E54" s="47"/>
      <c r="F54" s="47"/>
      <c r="G54" s="47"/>
      <c r="H54" s="47"/>
      <c r="I54" s="47"/>
    </row>
    <row r="55" spans="1:9" ht="18" thickBot="1">
      <c r="A55" s="48" t="s">
        <v>54</v>
      </c>
      <c r="B55" s="49"/>
      <c r="C55" s="49"/>
      <c r="D55" s="49"/>
      <c r="E55" s="49"/>
      <c r="F55" s="49"/>
      <c r="G55" s="49"/>
      <c r="H55" s="49"/>
      <c r="I55" s="50"/>
    </row>
    <row r="56" spans="1:9" ht="18" thickBot="1">
      <c r="A56" s="51"/>
      <c r="B56" s="52"/>
      <c r="C56" s="52"/>
      <c r="D56" s="52"/>
      <c r="E56" s="52"/>
      <c r="F56" s="52"/>
      <c r="G56" s="52"/>
      <c r="H56" s="52"/>
      <c r="I56" s="52"/>
    </row>
    <row r="57" spans="1:9" ht="18" thickBot="1">
      <c r="A57" s="53" t="s">
        <v>55</v>
      </c>
      <c r="B57" s="54" t="s">
        <v>56</v>
      </c>
      <c r="C57" s="55" t="s">
        <v>57</v>
      </c>
      <c r="D57" s="56"/>
      <c r="E57" s="54" t="s">
        <v>58</v>
      </c>
      <c r="F57" s="57" t="s">
        <v>59</v>
      </c>
      <c r="G57" s="58" t="s">
        <v>60</v>
      </c>
      <c r="H57" s="54" t="s">
        <v>61</v>
      </c>
      <c r="I57" s="59" t="s">
        <v>62</v>
      </c>
    </row>
    <row r="58" spans="1:9">
      <c r="A58" s="60" t="s">
        <v>63</v>
      </c>
      <c r="B58" s="61"/>
      <c r="C58" s="62" t="s">
        <v>64</v>
      </c>
      <c r="D58" s="63" t="s">
        <v>65</v>
      </c>
      <c r="E58" s="64">
        <v>120</v>
      </c>
      <c r="F58" s="65">
        <v>12</v>
      </c>
      <c r="G58" s="66">
        <v>2</v>
      </c>
      <c r="H58" s="66"/>
      <c r="I58" s="67">
        <f>E58*F58*G58</f>
        <v>2880</v>
      </c>
    </row>
    <row r="59" spans="1:9">
      <c r="A59" s="60"/>
      <c r="B59" s="61"/>
      <c r="C59" s="68"/>
      <c r="D59" s="69" t="s">
        <v>66</v>
      </c>
      <c r="E59" s="64">
        <v>110</v>
      </c>
      <c r="F59" s="65">
        <v>3</v>
      </c>
      <c r="G59" s="66">
        <v>2</v>
      </c>
      <c r="H59" s="66"/>
      <c r="I59" s="67">
        <f t="shared" ref="I59:I77" si="0">E59*F59*G59</f>
        <v>660</v>
      </c>
    </row>
    <row r="60" spans="1:9">
      <c r="A60" s="60"/>
      <c r="B60" s="61"/>
      <c r="C60" s="68"/>
      <c r="D60" s="69" t="s">
        <v>67</v>
      </c>
      <c r="E60" s="64">
        <v>240</v>
      </c>
      <c r="F60" s="65">
        <v>2</v>
      </c>
      <c r="G60" s="66">
        <v>2</v>
      </c>
      <c r="H60" s="66"/>
      <c r="I60" s="67">
        <f t="shared" si="0"/>
        <v>960</v>
      </c>
    </row>
    <row r="61" spans="1:9">
      <c r="A61" s="60"/>
      <c r="B61" s="61"/>
      <c r="C61" s="68" t="s">
        <v>68</v>
      </c>
      <c r="D61" s="63" t="s">
        <v>65</v>
      </c>
      <c r="E61" s="64">
        <v>90</v>
      </c>
      <c r="F61" s="65">
        <v>12</v>
      </c>
      <c r="G61" s="66">
        <v>1</v>
      </c>
      <c r="H61" s="66"/>
      <c r="I61" s="67">
        <f t="shared" si="0"/>
        <v>1080</v>
      </c>
    </row>
    <row r="62" spans="1:9">
      <c r="A62" s="60"/>
      <c r="B62" s="61"/>
      <c r="C62" s="68"/>
      <c r="D62" s="69" t="s">
        <v>66</v>
      </c>
      <c r="E62" s="64">
        <v>85</v>
      </c>
      <c r="F62" s="65">
        <v>3</v>
      </c>
      <c r="G62" s="66">
        <v>1</v>
      </c>
      <c r="H62" s="66"/>
      <c r="I62" s="67">
        <f t="shared" si="0"/>
        <v>255</v>
      </c>
    </row>
    <row r="63" spans="1:9">
      <c r="A63" s="60"/>
      <c r="B63" s="61"/>
      <c r="C63" s="68"/>
      <c r="D63" s="69" t="s">
        <v>67</v>
      </c>
      <c r="E63" s="64">
        <v>170</v>
      </c>
      <c r="F63" s="65">
        <v>2</v>
      </c>
      <c r="G63" s="66">
        <v>1</v>
      </c>
      <c r="H63" s="66"/>
      <c r="I63" s="67">
        <f>E63*F63*G63</f>
        <v>340</v>
      </c>
    </row>
    <row r="64" spans="1:9">
      <c r="A64" s="60"/>
      <c r="B64" s="61"/>
      <c r="C64" s="68" t="s">
        <v>69</v>
      </c>
      <c r="D64" s="63" t="s">
        <v>65</v>
      </c>
      <c r="E64" s="64">
        <v>160</v>
      </c>
      <c r="F64" s="65">
        <v>12</v>
      </c>
      <c r="G64" s="66">
        <v>1</v>
      </c>
      <c r="H64" s="66"/>
      <c r="I64" s="67">
        <f t="shared" si="0"/>
        <v>1920</v>
      </c>
    </row>
    <row r="65" spans="1:9">
      <c r="A65" s="60"/>
      <c r="B65" s="61"/>
      <c r="C65" s="68"/>
      <c r="D65" s="69" t="s">
        <v>66</v>
      </c>
      <c r="E65" s="64">
        <v>150</v>
      </c>
      <c r="F65" s="65">
        <v>3</v>
      </c>
      <c r="G65" s="66">
        <v>1</v>
      </c>
      <c r="H65" s="66"/>
      <c r="I65" s="67">
        <f t="shared" si="0"/>
        <v>450</v>
      </c>
    </row>
    <row r="66" spans="1:9">
      <c r="A66" s="60"/>
      <c r="B66" s="61"/>
      <c r="C66" s="68"/>
      <c r="D66" s="69" t="s">
        <v>67</v>
      </c>
      <c r="E66" s="64">
        <v>310</v>
      </c>
      <c r="F66" s="65">
        <v>2</v>
      </c>
      <c r="G66" s="66">
        <v>1</v>
      </c>
      <c r="H66" s="66"/>
      <c r="I66" s="67">
        <f>E66*F66*G66</f>
        <v>620</v>
      </c>
    </row>
    <row r="67" spans="1:9">
      <c r="A67" s="60"/>
      <c r="B67" s="61"/>
      <c r="C67" s="68" t="s">
        <v>70</v>
      </c>
      <c r="D67" s="63" t="s">
        <v>65</v>
      </c>
      <c r="E67" s="64">
        <v>55</v>
      </c>
      <c r="F67" s="65">
        <v>12</v>
      </c>
      <c r="G67" s="66">
        <v>1</v>
      </c>
      <c r="H67" s="66"/>
      <c r="I67" s="67">
        <f t="shared" si="0"/>
        <v>660</v>
      </c>
    </row>
    <row r="68" spans="1:9">
      <c r="A68" s="60"/>
      <c r="B68" s="61"/>
      <c r="C68" s="68"/>
      <c r="D68" s="69" t="s">
        <v>66</v>
      </c>
      <c r="E68" s="64">
        <v>50</v>
      </c>
      <c r="F68" s="65">
        <v>3</v>
      </c>
      <c r="G68" s="66">
        <v>1</v>
      </c>
      <c r="H68" s="66"/>
      <c r="I68" s="67">
        <f t="shared" si="0"/>
        <v>150</v>
      </c>
    </row>
    <row r="69" spans="1:9">
      <c r="A69" s="60"/>
      <c r="B69" s="61"/>
      <c r="C69" s="68"/>
      <c r="D69" s="69" t="s">
        <v>67</v>
      </c>
      <c r="E69" s="64">
        <v>100</v>
      </c>
      <c r="F69" s="65">
        <v>2</v>
      </c>
      <c r="G69" s="66">
        <v>1</v>
      </c>
      <c r="H69" s="66"/>
      <c r="I69" s="67">
        <f>E69*F69*G69</f>
        <v>200</v>
      </c>
    </row>
    <row r="70" spans="1:9">
      <c r="A70" s="60"/>
      <c r="B70" s="61"/>
      <c r="C70" s="68" t="s">
        <v>71</v>
      </c>
      <c r="D70" s="63" t="s">
        <v>65</v>
      </c>
      <c r="E70" s="64">
        <v>55</v>
      </c>
      <c r="F70" s="65">
        <v>12</v>
      </c>
      <c r="G70" s="66">
        <v>1</v>
      </c>
      <c r="H70" s="66"/>
      <c r="I70" s="67">
        <f t="shared" si="0"/>
        <v>660</v>
      </c>
    </row>
    <row r="71" spans="1:9">
      <c r="A71" s="60"/>
      <c r="B71" s="61"/>
      <c r="C71" s="68"/>
      <c r="D71" s="69" t="s">
        <v>66</v>
      </c>
      <c r="E71" s="64">
        <v>50</v>
      </c>
      <c r="F71" s="65">
        <v>3</v>
      </c>
      <c r="G71" s="66">
        <v>1</v>
      </c>
      <c r="H71" s="66"/>
      <c r="I71" s="67">
        <f t="shared" si="0"/>
        <v>150</v>
      </c>
    </row>
    <row r="72" spans="1:9">
      <c r="A72" s="60"/>
      <c r="B72" s="61"/>
      <c r="C72" s="68"/>
      <c r="D72" s="69" t="s">
        <v>67</v>
      </c>
      <c r="E72" s="64">
        <v>100</v>
      </c>
      <c r="F72" s="65">
        <v>2</v>
      </c>
      <c r="G72" s="66">
        <v>1</v>
      </c>
      <c r="H72" s="66"/>
      <c r="I72" s="67">
        <f>E72*F72*G72</f>
        <v>200</v>
      </c>
    </row>
    <row r="73" spans="1:9">
      <c r="A73" s="60"/>
      <c r="B73" s="61"/>
      <c r="C73" s="68" t="s">
        <v>72</v>
      </c>
      <c r="D73" s="63" t="s">
        <v>65</v>
      </c>
      <c r="E73" s="64">
        <v>55</v>
      </c>
      <c r="F73" s="65">
        <v>12</v>
      </c>
      <c r="G73" s="66">
        <v>1</v>
      </c>
      <c r="H73" s="66"/>
      <c r="I73" s="67">
        <f t="shared" si="0"/>
        <v>660</v>
      </c>
    </row>
    <row r="74" spans="1:9">
      <c r="A74" s="60"/>
      <c r="B74" s="61"/>
      <c r="C74" s="68"/>
      <c r="D74" s="69" t="s">
        <v>66</v>
      </c>
      <c r="E74" s="64">
        <v>50</v>
      </c>
      <c r="F74" s="65">
        <v>3</v>
      </c>
      <c r="G74" s="66">
        <v>1</v>
      </c>
      <c r="H74" s="66"/>
      <c r="I74" s="67">
        <f t="shared" si="0"/>
        <v>150</v>
      </c>
    </row>
    <row r="75" spans="1:9">
      <c r="A75" s="60"/>
      <c r="B75" s="61"/>
      <c r="C75" s="68"/>
      <c r="D75" s="69"/>
      <c r="E75" s="64">
        <v>100</v>
      </c>
      <c r="F75" s="65">
        <v>2</v>
      </c>
      <c r="G75" s="66">
        <v>1</v>
      </c>
      <c r="H75" s="66"/>
      <c r="I75" s="67">
        <f t="shared" si="0"/>
        <v>200</v>
      </c>
    </row>
    <row r="76" spans="1:9">
      <c r="A76" s="60"/>
      <c r="B76" s="61"/>
      <c r="C76" s="68" t="s">
        <v>73</v>
      </c>
      <c r="D76" s="63" t="s">
        <v>65</v>
      </c>
      <c r="E76" s="64">
        <v>65</v>
      </c>
      <c r="F76" s="65">
        <v>12</v>
      </c>
      <c r="G76" s="66">
        <v>1</v>
      </c>
      <c r="H76" s="66"/>
      <c r="I76" s="67">
        <f t="shared" si="0"/>
        <v>780</v>
      </c>
    </row>
    <row r="77" spans="1:9">
      <c r="A77" s="60"/>
      <c r="B77" s="61"/>
      <c r="C77" s="68"/>
      <c r="D77" s="69" t="s">
        <v>66</v>
      </c>
      <c r="E77" s="64">
        <v>55</v>
      </c>
      <c r="F77" s="65">
        <v>3</v>
      </c>
      <c r="G77" s="66">
        <v>1</v>
      </c>
      <c r="H77" s="66"/>
      <c r="I77" s="67">
        <f t="shared" si="0"/>
        <v>165</v>
      </c>
    </row>
    <row r="78" spans="1:9">
      <c r="A78" s="60"/>
      <c r="B78" s="61"/>
      <c r="C78" s="68"/>
      <c r="D78" s="69" t="s">
        <v>67</v>
      </c>
      <c r="E78" s="64">
        <v>120</v>
      </c>
      <c r="F78" s="65">
        <v>2</v>
      </c>
      <c r="G78" s="66">
        <v>1</v>
      </c>
      <c r="H78" s="66"/>
      <c r="I78" s="67">
        <f>E78*F78*G78</f>
        <v>240</v>
      </c>
    </row>
    <row r="79" spans="1:9" ht="18" thickBot="1">
      <c r="A79" s="60"/>
      <c r="B79" s="70"/>
      <c r="C79" s="71"/>
      <c r="D79" s="72"/>
      <c r="E79" s="73"/>
      <c r="F79" s="74"/>
      <c r="G79" s="75"/>
      <c r="H79" s="75"/>
      <c r="I79" s="76"/>
    </row>
    <row r="80" spans="1:9" ht="18" thickBot="1">
      <c r="A80" s="77"/>
      <c r="B80" s="78"/>
      <c r="C80" s="79" t="s">
        <v>74</v>
      </c>
      <c r="D80" s="79"/>
      <c r="E80" s="80"/>
      <c r="F80" s="81"/>
      <c r="G80" s="82"/>
      <c r="H80" s="82"/>
      <c r="I80" s="83">
        <f>SUM(I58:I79)</f>
        <v>13380</v>
      </c>
    </row>
    <row r="81" spans="1:9">
      <c r="A81" s="84" t="s">
        <v>75</v>
      </c>
      <c r="B81" s="61"/>
      <c r="C81" s="68"/>
      <c r="D81" s="69"/>
      <c r="E81" s="85"/>
      <c r="F81" s="86"/>
      <c r="G81" s="86"/>
      <c r="H81" s="87"/>
      <c r="I81" s="88"/>
    </row>
    <row r="82" spans="1:9">
      <c r="A82" s="89"/>
      <c r="B82" s="61"/>
      <c r="C82" s="68" t="s">
        <v>76</v>
      </c>
      <c r="D82" s="69"/>
      <c r="E82" s="85">
        <v>18</v>
      </c>
      <c r="F82" s="86">
        <v>18</v>
      </c>
      <c r="G82" s="86">
        <v>3</v>
      </c>
      <c r="H82" s="87"/>
      <c r="I82" s="88">
        <f t="shared" ref="I82:I87" si="1">E82*F82*G82</f>
        <v>972</v>
      </c>
    </row>
    <row r="83" spans="1:9">
      <c r="A83" s="89"/>
      <c r="B83" s="61"/>
      <c r="C83" s="68" t="s">
        <v>77</v>
      </c>
      <c r="D83" s="69"/>
      <c r="E83" s="85">
        <v>30</v>
      </c>
      <c r="F83" s="86">
        <v>17</v>
      </c>
      <c r="G83" s="86">
        <v>4</v>
      </c>
      <c r="H83" s="87"/>
      <c r="I83" s="88">
        <f t="shared" si="1"/>
        <v>2040</v>
      </c>
    </row>
    <row r="84" spans="1:9">
      <c r="A84" s="89"/>
      <c r="B84" s="61"/>
      <c r="C84" s="68" t="s">
        <v>78</v>
      </c>
      <c r="D84" s="69"/>
      <c r="E84" s="85">
        <v>18</v>
      </c>
      <c r="F84" s="86">
        <v>18</v>
      </c>
      <c r="G84" s="86">
        <v>8</v>
      </c>
      <c r="H84" s="87"/>
      <c r="I84" s="88">
        <f t="shared" si="1"/>
        <v>2592</v>
      </c>
    </row>
    <row r="85" spans="1:9">
      <c r="A85" s="89"/>
      <c r="B85" s="61"/>
      <c r="C85" s="90" t="s">
        <v>79</v>
      </c>
      <c r="D85" s="91"/>
      <c r="E85" s="92">
        <v>15</v>
      </c>
      <c r="F85" s="93">
        <v>1</v>
      </c>
      <c r="G85" s="93">
        <v>11</v>
      </c>
      <c r="H85" s="94"/>
      <c r="I85" s="95">
        <f t="shared" si="1"/>
        <v>165</v>
      </c>
    </row>
    <row r="86" spans="1:9">
      <c r="A86" s="89"/>
      <c r="B86" s="61"/>
      <c r="C86" s="90" t="s">
        <v>80</v>
      </c>
      <c r="D86" s="91"/>
      <c r="E86" s="92">
        <v>25</v>
      </c>
      <c r="F86" s="93">
        <v>1</v>
      </c>
      <c r="G86" s="93">
        <v>4</v>
      </c>
      <c r="H86" s="94"/>
      <c r="I86" s="95">
        <f t="shared" si="1"/>
        <v>100</v>
      </c>
    </row>
    <row r="87" spans="1:9">
      <c r="A87" s="89"/>
      <c r="B87" s="61"/>
      <c r="C87" s="90" t="s">
        <v>81</v>
      </c>
      <c r="D87" s="91"/>
      <c r="E87" s="92">
        <v>20</v>
      </c>
      <c r="F87" s="93">
        <v>17</v>
      </c>
      <c r="G87" s="93">
        <v>1</v>
      </c>
      <c r="H87" s="94"/>
      <c r="I87" s="95">
        <f t="shared" si="1"/>
        <v>340</v>
      </c>
    </row>
    <row r="88" spans="1:9" ht="18" thickBot="1">
      <c r="A88" s="89"/>
      <c r="B88" s="61"/>
      <c r="C88" s="96"/>
      <c r="D88" s="97"/>
      <c r="E88" s="98"/>
      <c r="F88" s="99"/>
      <c r="G88" s="99"/>
      <c r="H88" s="87"/>
      <c r="I88" s="88"/>
    </row>
    <row r="89" spans="1:9" ht="18" thickBot="1">
      <c r="A89" s="100"/>
      <c r="B89" s="70"/>
      <c r="C89" s="101" t="s">
        <v>74</v>
      </c>
      <c r="D89" s="79"/>
      <c r="E89" s="80"/>
      <c r="F89" s="81"/>
      <c r="G89" s="82"/>
      <c r="H89" s="82"/>
      <c r="I89" s="83">
        <f>SUM(I81:I88)</f>
        <v>6209</v>
      </c>
    </row>
    <row r="90" spans="1:9">
      <c r="A90" s="84" t="s">
        <v>82</v>
      </c>
      <c r="B90" s="102"/>
      <c r="C90" s="103"/>
      <c r="D90" s="104"/>
      <c r="E90" s="105" t="s">
        <v>83</v>
      </c>
      <c r="F90" s="106" t="s">
        <v>84</v>
      </c>
      <c r="G90" s="107" t="s">
        <v>85</v>
      </c>
      <c r="H90" s="107" t="s">
        <v>86</v>
      </c>
      <c r="I90" s="76"/>
    </row>
    <row r="91" spans="1:9">
      <c r="A91" s="89"/>
      <c r="B91" s="108" t="s">
        <v>87</v>
      </c>
      <c r="C91" s="109" t="s">
        <v>88</v>
      </c>
      <c r="D91" s="110"/>
      <c r="E91" s="85">
        <v>300</v>
      </c>
      <c r="F91" s="86">
        <v>20</v>
      </c>
      <c r="G91" s="87"/>
      <c r="H91" s="87"/>
      <c r="I91" s="88"/>
    </row>
    <row r="92" spans="1:9">
      <c r="A92" s="89"/>
      <c r="B92" s="108" t="s">
        <v>89</v>
      </c>
      <c r="C92" s="109" t="s">
        <v>90</v>
      </c>
      <c r="D92" s="110"/>
      <c r="E92" s="111">
        <v>1500</v>
      </c>
      <c r="F92" s="86">
        <v>40</v>
      </c>
      <c r="G92" s="87">
        <v>200</v>
      </c>
      <c r="H92" s="87">
        <v>60</v>
      </c>
      <c r="I92" s="88"/>
    </row>
    <row r="93" spans="1:9">
      <c r="A93" s="89"/>
      <c r="B93" s="112" t="s">
        <v>91</v>
      </c>
      <c r="C93" s="109" t="s">
        <v>92</v>
      </c>
      <c r="D93" s="110"/>
      <c r="E93" s="113"/>
      <c r="F93" s="86">
        <v>40</v>
      </c>
      <c r="G93" s="87">
        <v>200</v>
      </c>
      <c r="H93" s="87">
        <v>60</v>
      </c>
      <c r="I93" s="88"/>
    </row>
    <row r="94" spans="1:9">
      <c r="A94" s="89"/>
      <c r="B94" s="112"/>
      <c r="C94" s="68" t="s">
        <v>93</v>
      </c>
      <c r="D94" s="69"/>
      <c r="E94" s="111">
        <v>6900</v>
      </c>
      <c r="F94" s="86">
        <v>20</v>
      </c>
      <c r="G94" s="87"/>
      <c r="H94" s="87"/>
      <c r="I94" s="88"/>
    </row>
    <row r="95" spans="1:9">
      <c r="A95" s="89"/>
      <c r="B95" s="112" t="s">
        <v>94</v>
      </c>
      <c r="C95" s="114" t="s">
        <v>95</v>
      </c>
      <c r="D95" s="115"/>
      <c r="E95" s="116"/>
      <c r="F95" s="86">
        <v>40</v>
      </c>
      <c r="G95" s="87"/>
      <c r="H95" s="87"/>
      <c r="I95" s="88"/>
    </row>
    <row r="96" spans="1:9">
      <c r="A96" s="89"/>
      <c r="B96" s="112" t="s">
        <v>96</v>
      </c>
      <c r="C96" s="109" t="s">
        <v>97</v>
      </c>
      <c r="D96" s="110"/>
      <c r="E96" s="116"/>
      <c r="F96" s="86">
        <v>40</v>
      </c>
      <c r="G96" s="87"/>
      <c r="H96" s="87"/>
      <c r="I96" s="88"/>
    </row>
    <row r="97" spans="1:9">
      <c r="A97" s="89"/>
      <c r="B97" s="112" t="s">
        <v>98</v>
      </c>
      <c r="C97" s="109" t="s">
        <v>99</v>
      </c>
      <c r="D97" s="110"/>
      <c r="E97" s="116"/>
      <c r="F97" s="86">
        <v>40</v>
      </c>
      <c r="G97" s="87">
        <v>200</v>
      </c>
      <c r="H97" s="87">
        <v>50</v>
      </c>
      <c r="I97" s="88"/>
    </row>
    <row r="98" spans="1:9">
      <c r="A98" s="89"/>
      <c r="B98" s="112" t="s">
        <v>100</v>
      </c>
      <c r="C98" s="68" t="s">
        <v>101</v>
      </c>
      <c r="D98" s="69"/>
      <c r="E98" s="116"/>
      <c r="F98" s="86">
        <v>40</v>
      </c>
      <c r="G98" s="87">
        <v>200</v>
      </c>
      <c r="H98" s="87">
        <v>50</v>
      </c>
      <c r="I98" s="88"/>
    </row>
    <row r="99" spans="1:9">
      <c r="A99" s="89"/>
      <c r="B99" s="112" t="s">
        <v>102</v>
      </c>
      <c r="C99" s="109" t="s">
        <v>103</v>
      </c>
      <c r="D99" s="110"/>
      <c r="E99" s="116"/>
      <c r="F99" s="86">
        <v>20</v>
      </c>
      <c r="G99" s="87"/>
      <c r="H99" s="87"/>
      <c r="I99" s="88"/>
    </row>
    <row r="100" spans="1:9">
      <c r="A100" s="89"/>
      <c r="B100" s="112" t="s">
        <v>104</v>
      </c>
      <c r="C100" s="109" t="s">
        <v>105</v>
      </c>
      <c r="D100" s="110"/>
      <c r="E100" s="113"/>
      <c r="F100" s="86">
        <v>40</v>
      </c>
      <c r="G100" s="87">
        <v>250</v>
      </c>
      <c r="H100" s="87">
        <v>70</v>
      </c>
      <c r="I100" s="88"/>
    </row>
    <row r="101" spans="1:9">
      <c r="A101" s="89"/>
      <c r="B101" s="112"/>
      <c r="C101" s="109"/>
      <c r="D101" s="110"/>
      <c r="E101" s="117"/>
      <c r="F101" s="86"/>
      <c r="G101" s="87"/>
      <c r="H101" s="87"/>
      <c r="I101" s="88"/>
    </row>
    <row r="102" spans="1:9">
      <c r="A102" s="89"/>
      <c r="B102" s="112"/>
      <c r="C102" s="118"/>
      <c r="D102" s="119"/>
      <c r="E102" s="117"/>
      <c r="F102" s="86"/>
      <c r="G102" s="87"/>
      <c r="H102" s="87"/>
      <c r="I102" s="88"/>
    </row>
    <row r="103" spans="1:9" ht="18" thickBot="1">
      <c r="A103" s="89"/>
      <c r="B103" s="112"/>
      <c r="C103" s="109"/>
      <c r="D103" s="110"/>
      <c r="E103" s="85"/>
      <c r="F103" s="86"/>
      <c r="G103" s="87"/>
      <c r="H103" s="87"/>
      <c r="I103" s="88"/>
    </row>
    <row r="104" spans="1:9" ht="18" thickBot="1">
      <c r="A104" s="100"/>
      <c r="B104" s="120"/>
      <c r="C104" s="121" t="s">
        <v>74</v>
      </c>
      <c r="D104" s="122"/>
      <c r="E104" s="80"/>
      <c r="F104" s="81"/>
      <c r="G104" s="82"/>
      <c r="H104" s="123"/>
      <c r="I104" s="83">
        <f>SUM(E90:H103)</f>
        <v>10380</v>
      </c>
    </row>
    <row r="105" spans="1:9">
      <c r="A105" s="124" t="s">
        <v>106</v>
      </c>
      <c r="B105" s="125"/>
      <c r="C105" s="126"/>
      <c r="D105" s="127"/>
      <c r="E105" s="128"/>
      <c r="F105" s="106"/>
      <c r="G105" s="107"/>
      <c r="H105" s="107"/>
      <c r="I105" s="129"/>
    </row>
    <row r="106" spans="1:9">
      <c r="A106" s="60"/>
      <c r="B106" s="130"/>
      <c r="C106" s="62" t="s">
        <v>107</v>
      </c>
      <c r="D106" s="131"/>
      <c r="E106" s="64">
        <v>26</v>
      </c>
      <c r="F106" s="132">
        <v>18</v>
      </c>
      <c r="G106" s="133">
        <v>1</v>
      </c>
      <c r="H106" s="133"/>
      <c r="I106" s="134">
        <f t="shared" ref="I106:I114" si="2">E106*F106*G106</f>
        <v>468</v>
      </c>
    </row>
    <row r="107" spans="1:9">
      <c r="A107" s="60"/>
      <c r="B107" s="130"/>
      <c r="C107" s="90" t="s">
        <v>108</v>
      </c>
      <c r="D107" s="135"/>
      <c r="E107" s="92">
        <v>200</v>
      </c>
      <c r="F107" s="93">
        <v>1</v>
      </c>
      <c r="G107" s="94">
        <v>1</v>
      </c>
      <c r="H107" s="94"/>
      <c r="I107" s="95">
        <f>E107*F107*G107</f>
        <v>200</v>
      </c>
    </row>
    <row r="108" spans="1:9">
      <c r="A108" s="60"/>
      <c r="B108" s="130"/>
      <c r="C108" s="62" t="s">
        <v>109</v>
      </c>
      <c r="D108" s="131"/>
      <c r="E108" s="64">
        <v>22</v>
      </c>
      <c r="F108" s="132">
        <v>17</v>
      </c>
      <c r="G108" s="133">
        <v>1</v>
      </c>
      <c r="H108" s="133"/>
      <c r="I108" s="134">
        <f t="shared" si="2"/>
        <v>374</v>
      </c>
    </row>
    <row r="109" spans="1:9">
      <c r="A109" s="60"/>
      <c r="B109" s="130"/>
      <c r="C109" s="62" t="s">
        <v>110</v>
      </c>
      <c r="D109" s="131"/>
      <c r="E109" s="64">
        <v>17</v>
      </c>
      <c r="F109" s="132">
        <v>17</v>
      </c>
      <c r="G109" s="133">
        <v>1</v>
      </c>
      <c r="H109" s="133"/>
      <c r="I109" s="134">
        <f t="shared" si="2"/>
        <v>289</v>
      </c>
    </row>
    <row r="110" spans="1:9">
      <c r="A110" s="60"/>
      <c r="B110" s="130"/>
      <c r="C110" s="68" t="s">
        <v>111</v>
      </c>
      <c r="D110" s="136"/>
      <c r="E110" s="85">
        <v>146</v>
      </c>
      <c r="F110" s="132">
        <v>16</v>
      </c>
      <c r="G110" s="87">
        <v>1</v>
      </c>
      <c r="H110" s="87"/>
      <c r="I110" s="88">
        <f t="shared" si="2"/>
        <v>2336</v>
      </c>
    </row>
    <row r="111" spans="1:9">
      <c r="A111" s="60"/>
      <c r="B111" s="130"/>
      <c r="C111" s="68" t="s">
        <v>112</v>
      </c>
      <c r="D111" s="136"/>
      <c r="E111" s="85">
        <v>9</v>
      </c>
      <c r="F111" s="132">
        <v>18</v>
      </c>
      <c r="G111" s="87">
        <v>1</v>
      </c>
      <c r="H111" s="87"/>
      <c r="I111" s="88">
        <f t="shared" si="2"/>
        <v>162</v>
      </c>
    </row>
    <row r="112" spans="1:9">
      <c r="A112" s="60"/>
      <c r="B112" s="130"/>
      <c r="C112" s="68" t="s">
        <v>113</v>
      </c>
      <c r="D112" s="136"/>
      <c r="E112" s="85">
        <v>40</v>
      </c>
      <c r="F112" s="132">
        <v>18</v>
      </c>
      <c r="G112" s="87">
        <v>1</v>
      </c>
      <c r="H112" s="87"/>
      <c r="I112" s="88">
        <f t="shared" si="2"/>
        <v>720</v>
      </c>
    </row>
    <row r="113" spans="1:9">
      <c r="A113" s="60"/>
      <c r="B113" s="130"/>
      <c r="C113" s="68" t="s">
        <v>114</v>
      </c>
      <c r="D113" s="136"/>
      <c r="E113" s="85">
        <v>45</v>
      </c>
      <c r="F113" s="132">
        <v>18</v>
      </c>
      <c r="G113" s="87">
        <v>1</v>
      </c>
      <c r="H113" s="87"/>
      <c r="I113" s="88">
        <f t="shared" si="2"/>
        <v>810</v>
      </c>
    </row>
    <row r="114" spans="1:9">
      <c r="A114" s="60"/>
      <c r="B114" s="130"/>
      <c r="C114" s="90" t="s">
        <v>115</v>
      </c>
      <c r="D114" s="135"/>
      <c r="E114" s="92">
        <v>150</v>
      </c>
      <c r="F114" s="93">
        <v>1</v>
      </c>
      <c r="G114" s="94">
        <v>1</v>
      </c>
      <c r="H114" s="94"/>
      <c r="I114" s="95">
        <f t="shared" si="2"/>
        <v>150</v>
      </c>
    </row>
    <row r="115" spans="1:9">
      <c r="A115" s="60"/>
      <c r="B115" s="130"/>
      <c r="C115" s="68" t="s">
        <v>116</v>
      </c>
      <c r="D115" s="136"/>
      <c r="E115" s="85">
        <v>50</v>
      </c>
      <c r="F115" s="86">
        <v>15</v>
      </c>
      <c r="G115" s="87">
        <v>1</v>
      </c>
      <c r="H115" s="87"/>
      <c r="I115" s="88">
        <f>E115*F115*G115</f>
        <v>750</v>
      </c>
    </row>
    <row r="116" spans="1:9">
      <c r="A116" s="60"/>
      <c r="B116" s="108"/>
      <c r="C116" s="68" t="s">
        <v>117</v>
      </c>
      <c r="D116" s="136"/>
      <c r="E116" s="85">
        <v>25</v>
      </c>
      <c r="F116" s="86">
        <v>17</v>
      </c>
      <c r="G116" s="87">
        <v>1</v>
      </c>
      <c r="H116" s="87"/>
      <c r="I116" s="88">
        <f>E116*F116*G116</f>
        <v>425</v>
      </c>
    </row>
    <row r="117" spans="1:9" ht="18" thickBot="1">
      <c r="A117" s="60"/>
      <c r="B117" s="137"/>
      <c r="C117" s="138"/>
      <c r="D117" s="139"/>
      <c r="E117" s="73"/>
      <c r="F117" s="74"/>
      <c r="G117" s="75"/>
      <c r="H117" s="75"/>
      <c r="I117" s="76"/>
    </row>
    <row r="118" spans="1:9" ht="18" thickBot="1">
      <c r="A118" s="77"/>
      <c r="B118" s="140"/>
      <c r="C118" s="141" t="s">
        <v>74</v>
      </c>
      <c r="D118" s="142"/>
      <c r="E118" s="80"/>
      <c r="F118" s="143"/>
      <c r="G118" s="82"/>
      <c r="H118" s="82"/>
      <c r="I118" s="83">
        <f>SUM(I105:I117)</f>
        <v>6684</v>
      </c>
    </row>
    <row r="119" spans="1:9">
      <c r="A119" s="84" t="s">
        <v>118</v>
      </c>
      <c r="B119" s="125"/>
      <c r="C119" s="144"/>
      <c r="D119" s="145"/>
      <c r="E119" s="146"/>
      <c r="F119" s="147"/>
      <c r="G119" s="148"/>
      <c r="H119" s="148"/>
      <c r="I119" s="129"/>
    </row>
    <row r="120" spans="1:9">
      <c r="A120" s="89"/>
      <c r="B120" s="61"/>
      <c r="C120" s="68" t="s">
        <v>119</v>
      </c>
      <c r="D120" s="69"/>
      <c r="E120" s="85">
        <v>2</v>
      </c>
      <c r="F120" s="86">
        <v>17</v>
      </c>
      <c r="G120" s="87">
        <v>15</v>
      </c>
      <c r="H120" s="87"/>
      <c r="I120" s="88">
        <f t="shared" ref="I120:I130" si="3">E120*F120*G120</f>
        <v>510</v>
      </c>
    </row>
    <row r="121" spans="1:9">
      <c r="A121" s="89"/>
      <c r="B121" s="61"/>
      <c r="C121" s="68" t="s">
        <v>120</v>
      </c>
      <c r="D121" s="69"/>
      <c r="E121" s="85">
        <v>6</v>
      </c>
      <c r="F121" s="86">
        <v>17</v>
      </c>
      <c r="G121" s="87">
        <v>4</v>
      </c>
      <c r="H121" s="87"/>
      <c r="I121" s="88">
        <f t="shared" si="3"/>
        <v>408</v>
      </c>
    </row>
    <row r="122" spans="1:9">
      <c r="A122" s="89"/>
      <c r="B122" s="61"/>
      <c r="C122" s="68" t="s">
        <v>121</v>
      </c>
      <c r="D122" s="69"/>
      <c r="E122" s="85">
        <v>8</v>
      </c>
      <c r="F122" s="86">
        <v>17</v>
      </c>
      <c r="G122" s="87">
        <v>2</v>
      </c>
      <c r="H122" s="87"/>
      <c r="I122" s="88">
        <f t="shared" si="3"/>
        <v>272</v>
      </c>
    </row>
    <row r="123" spans="1:9">
      <c r="A123" s="89"/>
      <c r="B123" s="61"/>
      <c r="C123" s="68" t="s">
        <v>122</v>
      </c>
      <c r="D123" s="69"/>
      <c r="E123" s="85">
        <v>4</v>
      </c>
      <c r="F123" s="86">
        <v>17</v>
      </c>
      <c r="G123" s="87">
        <v>2</v>
      </c>
      <c r="H123" s="87"/>
      <c r="I123" s="88">
        <f t="shared" si="3"/>
        <v>136</v>
      </c>
    </row>
    <row r="124" spans="1:9">
      <c r="A124" s="89"/>
      <c r="B124" s="61"/>
      <c r="C124" s="68" t="s">
        <v>123</v>
      </c>
      <c r="D124" s="69"/>
      <c r="E124" s="85">
        <v>200</v>
      </c>
      <c r="F124" s="86">
        <v>1</v>
      </c>
      <c r="G124" s="87">
        <v>1</v>
      </c>
      <c r="H124" s="87"/>
      <c r="I124" s="88">
        <f t="shared" si="3"/>
        <v>200</v>
      </c>
    </row>
    <row r="125" spans="1:9">
      <c r="A125" s="89"/>
      <c r="B125" s="61"/>
      <c r="C125" s="68" t="s">
        <v>124</v>
      </c>
      <c r="D125" s="69"/>
      <c r="E125" s="85">
        <v>680</v>
      </c>
      <c r="F125" s="86">
        <v>1</v>
      </c>
      <c r="G125" s="87">
        <v>1</v>
      </c>
      <c r="H125" s="87"/>
      <c r="I125" s="88">
        <f t="shared" si="3"/>
        <v>680</v>
      </c>
    </row>
    <row r="126" spans="1:9">
      <c r="A126" s="89"/>
      <c r="B126" s="61"/>
      <c r="C126" s="68" t="s">
        <v>125</v>
      </c>
      <c r="D126" s="69"/>
      <c r="E126" s="85">
        <v>480</v>
      </c>
      <c r="F126" s="86">
        <v>1</v>
      </c>
      <c r="G126" s="87">
        <v>1</v>
      </c>
      <c r="H126" s="87"/>
      <c r="I126" s="88">
        <f t="shared" si="3"/>
        <v>480</v>
      </c>
    </row>
    <row r="127" spans="1:9">
      <c r="A127" s="89"/>
      <c r="B127" s="61"/>
      <c r="C127" s="68" t="s">
        <v>126</v>
      </c>
      <c r="D127" s="69"/>
      <c r="E127" s="85">
        <v>450</v>
      </c>
      <c r="F127" s="86">
        <v>1</v>
      </c>
      <c r="G127" s="87">
        <v>1</v>
      </c>
      <c r="H127" s="87"/>
      <c r="I127" s="88">
        <f t="shared" si="3"/>
        <v>450</v>
      </c>
    </row>
    <row r="128" spans="1:9">
      <c r="A128" s="89"/>
      <c r="B128" s="61"/>
      <c r="C128" s="68" t="s">
        <v>127</v>
      </c>
      <c r="D128" s="69"/>
      <c r="E128" s="85">
        <v>150</v>
      </c>
      <c r="F128" s="86">
        <v>1</v>
      </c>
      <c r="G128" s="87">
        <v>1</v>
      </c>
      <c r="H128" s="87"/>
      <c r="I128" s="88">
        <f t="shared" si="3"/>
        <v>150</v>
      </c>
    </row>
    <row r="129" spans="1:9">
      <c r="A129" s="89"/>
      <c r="B129" s="61"/>
      <c r="C129" s="68" t="s">
        <v>128</v>
      </c>
      <c r="D129" s="69"/>
      <c r="E129" s="85">
        <v>374</v>
      </c>
      <c r="F129" s="86">
        <v>1</v>
      </c>
      <c r="G129" s="87">
        <v>1</v>
      </c>
      <c r="H129" s="87"/>
      <c r="I129" s="88">
        <f t="shared" si="3"/>
        <v>374</v>
      </c>
    </row>
    <row r="130" spans="1:9">
      <c r="A130" s="89"/>
      <c r="B130" s="61"/>
      <c r="C130" s="68" t="s">
        <v>129</v>
      </c>
      <c r="D130" s="69"/>
      <c r="E130" s="85">
        <v>80</v>
      </c>
      <c r="F130" s="86">
        <v>17</v>
      </c>
      <c r="G130" s="87">
        <v>1</v>
      </c>
      <c r="H130" s="87"/>
      <c r="I130" s="88">
        <f t="shared" si="3"/>
        <v>1360</v>
      </c>
    </row>
    <row r="131" spans="1:9">
      <c r="A131" s="89"/>
      <c r="B131" s="61"/>
      <c r="C131" s="68" t="s">
        <v>130</v>
      </c>
      <c r="D131" s="69"/>
      <c r="E131" s="85">
        <v>120</v>
      </c>
      <c r="F131" s="86">
        <v>1</v>
      </c>
      <c r="G131" s="87">
        <v>5</v>
      </c>
      <c r="H131" s="87"/>
      <c r="I131" s="88">
        <f>E131*F131*G131</f>
        <v>600</v>
      </c>
    </row>
    <row r="132" spans="1:9">
      <c r="A132" s="89"/>
      <c r="B132" s="61"/>
      <c r="C132" s="68" t="s">
        <v>131</v>
      </c>
      <c r="D132" s="69"/>
      <c r="E132" s="85">
        <v>120</v>
      </c>
      <c r="F132" s="86">
        <v>1</v>
      </c>
      <c r="G132" s="87">
        <v>2</v>
      </c>
      <c r="H132" s="87"/>
      <c r="I132" s="88">
        <f>E132*F132*G132</f>
        <v>240</v>
      </c>
    </row>
    <row r="133" spans="1:9" ht="18" thickBot="1">
      <c r="A133" s="89"/>
      <c r="B133" s="70"/>
      <c r="C133" s="126"/>
      <c r="D133" s="72"/>
      <c r="E133" s="149"/>
      <c r="F133" s="150"/>
      <c r="G133" s="151"/>
      <c r="H133" s="151"/>
      <c r="I133" s="76"/>
    </row>
    <row r="134" spans="1:9" ht="18" thickBot="1">
      <c r="A134" s="152"/>
      <c r="B134" s="153"/>
      <c r="C134" s="154"/>
      <c r="D134" s="155"/>
      <c r="E134" s="156"/>
      <c r="F134" s="157"/>
      <c r="G134" s="158"/>
      <c r="H134" s="158"/>
      <c r="I134" s="83">
        <f>SUM(I119:I133)</f>
        <v>5860</v>
      </c>
    </row>
    <row r="135" spans="1:9" ht="18" thickBot="1">
      <c r="A135" s="159" t="s">
        <v>132</v>
      </c>
      <c r="B135" s="160"/>
      <c r="C135" s="161"/>
      <c r="D135" s="161"/>
      <c r="E135" s="162"/>
      <c r="F135" s="161"/>
      <c r="G135" s="163"/>
      <c r="H135" s="164"/>
      <c r="I135" s="165">
        <v>100</v>
      </c>
    </row>
    <row r="136" spans="1:9" ht="18" thickBot="1">
      <c r="A136" s="166" t="s">
        <v>133</v>
      </c>
      <c r="B136" s="167"/>
      <c r="C136" s="168"/>
      <c r="D136" s="168"/>
      <c r="E136" s="169"/>
      <c r="F136" s="169"/>
      <c r="G136" s="169"/>
      <c r="H136" s="170" t="s">
        <v>134</v>
      </c>
      <c r="I136" s="171">
        <f>I80+I89+I104+I118+I134+I135</f>
        <v>42613</v>
      </c>
    </row>
    <row r="137" spans="1:9" ht="18" thickBot="1">
      <c r="A137" s="172"/>
      <c r="B137" s="172"/>
      <c r="C137" s="172"/>
      <c r="D137" s="172"/>
      <c r="E137" s="172"/>
      <c r="F137" s="172"/>
      <c r="G137" s="172"/>
      <c r="H137" s="172"/>
      <c r="I137" s="172"/>
    </row>
    <row r="138" spans="1:9" ht="19" thickBot="1">
      <c r="A138" s="173" t="s">
        <v>135</v>
      </c>
      <c r="B138" s="174"/>
      <c r="C138" s="174"/>
      <c r="D138" s="174"/>
      <c r="E138" s="174"/>
      <c r="F138" s="175"/>
      <c r="G138" s="176" t="s">
        <v>134</v>
      </c>
      <c r="H138" s="177">
        <f>I136</f>
        <v>42613</v>
      </c>
      <c r="I138" s="178"/>
    </row>
    <row r="139" spans="1:9" ht="18" thickBot="1">
      <c r="A139" s="179" t="s">
        <v>136</v>
      </c>
      <c r="B139" s="180"/>
      <c r="C139" s="180"/>
      <c r="D139" s="180"/>
      <c r="E139" s="180"/>
      <c r="F139" s="181"/>
      <c r="G139" s="176" t="s">
        <v>134</v>
      </c>
      <c r="H139" s="177">
        <f>(H138/15)</f>
        <v>2840.8666666666668</v>
      </c>
      <c r="I139" s="178"/>
    </row>
  </sheetData>
  <mergeCells count="79">
    <mergeCell ref="A119:A134"/>
    <mergeCell ref="A135:B135"/>
    <mergeCell ref="A136:B136"/>
    <mergeCell ref="A138:F138"/>
    <mergeCell ref="H138:I138"/>
    <mergeCell ref="A139:F139"/>
    <mergeCell ref="H139:I139"/>
    <mergeCell ref="C99:D99"/>
    <mergeCell ref="C100:D100"/>
    <mergeCell ref="C101:D101"/>
    <mergeCell ref="C103:D103"/>
    <mergeCell ref="C104:D104"/>
    <mergeCell ref="A105:A118"/>
    <mergeCell ref="C118:D118"/>
    <mergeCell ref="A90:A104"/>
    <mergeCell ref="C90:D90"/>
    <mergeCell ref="C91:D91"/>
    <mergeCell ref="C92:D92"/>
    <mergeCell ref="E92:E93"/>
    <mergeCell ref="C93:D93"/>
    <mergeCell ref="E94:E100"/>
    <mergeCell ref="C95:D95"/>
    <mergeCell ref="C96:D96"/>
    <mergeCell ref="C97:D97"/>
    <mergeCell ref="A52:I52"/>
    <mergeCell ref="A53:I53"/>
    <mergeCell ref="A55:I55"/>
    <mergeCell ref="C57:D57"/>
    <mergeCell ref="A58:A80"/>
    <mergeCell ref="A81:A89"/>
    <mergeCell ref="A45:I45"/>
    <mergeCell ref="A46:I46"/>
    <mergeCell ref="A47:I47"/>
    <mergeCell ref="A48:I48"/>
    <mergeCell ref="A50:I50"/>
    <mergeCell ref="A51:I51"/>
    <mergeCell ref="A39:I39"/>
    <mergeCell ref="A40:I40"/>
    <mergeCell ref="A41:I41"/>
    <mergeCell ref="A42:I42"/>
    <mergeCell ref="B43:I43"/>
    <mergeCell ref="A44:I44"/>
    <mergeCell ref="A33:I33"/>
    <mergeCell ref="A34:I34"/>
    <mergeCell ref="A35:I35"/>
    <mergeCell ref="A36:I36"/>
    <mergeCell ref="A37:I37"/>
    <mergeCell ref="A38:I38"/>
    <mergeCell ref="B27:I27"/>
    <mergeCell ref="B28:I28"/>
    <mergeCell ref="B29:I29"/>
    <mergeCell ref="B30:I30"/>
    <mergeCell ref="B31:I31"/>
    <mergeCell ref="B32:I32"/>
    <mergeCell ref="B21:I21"/>
    <mergeCell ref="B22:I22"/>
    <mergeCell ref="B23:I23"/>
    <mergeCell ref="B24:I24"/>
    <mergeCell ref="B25:I25"/>
    <mergeCell ref="B26:I26"/>
    <mergeCell ref="A14:I14"/>
    <mergeCell ref="A15:I15"/>
    <mergeCell ref="A16:I16"/>
    <mergeCell ref="A18:I18"/>
    <mergeCell ref="B19:I19"/>
    <mergeCell ref="B20:I20"/>
    <mergeCell ref="B10:I10"/>
    <mergeCell ref="B11:D11"/>
    <mergeCell ref="E11:F11"/>
    <mergeCell ref="G11:I11"/>
    <mergeCell ref="A12:I12"/>
    <mergeCell ref="A13:I13"/>
    <mergeCell ref="A6:I6"/>
    <mergeCell ref="B8:D8"/>
    <mergeCell ref="E8:F8"/>
    <mergeCell ref="G8:I8"/>
    <mergeCell ref="B9:D9"/>
    <mergeCell ref="E9:F9"/>
    <mergeCell ref="G9:I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서유럽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김윤정C</dc:creator>
  <cp:lastModifiedBy>김윤정C</cp:lastModifiedBy>
  <dcterms:created xsi:type="dcterms:W3CDTF">2025-12-09T01:46:04Z</dcterms:created>
  <dcterms:modified xsi:type="dcterms:W3CDTF">2025-12-09T01:46:18Z</dcterms:modified>
</cp:coreProperties>
</file>