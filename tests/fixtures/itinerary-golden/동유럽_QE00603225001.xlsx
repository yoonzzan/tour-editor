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oon/Desktop/tour-editor/tests/fixtures/itinerary-golden/"/>
    </mc:Choice>
  </mc:AlternateContent>
  <xr:revisionPtr revIDLastSave="0" documentId="8_{5896226A-546C-F240-B4B1-353663EE6D73}" xr6:coauthVersionLast="47" xr6:coauthVersionMax="47" xr10:uidLastSave="{00000000-0000-0000-0000-000000000000}"/>
  <bookViews>
    <workbookView xWindow="9020" yWindow="7920" windowWidth="29640" windowHeight="29820" xr2:uid="{C54C8425-D1DF-F44C-8F5A-ADD5EF958ACD}"/>
  </bookViews>
  <sheets>
    <sheet name="견적" sheetId="5" r:id="rId1"/>
  </sheets>
  <definedNames>
    <definedName name="_xlnm.Print_Area" localSheetId="0">견적!$A$1:$J$111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5" l="1"/>
  <c r="J59" i="5"/>
  <c r="J60" i="5"/>
  <c r="J61" i="5"/>
  <c r="J62" i="5"/>
  <c r="J63" i="5"/>
  <c r="J64" i="5"/>
  <c r="J65" i="5"/>
  <c r="J66" i="5"/>
  <c r="J67" i="5"/>
  <c r="J68" i="5"/>
  <c r="J69" i="5"/>
  <c r="J70" i="5"/>
  <c r="F71" i="5"/>
  <c r="G71" i="5"/>
  <c r="J71" i="5"/>
  <c r="F72" i="5"/>
  <c r="I111" i="5" s="1"/>
  <c r="I19" i="5" s="1"/>
  <c r="H72" i="5"/>
  <c r="J72" i="5"/>
  <c r="G73" i="5"/>
  <c r="J73" i="5"/>
  <c r="G74" i="5"/>
  <c r="J74" i="5"/>
  <c r="J75" i="5"/>
  <c r="J76" i="5"/>
  <c r="G78" i="5"/>
  <c r="H79" i="5"/>
  <c r="F81" i="5"/>
  <c r="G81" i="5"/>
  <c r="H81" i="5"/>
  <c r="I81" i="5"/>
  <c r="J90" i="5"/>
  <c r="G91" i="5"/>
  <c r="J91" i="5"/>
  <c r="G92" i="5"/>
  <c r="J92" i="5" s="1"/>
  <c r="J98" i="5" s="1"/>
  <c r="G93" i="5"/>
  <c r="J93" i="5"/>
  <c r="G94" i="5"/>
  <c r="J94" i="5"/>
  <c r="G95" i="5"/>
  <c r="J95" i="5"/>
  <c r="G96" i="5"/>
  <c r="J96" i="5"/>
  <c r="G97" i="5"/>
  <c r="J97" i="5" s="1"/>
  <c r="J99" i="5"/>
  <c r="J100" i="5"/>
  <c r="J101" i="5"/>
  <c r="F102" i="5"/>
  <c r="J102" i="5"/>
  <c r="F103" i="5"/>
  <c r="J103" i="5"/>
  <c r="J104" i="5"/>
  <c r="J105" i="5"/>
  <c r="F77" i="5" l="1"/>
  <c r="J77" i="5" s="1"/>
  <c r="J79" i="5" s="1"/>
  <c r="J106" i="5" s="1"/>
  <c r="I109" i="5" s="1"/>
  <c r="I110" i="5" s="1"/>
  <c r="C17" i="5" s="1"/>
  <c r="H78" i="5"/>
  <c r="J78" i="5" s="1"/>
</calcChain>
</file>

<file path=xl/sharedStrings.xml><?xml version="1.0" encoding="utf-8"?>
<sst xmlns="http://schemas.openxmlformats.org/spreadsheetml/2006/main" count="167" uniqueCount="141">
  <si>
    <t>견   적   서</t>
    <phoneticPr fontId="4" type="noConversion"/>
  </si>
  <si>
    <t>ATTN.</t>
    <phoneticPr fontId="4" type="noConversion"/>
  </si>
  <si>
    <t>FROM.</t>
    <phoneticPr fontId="4" type="noConversion"/>
  </si>
  <si>
    <t xml:space="preserve"> 예스유럽/ 양영란 소장, 한나라 차장 드림</t>
    <phoneticPr fontId="4" type="noConversion"/>
  </si>
  <si>
    <t xml:space="preserve"> T. 02 773 0066 / F. 02 6008 0238</t>
    <phoneticPr fontId="4" type="noConversion"/>
  </si>
  <si>
    <t>REF</t>
    <phoneticPr fontId="4" type="noConversion"/>
  </si>
  <si>
    <t>Room Style</t>
    <phoneticPr fontId="3" type="noConversion"/>
  </si>
  <si>
    <t xml:space="preserve"> </t>
    <phoneticPr fontId="4" type="noConversion"/>
  </si>
  <si>
    <t>EUR</t>
    <phoneticPr fontId="4" type="noConversion"/>
  </si>
  <si>
    <t>EUR</t>
    <phoneticPr fontId="3" type="noConversion"/>
  </si>
  <si>
    <t>싱글추가</t>
    <phoneticPr fontId="3" type="noConversion"/>
  </si>
  <si>
    <t xml:space="preserve"> EUR </t>
    <phoneticPr fontId="3" type="noConversion"/>
  </si>
  <si>
    <t>/전일정</t>
    <phoneticPr fontId="3" type="noConversion"/>
  </si>
  <si>
    <t>1. 호텔</t>
    <phoneticPr fontId="4" type="noConversion"/>
  </si>
  <si>
    <t>: 외곽 1급호텔 + 그룹조식</t>
    <phoneticPr fontId="4" type="noConversion"/>
  </si>
  <si>
    <t>2. 차량</t>
    <phoneticPr fontId="4" type="noConversion"/>
  </si>
  <si>
    <t>3. 가이드</t>
    <phoneticPr fontId="4" type="noConversion"/>
  </si>
  <si>
    <t>4. 식사</t>
    <phoneticPr fontId="4" type="noConversion"/>
  </si>
  <si>
    <t>5. 입장지</t>
    <phoneticPr fontId="3" type="noConversion"/>
  </si>
  <si>
    <t>6. 기타포함</t>
    <phoneticPr fontId="4" type="noConversion"/>
  </si>
  <si>
    <t xml:space="preserve">* 불포함내역 </t>
    <phoneticPr fontId="4" type="noConversion"/>
  </si>
  <si>
    <t>1. 항공비용 불포함 입니다.</t>
    <phoneticPr fontId="3" type="noConversion"/>
  </si>
  <si>
    <t>2. 개인경비, 옵션비용, 포터비 불포함 입니다.</t>
    <phoneticPr fontId="4" type="noConversion"/>
  </si>
  <si>
    <t>3. 견적서상에 명기되지 않은 관광지 입장요금 불포함 입니다.</t>
    <phoneticPr fontId="3" type="noConversion"/>
  </si>
  <si>
    <t xml:space="preserve">* REMARK </t>
    <phoneticPr fontId="4" type="noConversion"/>
  </si>
  <si>
    <t>1. 버스 사용 및 가이드 서비스 시간은 오전 9시부터 오후 7시까지 입니다.</t>
    <phoneticPr fontId="4" type="noConversion"/>
  </si>
  <si>
    <t>2. 상기 요금 및 호텔은 인원 변동과 현지 사정에 의해 다소 변경될 수 있습니다.</t>
    <phoneticPr fontId="4" type="noConversion"/>
  </si>
  <si>
    <t xml:space="preserve">3. 해당기간 학회, 박람회, 현지행사 등으로 인해 다소 외곽의 호텔로 진행 되거나 추가 비용이 발생됩니다. </t>
    <phoneticPr fontId="3" type="noConversion"/>
  </si>
  <si>
    <t xml:space="preserve">귀사의 견적의뢰에 감사의 말씀 드립니다. </t>
    <phoneticPr fontId="4" type="noConversion"/>
  </si>
  <si>
    <r>
      <t xml:space="preserve">견적서 내용 중 궁금하신 사항이 있으면 언제든지 연락 부탁 드립니다. </t>
    </r>
    <r>
      <rPr>
        <b/>
        <sz val="11"/>
        <rFont val="돋움"/>
        <family val="3"/>
        <charset val="129"/>
      </rPr>
      <t/>
    </r>
    <phoneticPr fontId="4" type="noConversion"/>
  </si>
  <si>
    <r>
      <t xml:space="preserve">즐거운 마음으로 성심 성의껏 답해 드릴 것을 약속 드립니다. </t>
    </r>
    <r>
      <rPr>
        <b/>
        <sz val="11"/>
        <rFont val="돋움"/>
        <family val="3"/>
        <charset val="129"/>
      </rPr>
      <t/>
    </r>
    <phoneticPr fontId="4" type="noConversion"/>
  </si>
  <si>
    <t xml:space="preserve">감사합니다. </t>
    <phoneticPr fontId="4" type="noConversion"/>
  </si>
  <si>
    <t>컨디션</t>
    <phoneticPr fontId="4" type="noConversion"/>
  </si>
  <si>
    <t>외곽 1급</t>
    <phoneticPr fontId="3" type="noConversion"/>
  </si>
  <si>
    <t>인원</t>
    <phoneticPr fontId="4" type="noConversion"/>
  </si>
  <si>
    <t>항    목</t>
    <phoneticPr fontId="4" type="noConversion"/>
  </si>
  <si>
    <t>날    짜</t>
    <phoneticPr fontId="4" type="noConversion"/>
  </si>
  <si>
    <t>내        역</t>
    <phoneticPr fontId="4" type="noConversion"/>
  </si>
  <si>
    <t>수량/인원</t>
    <phoneticPr fontId="4" type="noConversion"/>
  </si>
  <si>
    <t>횟수/박수</t>
    <phoneticPr fontId="4" type="noConversion"/>
  </si>
  <si>
    <t>기 타</t>
    <phoneticPr fontId="4" type="noConversion"/>
  </si>
  <si>
    <t>합   계</t>
    <phoneticPr fontId="4" type="noConversion"/>
  </si>
  <si>
    <t>호  텔</t>
    <phoneticPr fontId="3" type="noConversion"/>
  </si>
  <si>
    <t>TWB</t>
    <phoneticPr fontId="3" type="noConversion"/>
  </si>
  <si>
    <t>SGL</t>
    <phoneticPr fontId="3" type="noConversion"/>
  </si>
  <si>
    <t xml:space="preserve">* SUB. Total : </t>
    <phoneticPr fontId="4" type="noConversion"/>
  </si>
  <si>
    <t>식   사</t>
    <phoneticPr fontId="4" type="noConversion"/>
  </si>
  <si>
    <t>기사 매식비</t>
    <phoneticPr fontId="3" type="noConversion"/>
  </si>
  <si>
    <t>식당 TIP&amp;물</t>
    <phoneticPr fontId="3" type="noConversion"/>
  </si>
  <si>
    <t>차량/가이드</t>
    <phoneticPr fontId="4" type="noConversion"/>
  </si>
  <si>
    <t>버스</t>
    <phoneticPr fontId="4" type="noConversion"/>
  </si>
  <si>
    <t>기사 TIP</t>
    <phoneticPr fontId="4" type="noConversion"/>
  </si>
  <si>
    <t>가이드</t>
    <phoneticPr fontId="4" type="noConversion"/>
  </si>
  <si>
    <t>가이드 TIP</t>
    <phoneticPr fontId="4" type="noConversion"/>
  </si>
  <si>
    <t>입장료</t>
    <phoneticPr fontId="4" type="noConversion"/>
  </si>
  <si>
    <t>기  타</t>
    <phoneticPr fontId="4" type="noConversion"/>
  </si>
  <si>
    <t>SUB TOTAL</t>
    <phoneticPr fontId="4" type="noConversion"/>
  </si>
  <si>
    <t>HANDLING CHARGE</t>
    <phoneticPr fontId="4" type="noConversion"/>
  </si>
  <si>
    <t>GRAND TOTAL</t>
  </si>
  <si>
    <t>PER PERSON</t>
    <phoneticPr fontId="4" type="noConversion"/>
  </si>
  <si>
    <t>SGL SUP</t>
    <phoneticPr fontId="4" type="noConversion"/>
  </si>
  <si>
    <t xml:space="preserve"> </t>
    <phoneticPr fontId="3" type="noConversion"/>
  </si>
  <si>
    <t>출발예정일</t>
    <phoneticPr fontId="4" type="noConversion"/>
  </si>
  <si>
    <t>날         짜</t>
    <phoneticPr fontId="4" type="noConversion"/>
  </si>
  <si>
    <t>전화 &amp; 팩스</t>
    <phoneticPr fontId="4" type="noConversion"/>
  </si>
  <si>
    <r>
      <rPr>
        <sz val="10"/>
        <rFont val="맑은 고딕"/>
        <family val="3"/>
        <charset val="129"/>
      </rPr>
      <t xml:space="preserve">4. </t>
    </r>
    <r>
      <rPr>
        <b/>
        <sz val="10"/>
        <color indexed="10"/>
        <rFont val="맑은 고딕"/>
        <family val="3"/>
        <charset val="129"/>
      </rPr>
      <t>공식일정 관련 제반비용 불포함 입니다. (방문비는 방문처별 상이합니다- 불포함)</t>
    </r>
    <phoneticPr fontId="3" type="noConversion"/>
  </si>
  <si>
    <t xml:space="preserve">* 여행조건 </t>
    <phoneticPr fontId="4" type="noConversion"/>
  </si>
  <si>
    <t>-</t>
    <phoneticPr fontId="3" type="noConversion"/>
  </si>
  <si>
    <t>공식방문제반비</t>
    <phoneticPr fontId="3" type="noConversion"/>
  </si>
  <si>
    <t>하나투어코드</t>
    <phoneticPr fontId="4" type="noConversion"/>
  </si>
  <si>
    <t>하나투어 일정</t>
    <phoneticPr fontId="4" type="noConversion"/>
  </si>
  <si>
    <t xml:space="preserve">  [전문 인솔자]</t>
    <phoneticPr fontId="3" type="noConversion"/>
  </si>
  <si>
    <t>또는 동급</t>
    <phoneticPr fontId="3" type="noConversion"/>
  </si>
  <si>
    <t>: CITY TAX, 진입비 &amp;주차비, 공동경비(TIP-기사,가이드,식당 TIP&amp;물)</t>
    <phoneticPr fontId="3" type="noConversion"/>
  </si>
  <si>
    <t xml:space="preserve"> (기사,가이드)</t>
    <phoneticPr fontId="3" type="noConversion"/>
  </si>
  <si>
    <t>-</t>
    <phoneticPr fontId="3" type="noConversion"/>
  </si>
  <si>
    <t>-</t>
    <phoneticPr fontId="3" type="noConversion"/>
  </si>
  <si>
    <t xml:space="preserve"> R0406105 하나MICE) 일학습병행 공동훈련센터지원단 체/헝/오 9FIT</t>
    <phoneticPr fontId="3" type="noConversion"/>
  </si>
  <si>
    <t xml:space="preserve"> 하나MICE/ 김진영 선임님</t>
    <phoneticPr fontId="4" type="noConversion"/>
  </si>
  <si>
    <t xml:space="preserve"> 2025. 02. 04 (화)</t>
    <phoneticPr fontId="4" type="noConversion"/>
  </si>
  <si>
    <t xml:space="preserve"> QE00603225001</t>
    <phoneticPr fontId="4" type="noConversion"/>
  </si>
  <si>
    <t xml:space="preserve"> 2025. 04. 06</t>
    <phoneticPr fontId="3" type="noConversion"/>
  </si>
  <si>
    <t>PER PERSON FOR  8 FULL PAYING PAX AND  00  FREE</t>
    <phoneticPr fontId="3" type="noConversion"/>
  </si>
  <si>
    <t>4/6</t>
    <phoneticPr fontId="3" type="noConversion"/>
  </si>
  <si>
    <t>4/7</t>
    <phoneticPr fontId="3" type="noConversion"/>
  </si>
  <si>
    <t>4/8</t>
    <phoneticPr fontId="3" type="noConversion"/>
  </si>
  <si>
    <t>4/9</t>
    <phoneticPr fontId="3" type="noConversion"/>
  </si>
  <si>
    <t>4/11</t>
    <phoneticPr fontId="3" type="noConversion"/>
  </si>
  <si>
    <t>4/12</t>
    <phoneticPr fontId="3" type="noConversion"/>
  </si>
  <si>
    <t>4TWN</t>
    <phoneticPr fontId="3" type="noConversion"/>
  </si>
  <si>
    <t>CITY TAX</t>
    <phoneticPr fontId="3" type="noConversion"/>
  </si>
  <si>
    <t>매식/인센그룹식</t>
    <phoneticPr fontId="3" type="noConversion"/>
  </si>
  <si>
    <t>중식</t>
    <phoneticPr fontId="3" type="noConversion"/>
  </si>
  <si>
    <t>석식</t>
    <phoneticPr fontId="3" type="noConversion"/>
  </si>
  <si>
    <t>(FIT)</t>
    <phoneticPr fontId="3" type="noConversion"/>
  </si>
  <si>
    <t>** 미니버스 이상 (19인승 이상)</t>
    <phoneticPr fontId="3" type="noConversion"/>
  </si>
  <si>
    <t>ICN/ PRG HD BY OZ</t>
    <phoneticPr fontId="3" type="noConversion"/>
  </si>
  <si>
    <t>PRG(황금소로)- BRQ</t>
    <phoneticPr fontId="3" type="noConversion"/>
  </si>
  <si>
    <t>BRQ-BUD NT</t>
    <phoneticPr fontId="3" type="noConversion"/>
  </si>
  <si>
    <t xml:space="preserve">VIE- HAL(푸니쿨라)- SZG </t>
    <phoneticPr fontId="3" type="noConversion"/>
  </si>
  <si>
    <t>BUD TV- VIE(벨베상궁)</t>
    <phoneticPr fontId="3" type="noConversion"/>
  </si>
  <si>
    <t>VIE TV (쉔부른)</t>
    <phoneticPr fontId="3" type="noConversion"/>
  </si>
  <si>
    <t>ICN</t>
    <phoneticPr fontId="3" type="noConversion"/>
  </si>
  <si>
    <t>*** 8일차 중식은 공항 매식으로 진행됩니다.</t>
    <phoneticPr fontId="3" type="noConversion"/>
  </si>
  <si>
    <t>황금소로</t>
    <phoneticPr fontId="3" type="noConversion"/>
  </si>
  <si>
    <t>쇤부른궁전</t>
    <phoneticPr fontId="3" type="noConversion"/>
  </si>
  <si>
    <t>벨베데레 상궁</t>
    <phoneticPr fontId="3" type="noConversion"/>
  </si>
  <si>
    <t>할슈타트왕복푸니쿨라- 스카이워크전망대</t>
    <phoneticPr fontId="3" type="noConversion"/>
  </si>
  <si>
    <t>호엔짤즈부르크 푸니쿨라</t>
    <phoneticPr fontId="3" type="noConversion"/>
  </si>
  <si>
    <t>ㄴ방문비 / 방문처별 상이</t>
    <phoneticPr fontId="3" type="noConversion"/>
  </si>
  <si>
    <t>공식방문 수배/통역비 2시간, 순차통역기준</t>
    <phoneticPr fontId="3" type="noConversion"/>
  </si>
  <si>
    <t>현지인가이드</t>
    <phoneticPr fontId="3" type="noConversion"/>
  </si>
  <si>
    <t>주차/진입비</t>
    <phoneticPr fontId="3" type="noConversion"/>
  </si>
  <si>
    <t>트램체험</t>
    <phoneticPr fontId="3" type="noConversion"/>
  </si>
  <si>
    <t xml:space="preserve"> (가이드)</t>
    <phoneticPr fontId="3" type="noConversion"/>
  </si>
  <si>
    <t>프라하 OREA Hotel Pyramida Praha 4* or SIM</t>
    <phoneticPr fontId="3" type="noConversion"/>
  </si>
  <si>
    <t>브르노 OREA Congress Hotel Brno 4* or SIM</t>
    <phoneticPr fontId="3" type="noConversion"/>
  </si>
  <si>
    <t>프라하 OREA Hotel Pyramida Praha 4* or SIM</t>
    <phoneticPr fontId="3" type="noConversion"/>
  </si>
  <si>
    <t>비엔나 Leonardo Hotel Vienna City West 4* or SIM</t>
    <phoneticPr fontId="3" type="noConversion"/>
  </si>
  <si>
    <t>부다페스트 IntercityHotel Budapest 4* or SIM</t>
    <phoneticPr fontId="3" type="noConversion"/>
  </si>
  <si>
    <t>짤즈부르크 H+ Hotel Salzburg 4* or SIM</t>
    <phoneticPr fontId="3" type="noConversion"/>
  </si>
  <si>
    <t>크롬노프 동선도시 Hotel Elemen 4* or SIM</t>
    <phoneticPr fontId="3" type="noConversion"/>
  </si>
  <si>
    <t>SZG(호엔짤즈)- CKM 동선도시</t>
    <phoneticPr fontId="3" type="noConversion"/>
  </si>
  <si>
    <t xml:space="preserve">동선도시- CKM CS- PRG/ ICN </t>
    <phoneticPr fontId="3" type="noConversion"/>
  </si>
  <si>
    <t>브르노 OREA Congress Hotel Brno 4* or SIM</t>
    <phoneticPr fontId="3" type="noConversion"/>
  </si>
  <si>
    <t>비엔나 Leonardo Hotel Vienna City West 4* or SIM</t>
    <phoneticPr fontId="3" type="noConversion"/>
  </si>
  <si>
    <t>크롬노프 동선도시 Hotel Elemen 4* or SIM</t>
    <phoneticPr fontId="3" type="noConversion"/>
  </si>
  <si>
    <t>: 미니버스 이상 ~ 대형버스 (배정상황에 따라 상이, 19인승 이상)</t>
    <phoneticPr fontId="4" type="noConversion"/>
  </si>
  <si>
    <t>: 한국인 스루가이드+현지인 필수가이드</t>
    <phoneticPr fontId="4" type="noConversion"/>
  </si>
  <si>
    <t xml:space="preserve">: 일정상 매식 혹은 그룹식당 / 14회 </t>
    <phoneticPr fontId="4" type="noConversion"/>
  </si>
  <si>
    <t>** 8일차 중식은 공항 매식으로 진행됩니다.</t>
    <phoneticPr fontId="3" type="noConversion"/>
  </si>
  <si>
    <t xml:space="preserve">: 황금소로, 프라하야경+트램, 부다페스트 야경투어, 어부의 요새, 쇤부른궁전, 벨베데레 상궁, </t>
    <phoneticPr fontId="4" type="noConversion"/>
  </si>
  <si>
    <t xml:space="preserve"> 할슈타트 소금광산 왕복푸니쿨라(스카이워크전망대), 호엔짤즈부르크 푸니쿨라</t>
    <phoneticPr fontId="3" type="noConversion"/>
  </si>
  <si>
    <t>4. 공식방문은 최소 1-2달의 여유를 갖고 요청 해주셔야하며, 영문공문 및 영문 명단(직위/소속/설명받고싶은내용)이 필요합니다.</t>
    <phoneticPr fontId="3" type="noConversion"/>
  </si>
  <si>
    <r>
      <t xml:space="preserve">8+0 / </t>
    </r>
    <r>
      <rPr>
        <b/>
        <sz val="10"/>
        <color indexed="10"/>
        <rFont val="맑은 고딕"/>
        <family val="3"/>
        <charset val="129"/>
      </rPr>
      <t>4TWN</t>
    </r>
    <phoneticPr fontId="3" type="noConversion"/>
  </si>
  <si>
    <t xml:space="preserve">     5. 표기 외 모든 서비스</t>
    <phoneticPr fontId="3" type="noConversion"/>
  </si>
  <si>
    <t>어부의 요새</t>
    <phoneticPr fontId="3" type="noConversion"/>
  </si>
  <si>
    <t>체코</t>
    <phoneticPr fontId="3" type="noConversion"/>
  </si>
  <si>
    <t>헝가리</t>
    <phoneticPr fontId="3" type="noConversion"/>
  </si>
  <si>
    <t>오스트리아</t>
    <phoneticPr fontId="3" type="noConversion"/>
  </si>
  <si>
    <t>5. FIT 예약의 경으 트윈개런티가 불가 하며, 체크인 시 손님의 카드 개런티가 필요합니다. (ALL SGL 시 그룹 예약 가능)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</si>
</sst>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05" formatCode="#,##0.0_);\(#,##0.0\)"/>
    <numFmt numFmtId="206" formatCode="m&quot;월&quot;\ d&quot;일&quot;;@"/>
  </numFmts>
  <fonts count="28">
    <font>
      <sz val="12"/>
      <name val="바탕체"/>
      <family val="1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sz val="11"/>
      <name val="돋움"/>
      <family val="3"/>
      <charset val="129"/>
    </font>
    <font>
      <b/>
      <sz val="10"/>
      <color indexed="10"/>
      <name val="맑은 고딕"/>
      <family val="3"/>
      <charset val="129"/>
    </font>
    <font>
      <b/>
      <sz val="9"/>
      <name val="맑은 고딕"/>
      <family val="3"/>
      <charset val="129"/>
    </font>
    <font>
      <sz val="12"/>
      <name val="맑은 고딕"/>
      <family val="3"/>
      <charset val="129"/>
    </font>
    <font>
      <b/>
      <sz val="24"/>
      <name val="맑은 고딕"/>
      <family val="3"/>
      <charset val="129"/>
    </font>
    <font>
      <b/>
      <sz val="12"/>
      <name val="맑은 고딕"/>
      <family val="3"/>
      <charset val="129"/>
    </font>
    <font>
      <sz val="13"/>
      <name val="맑은 고딕"/>
      <family val="3"/>
      <charset val="129"/>
    </font>
    <font>
      <b/>
      <sz val="11"/>
      <name val="돋움"/>
      <family val="3"/>
      <charset val="129"/>
    </font>
    <font>
      <b/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b/>
      <sz val="15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7"/>
      <color rgb="FFFF0000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2"/>
      <color rgb="FFC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22">
    <xf numFmtId="0" fontId="0" fillId="0" borderId="0" xfId="0"/>
    <xf numFmtId="0" fontId="10" fillId="0" borderId="0" xfId="0" applyFont="1" applyAlignment="1">
      <alignment horizontal="center"/>
    </xf>
    <xf numFmtId="0" fontId="11" fillId="0" borderId="0" xfId="0" applyFont="1"/>
    <xf numFmtId="0" fontId="5" fillId="2" borderId="0" xfId="0" applyFont="1" applyFill="1" applyAlignment="1">
      <alignment horizontal="left"/>
    </xf>
    <xf numFmtId="0" fontId="13" fillId="3" borderId="0" xfId="0" applyFont="1" applyFill="1" applyBorder="1" applyAlignment="1">
      <alignment horizontal="left" vertical="center" indent="2" shrinkToFit="1"/>
    </xf>
    <xf numFmtId="0" fontId="2" fillId="4" borderId="1" xfId="0" applyFont="1" applyFill="1" applyBorder="1" applyAlignment="1">
      <alignment horizontal="center" vertical="center" shrinkToFit="1"/>
    </xf>
    <xf numFmtId="0" fontId="2" fillId="4" borderId="2" xfId="0" applyFont="1" applyFill="1" applyBorder="1" applyAlignment="1">
      <alignment horizontal="center" vertical="center" shrinkToFit="1"/>
    </xf>
    <xf numFmtId="0" fontId="2" fillId="4" borderId="3" xfId="0" applyFont="1" applyFill="1" applyBorder="1" applyAlignment="1">
      <alignment horizontal="center" vertical="center" shrinkToFit="1"/>
    </xf>
    <xf numFmtId="0" fontId="13" fillId="5" borderId="4" xfId="0" applyFont="1" applyFill="1" applyBorder="1" applyAlignment="1">
      <alignment horizontal="center" vertical="center" shrinkToFit="1"/>
    </xf>
    <xf numFmtId="0" fontId="13" fillId="5" borderId="0" xfId="0" applyFont="1" applyFill="1" applyBorder="1" applyAlignment="1">
      <alignment horizontal="center" vertical="center" shrinkToFit="1"/>
    </xf>
    <xf numFmtId="0" fontId="13" fillId="5" borderId="5" xfId="0" applyFont="1" applyFill="1" applyBorder="1" applyAlignment="1">
      <alignment horizontal="center" vertical="center" shrinkToFit="1"/>
    </xf>
    <xf numFmtId="0" fontId="11" fillId="0" borderId="0" xfId="0" applyFont="1" applyBorder="1"/>
    <xf numFmtId="0" fontId="7" fillId="5" borderId="4" xfId="0" applyFont="1" applyFill="1" applyBorder="1" applyAlignment="1">
      <alignment vertical="center" shrinkToFit="1"/>
    </xf>
    <xf numFmtId="0" fontId="7" fillId="5" borderId="0" xfId="0" applyFont="1" applyFill="1" applyBorder="1" applyAlignment="1">
      <alignment horizontal="right" vertical="center" shrinkToFit="1"/>
    </xf>
    <xf numFmtId="0" fontId="14" fillId="5" borderId="0" xfId="0" applyFont="1" applyFill="1" applyBorder="1" applyAlignment="1">
      <alignment vertical="center"/>
    </xf>
    <xf numFmtId="0" fontId="7" fillId="5" borderId="0" xfId="0" applyFont="1" applyFill="1" applyBorder="1" applyAlignment="1">
      <alignment vertical="center" shrinkToFit="1"/>
    </xf>
    <xf numFmtId="0" fontId="7" fillId="5" borderId="5" xfId="0" applyFont="1" applyFill="1" applyBorder="1" applyAlignment="1">
      <alignment vertical="center" shrinkToFit="1"/>
    </xf>
    <xf numFmtId="0" fontId="2" fillId="5" borderId="6" xfId="0" applyFont="1" applyFill="1" applyBorder="1" applyAlignment="1">
      <alignment vertical="center" shrinkToFit="1"/>
    </xf>
    <xf numFmtId="0" fontId="2" fillId="5" borderId="7" xfId="0" applyFont="1" applyFill="1" applyBorder="1" applyAlignment="1">
      <alignment vertical="center" shrinkToFit="1"/>
    </xf>
    <xf numFmtId="0" fontId="2" fillId="5" borderId="8" xfId="0" applyFont="1" applyFill="1" applyBorder="1" applyAlignment="1">
      <alignment vertical="center" shrinkToFit="1"/>
    </xf>
    <xf numFmtId="0" fontId="2" fillId="3" borderId="0" xfId="0" applyFont="1" applyFill="1" applyBorder="1" applyAlignment="1">
      <alignment horizontal="center" vertical="center" shrinkToFit="1"/>
    </xf>
    <xf numFmtId="0" fontId="6" fillId="2" borderId="0" xfId="0" applyFont="1" applyFill="1" applyBorder="1" applyAlignment="1">
      <alignment horizontal="center" vertical="center" shrinkToFit="1"/>
    </xf>
    <xf numFmtId="0" fontId="2" fillId="3" borderId="0" xfId="0" applyFont="1" applyFill="1" applyBorder="1" applyAlignment="1">
      <alignment horizontal="left" vertical="center" indent="1" shrinkToFit="1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shrinkToFit="1"/>
    </xf>
    <xf numFmtId="0" fontId="1" fillId="3" borderId="0" xfId="0" applyFont="1" applyFill="1" applyBorder="1" applyAlignment="1">
      <alignment horizontal="left" vertical="center" indent="1" shrinkToFit="1"/>
    </xf>
    <xf numFmtId="0" fontId="2" fillId="3" borderId="0" xfId="0" applyFont="1" applyFill="1" applyBorder="1" applyAlignment="1">
      <alignment horizontal="left" vertical="center" shrinkToFit="1"/>
    </xf>
    <xf numFmtId="0" fontId="16" fillId="3" borderId="0" xfId="0" applyFont="1" applyFill="1" applyBorder="1" applyAlignment="1">
      <alignment horizontal="center" vertical="center" shrinkToFit="1"/>
    </xf>
    <xf numFmtId="0" fontId="17" fillId="2" borderId="0" xfId="0" applyFont="1" applyFill="1" applyBorder="1" applyAlignment="1">
      <alignment horizontal="center" vertical="center" shrinkToFit="1"/>
    </xf>
    <xf numFmtId="0" fontId="17" fillId="0" borderId="0" xfId="0" applyFont="1"/>
    <xf numFmtId="0" fontId="16" fillId="3" borderId="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0" borderId="0" xfId="0" applyFont="1"/>
    <xf numFmtId="0" fontId="10" fillId="4" borderId="9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 shrinkToFit="1"/>
    </xf>
    <xf numFmtId="0" fontId="10" fillId="4" borderId="13" xfId="0" applyFont="1" applyFill="1" applyBorder="1" applyAlignment="1">
      <alignment horizontal="center" vertical="center"/>
    </xf>
    <xf numFmtId="0" fontId="18" fillId="0" borderId="0" xfId="0" applyFont="1"/>
    <xf numFmtId="37" fontId="18" fillId="2" borderId="14" xfId="0" applyNumberFormat="1" applyFont="1" applyFill="1" applyBorder="1" applyAlignment="1">
      <alignment vertical="center"/>
    </xf>
    <xf numFmtId="37" fontId="18" fillId="2" borderId="15" xfId="0" applyNumberFormat="1" applyFont="1" applyFill="1" applyBorder="1" applyAlignment="1">
      <alignment horizontal="right" vertical="center"/>
    </xf>
    <xf numFmtId="37" fontId="18" fillId="2" borderId="16" xfId="0" applyNumberFormat="1" applyFont="1" applyFill="1" applyBorder="1" applyAlignment="1">
      <alignment horizontal="right" vertical="center"/>
    </xf>
    <xf numFmtId="37" fontId="18" fillId="2" borderId="16" xfId="0" applyNumberFormat="1" applyFont="1" applyFill="1" applyBorder="1" applyAlignment="1">
      <alignment horizontal="center" vertical="center"/>
    </xf>
    <xf numFmtId="37" fontId="18" fillId="2" borderId="17" xfId="0" applyNumberFormat="1" applyFont="1" applyFill="1" applyBorder="1" applyAlignment="1">
      <alignment horizontal="right" vertical="center"/>
    </xf>
    <xf numFmtId="37" fontId="18" fillId="2" borderId="18" xfId="0" applyNumberFormat="1" applyFont="1" applyFill="1" applyBorder="1" applyAlignment="1">
      <alignment vertical="center"/>
    </xf>
    <xf numFmtId="37" fontId="18" fillId="2" borderId="15" xfId="0" applyNumberFormat="1" applyFont="1" applyFill="1" applyBorder="1" applyAlignment="1">
      <alignment vertical="center"/>
    </xf>
    <xf numFmtId="37" fontId="10" fillId="2" borderId="19" xfId="0" applyNumberFormat="1" applyFont="1" applyFill="1" applyBorder="1" applyAlignment="1">
      <alignment vertical="center"/>
    </xf>
    <xf numFmtId="37" fontId="10" fillId="2" borderId="19" xfId="0" applyNumberFormat="1" applyFont="1" applyFill="1" applyBorder="1" applyAlignment="1">
      <alignment horizontal="right" vertical="center"/>
    </xf>
    <xf numFmtId="37" fontId="10" fillId="2" borderId="19" xfId="0" applyNumberFormat="1" applyFont="1" applyFill="1" applyBorder="1" applyAlignment="1">
      <alignment horizontal="center" vertical="center"/>
    </xf>
    <xf numFmtId="37" fontId="10" fillId="5" borderId="20" xfId="0" applyNumberFormat="1" applyFont="1" applyFill="1" applyBorder="1" applyAlignment="1">
      <alignment horizontal="right" vertical="center"/>
    </xf>
    <xf numFmtId="37" fontId="18" fillId="2" borderId="21" xfId="0" applyNumberFormat="1" applyFont="1" applyFill="1" applyBorder="1" applyAlignment="1">
      <alignment horizontal="center" vertical="center"/>
    </xf>
    <xf numFmtId="37" fontId="18" fillId="2" borderId="16" xfId="0" applyNumberFormat="1" applyFont="1" applyFill="1" applyBorder="1" applyAlignment="1">
      <alignment horizontal="center" vertical="center" shrinkToFit="1"/>
    </xf>
    <xf numFmtId="37" fontId="18" fillId="2" borderId="22" xfId="0" applyNumberFormat="1" applyFont="1" applyFill="1" applyBorder="1" applyAlignment="1">
      <alignment horizontal="left" vertical="center"/>
    </xf>
    <xf numFmtId="37" fontId="18" fillId="2" borderId="6" xfId="0" applyNumberFormat="1" applyFont="1" applyFill="1" applyBorder="1" applyAlignment="1">
      <alignment vertical="center"/>
    </xf>
    <xf numFmtId="37" fontId="18" fillId="2" borderId="7" xfId="0" applyNumberFormat="1" applyFont="1" applyFill="1" applyBorder="1" applyAlignment="1">
      <alignment vertical="center"/>
    </xf>
    <xf numFmtId="37" fontId="18" fillId="2" borderId="8" xfId="0" applyNumberFormat="1" applyFont="1" applyFill="1" applyBorder="1" applyAlignment="1">
      <alignment vertical="center"/>
    </xf>
    <xf numFmtId="37" fontId="18" fillId="2" borderId="22" xfId="0" applyNumberFormat="1" applyFont="1" applyFill="1" applyBorder="1" applyAlignment="1">
      <alignment horizontal="right" vertical="center"/>
    </xf>
    <xf numFmtId="37" fontId="18" fillId="2" borderId="22" xfId="0" applyNumberFormat="1" applyFont="1" applyFill="1" applyBorder="1" applyAlignment="1">
      <alignment horizontal="center" vertical="center"/>
    </xf>
    <xf numFmtId="37" fontId="10" fillId="2" borderId="22" xfId="0" applyNumberFormat="1" applyFont="1" applyFill="1" applyBorder="1" applyAlignment="1">
      <alignment horizontal="left" vertical="center"/>
    </xf>
    <xf numFmtId="37" fontId="10" fillId="2" borderId="23" xfId="0" applyNumberFormat="1" applyFont="1" applyFill="1" applyBorder="1" applyAlignment="1">
      <alignment vertical="center"/>
    </xf>
    <xf numFmtId="37" fontId="10" fillId="2" borderId="24" xfId="0" applyNumberFormat="1" applyFont="1" applyFill="1" applyBorder="1" applyAlignment="1">
      <alignment horizontal="center" vertical="center"/>
    </xf>
    <xf numFmtId="37" fontId="10" fillId="2" borderId="25" xfId="0" applyNumberFormat="1" applyFont="1" applyFill="1" applyBorder="1" applyAlignment="1">
      <alignment horizontal="right" vertical="center"/>
    </xf>
    <xf numFmtId="206" fontId="18" fillId="2" borderId="16" xfId="0" applyNumberFormat="1" applyFont="1" applyFill="1" applyBorder="1" applyAlignment="1">
      <alignment horizontal="center" vertical="center"/>
    </xf>
    <xf numFmtId="37" fontId="18" fillId="2" borderId="14" xfId="0" applyNumberFormat="1" applyFont="1" applyFill="1" applyBorder="1" applyAlignment="1">
      <alignment vertical="center" shrinkToFit="1"/>
    </xf>
    <xf numFmtId="37" fontId="18" fillId="2" borderId="15" xfId="0" applyNumberFormat="1" applyFont="1" applyFill="1" applyBorder="1" applyAlignment="1">
      <alignment vertical="center" shrinkToFit="1"/>
    </xf>
    <xf numFmtId="205" fontId="21" fillId="2" borderId="17" xfId="0" applyNumberFormat="1" applyFont="1" applyFill="1" applyBorder="1" applyAlignment="1">
      <alignment horizontal="center" vertical="center"/>
    </xf>
    <xf numFmtId="37" fontId="21" fillId="2" borderId="17" xfId="0" applyNumberFormat="1" applyFont="1" applyFill="1" applyBorder="1" applyAlignment="1">
      <alignment horizontal="center" vertical="center"/>
    </xf>
    <xf numFmtId="37" fontId="10" fillId="2" borderId="22" xfId="0" applyNumberFormat="1" applyFont="1" applyFill="1" applyBorder="1" applyAlignment="1">
      <alignment horizontal="left"/>
    </xf>
    <xf numFmtId="37" fontId="10" fillId="2" borderId="26" xfId="0" applyNumberFormat="1" applyFont="1" applyFill="1" applyBorder="1" applyAlignment="1">
      <alignment horizontal="center" vertical="center"/>
    </xf>
    <xf numFmtId="37" fontId="18" fillId="0" borderId="15" xfId="0" applyNumberFormat="1" applyFont="1" applyBorder="1" applyAlignment="1">
      <alignment vertical="center"/>
    </xf>
    <xf numFmtId="37" fontId="18" fillId="2" borderId="27" xfId="0" applyNumberFormat="1" applyFont="1" applyFill="1" applyBorder="1" applyAlignment="1">
      <alignment horizontal="left"/>
    </xf>
    <xf numFmtId="37" fontId="10" fillId="2" borderId="19" xfId="0" applyNumberFormat="1" applyFont="1" applyFill="1" applyBorder="1" applyAlignment="1"/>
    <xf numFmtId="37" fontId="18" fillId="2" borderId="0" xfId="0" applyNumberFormat="1" applyFont="1" applyFill="1" applyBorder="1" applyAlignment="1">
      <alignment vertical="center" shrinkToFit="1"/>
    </xf>
    <xf numFmtId="37" fontId="18" fillId="2" borderId="5" xfId="0" applyNumberFormat="1" applyFont="1" applyFill="1" applyBorder="1" applyAlignment="1">
      <alignment vertical="center"/>
    </xf>
    <xf numFmtId="37" fontId="18" fillId="2" borderId="21" xfId="0" applyNumberFormat="1" applyFont="1" applyFill="1" applyBorder="1" applyAlignment="1">
      <alignment horizontal="right" vertical="center"/>
    </xf>
    <xf numFmtId="37" fontId="18" fillId="2" borderId="28" xfId="0" applyNumberFormat="1" applyFont="1" applyFill="1" applyBorder="1" applyAlignment="1">
      <alignment horizontal="left" vertical="center"/>
    </xf>
    <xf numFmtId="37" fontId="10" fillId="2" borderId="29" xfId="0" applyNumberFormat="1" applyFont="1" applyFill="1" applyBorder="1" applyAlignment="1">
      <alignment horizontal="right" vertical="center"/>
    </xf>
    <xf numFmtId="37" fontId="10" fillId="2" borderId="29" xfId="0" applyNumberFormat="1" applyFont="1" applyFill="1" applyBorder="1" applyAlignment="1"/>
    <xf numFmtId="37" fontId="10" fillId="2" borderId="29" xfId="0" applyNumberFormat="1" applyFont="1" applyFill="1" applyBorder="1" applyAlignment="1">
      <alignment horizontal="center" vertical="center"/>
    </xf>
    <xf numFmtId="37" fontId="10" fillId="2" borderId="30" xfId="0" applyNumberFormat="1" applyFont="1" applyFill="1" applyBorder="1" applyAlignment="1">
      <alignment horizontal="center" vertical="center"/>
    </xf>
    <xf numFmtId="37" fontId="2" fillId="2" borderId="31" xfId="0" applyNumberFormat="1" applyFont="1" applyFill="1" applyBorder="1" applyAlignment="1">
      <alignment horizontal="center" vertical="center"/>
    </xf>
    <xf numFmtId="37" fontId="2" fillId="2" borderId="31" xfId="0" applyNumberFormat="1" applyFont="1" applyFill="1" applyBorder="1" applyAlignment="1">
      <alignment vertical="center"/>
    </xf>
    <xf numFmtId="37" fontId="2" fillId="2" borderId="31" xfId="0" applyNumberFormat="1" applyFont="1" applyFill="1" applyBorder="1" applyAlignment="1">
      <alignment horizontal="right" vertical="center"/>
    </xf>
    <xf numFmtId="37" fontId="2" fillId="2" borderId="10" xfId="0" applyNumberFormat="1" applyFont="1" applyFill="1" applyBorder="1" applyAlignment="1">
      <alignment horizontal="right" vertical="center"/>
    </xf>
    <xf numFmtId="37" fontId="1" fillId="2" borderId="32" xfId="0" applyNumberFormat="1" applyFont="1" applyFill="1" applyBorder="1" applyAlignment="1">
      <alignment horizontal="center" vertical="center"/>
    </xf>
    <xf numFmtId="37" fontId="1" fillId="2" borderId="32" xfId="0" applyNumberFormat="1" applyFont="1" applyFill="1" applyBorder="1" applyAlignment="1">
      <alignment vertical="center"/>
    </xf>
    <xf numFmtId="37" fontId="1" fillId="2" borderId="32" xfId="0" quotePrefix="1" applyNumberFormat="1" applyFont="1" applyFill="1" applyBorder="1" applyAlignment="1">
      <alignment horizontal="center" vertical="center"/>
    </xf>
    <xf numFmtId="37" fontId="16" fillId="2" borderId="0" xfId="0" applyNumberFormat="1" applyFont="1" applyFill="1" applyAlignment="1">
      <alignment horizontal="center" vertical="center"/>
    </xf>
    <xf numFmtId="37" fontId="2" fillId="2" borderId="20" xfId="0" applyNumberFormat="1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37" fontId="18" fillId="2" borderId="27" xfId="0" applyNumberFormat="1" applyFont="1" applyFill="1" applyBorder="1" applyAlignment="1">
      <alignment horizontal="center" vertical="center"/>
    </xf>
    <xf numFmtId="205" fontId="22" fillId="2" borderId="17" xfId="0" applyNumberFormat="1" applyFont="1" applyFill="1" applyBorder="1" applyAlignment="1">
      <alignment horizontal="center" vertical="center"/>
    </xf>
    <xf numFmtId="38" fontId="19" fillId="5" borderId="7" xfId="0" applyNumberFormat="1" applyFont="1" applyFill="1" applyBorder="1" applyAlignment="1">
      <alignment vertical="center" shrinkToFit="1"/>
    </xf>
    <xf numFmtId="37" fontId="19" fillId="5" borderId="0" xfId="0" applyNumberFormat="1" applyFont="1" applyFill="1" applyBorder="1" applyAlignment="1">
      <alignment vertical="center" shrinkToFit="1"/>
    </xf>
    <xf numFmtId="37" fontId="18" fillId="6" borderId="18" xfId="0" applyNumberFormat="1" applyFont="1" applyFill="1" applyBorder="1" applyAlignment="1">
      <alignment vertical="center"/>
    </xf>
    <xf numFmtId="37" fontId="18" fillId="6" borderId="16" xfId="0" applyNumberFormat="1" applyFont="1" applyFill="1" applyBorder="1" applyAlignment="1">
      <alignment horizontal="right" vertical="center"/>
    </xf>
    <xf numFmtId="37" fontId="18" fillId="6" borderId="16" xfId="0" applyNumberFormat="1" applyFont="1" applyFill="1" applyBorder="1" applyAlignment="1">
      <alignment horizontal="center" vertical="center"/>
    </xf>
    <xf numFmtId="37" fontId="18" fillId="6" borderId="17" xfId="0" applyNumberFormat="1" applyFont="1" applyFill="1" applyBorder="1" applyAlignment="1">
      <alignment horizontal="right" vertical="center"/>
    </xf>
    <xf numFmtId="37" fontId="18" fillId="2" borderId="24" xfId="0" applyNumberFormat="1" applyFont="1" applyFill="1" applyBorder="1" applyAlignment="1">
      <alignment vertical="center"/>
    </xf>
    <xf numFmtId="37" fontId="18" fillId="6" borderId="14" xfId="0" applyNumberFormat="1" applyFont="1" applyFill="1" applyBorder="1" applyAlignment="1">
      <alignment vertical="center" shrinkToFit="1"/>
    </xf>
    <xf numFmtId="37" fontId="18" fillId="6" borderId="15" xfId="0" applyNumberFormat="1" applyFont="1" applyFill="1" applyBorder="1" applyAlignment="1">
      <alignment vertical="center" shrinkToFit="1"/>
    </xf>
    <xf numFmtId="37" fontId="23" fillId="2" borderId="33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 indent="1" shrinkToFit="1"/>
    </xf>
    <xf numFmtId="0" fontId="2" fillId="3" borderId="0" xfId="0" applyFont="1" applyFill="1" applyBorder="1" applyAlignment="1">
      <alignment horizontal="left" vertical="center" indent="1" shrinkToFit="1"/>
    </xf>
    <xf numFmtId="0" fontId="1" fillId="3" borderId="0" xfId="0" applyFont="1" applyFill="1" applyBorder="1" applyAlignment="1">
      <alignment horizontal="left" vertical="center" shrinkToFit="1"/>
    </xf>
    <xf numFmtId="37" fontId="18" fillId="3" borderId="18" xfId="0" applyNumberFormat="1" applyFont="1" applyFill="1" applyBorder="1" applyAlignment="1">
      <alignment vertical="center"/>
    </xf>
    <xf numFmtId="37" fontId="18" fillId="3" borderId="14" xfId="0" applyNumberFormat="1" applyFont="1" applyFill="1" applyBorder="1" applyAlignment="1">
      <alignment vertical="center"/>
    </xf>
    <xf numFmtId="37" fontId="18" fillId="3" borderId="15" xfId="0" applyNumberFormat="1" applyFont="1" applyFill="1" applyBorder="1" applyAlignment="1">
      <alignment vertical="center"/>
    </xf>
    <xf numFmtId="37" fontId="18" fillId="3" borderId="16" xfId="0" applyNumberFormat="1" applyFont="1" applyFill="1" applyBorder="1" applyAlignment="1">
      <alignment horizontal="right" vertical="center"/>
    </xf>
    <xf numFmtId="37" fontId="18" fillId="3" borderId="16" xfId="0" applyNumberFormat="1" applyFont="1" applyFill="1" applyBorder="1" applyAlignment="1">
      <alignment horizontal="center" vertical="center"/>
    </xf>
    <xf numFmtId="37" fontId="18" fillId="3" borderId="17" xfId="0" applyNumberFormat="1" applyFont="1" applyFill="1" applyBorder="1" applyAlignment="1">
      <alignment horizontal="right" vertical="center"/>
    </xf>
    <xf numFmtId="37" fontId="24" fillId="2" borderId="16" xfId="0" applyNumberFormat="1" applyFont="1" applyFill="1" applyBorder="1" applyAlignment="1">
      <alignment horizontal="left" vertical="center"/>
    </xf>
    <xf numFmtId="37" fontId="24" fillId="2" borderId="18" xfId="0" applyNumberFormat="1" applyFont="1" applyFill="1" applyBorder="1" applyAlignment="1">
      <alignment vertical="center"/>
    </xf>
    <xf numFmtId="37" fontId="24" fillId="2" borderId="14" xfId="0" applyNumberFormat="1" applyFont="1" applyFill="1" applyBorder="1" applyAlignment="1">
      <alignment vertical="center" shrinkToFit="1"/>
    </xf>
    <xf numFmtId="37" fontId="24" fillId="2" borderId="15" xfId="0" applyNumberFormat="1" applyFont="1" applyFill="1" applyBorder="1" applyAlignment="1">
      <alignment vertical="center" shrinkToFit="1"/>
    </xf>
    <xf numFmtId="37" fontId="24" fillId="2" borderId="16" xfId="0" applyNumberFormat="1" applyFont="1" applyFill="1" applyBorder="1" applyAlignment="1">
      <alignment horizontal="right" vertical="center"/>
    </xf>
    <xf numFmtId="37" fontId="24" fillId="2" borderId="16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37" fontId="18" fillId="3" borderId="18" xfId="0" applyNumberFormat="1" applyFont="1" applyFill="1" applyBorder="1" applyAlignment="1">
      <alignment vertical="center"/>
    </xf>
    <xf numFmtId="37" fontId="18" fillId="3" borderId="14" xfId="0" applyNumberFormat="1" applyFont="1" applyFill="1" applyBorder="1" applyAlignment="1">
      <alignment vertical="center"/>
    </xf>
    <xf numFmtId="37" fontId="18" fillId="3" borderId="15" xfId="0" applyNumberFormat="1" applyFont="1" applyFill="1" applyBorder="1" applyAlignment="1">
      <alignment vertical="center"/>
    </xf>
    <xf numFmtId="0" fontId="1" fillId="3" borderId="0" xfId="0" applyFont="1" applyFill="1" applyBorder="1" applyAlignment="1">
      <alignment horizontal="left" vertical="center" indent="1" shrinkToFit="1"/>
    </xf>
    <xf numFmtId="0" fontId="2" fillId="3" borderId="0" xfId="0" applyFont="1" applyFill="1" applyBorder="1" applyAlignment="1">
      <alignment horizontal="left" vertical="center" indent="1" shrinkToFit="1"/>
    </xf>
    <xf numFmtId="0" fontId="1" fillId="3" borderId="0" xfId="0" applyFont="1" applyFill="1" applyBorder="1" applyAlignment="1">
      <alignment horizontal="left" vertical="center" shrinkToFit="1"/>
    </xf>
    <xf numFmtId="37" fontId="18" fillId="2" borderId="16" xfId="0" quotePrefix="1" applyNumberFormat="1" applyFont="1" applyFill="1" applyBorder="1" applyAlignment="1">
      <alignment horizontal="center" vertical="center"/>
    </xf>
    <xf numFmtId="37" fontId="23" fillId="7" borderId="18" xfId="0" applyNumberFormat="1" applyFont="1" applyFill="1" applyBorder="1" applyAlignment="1">
      <alignment vertical="center"/>
    </xf>
    <xf numFmtId="37" fontId="18" fillId="7" borderId="14" xfId="0" applyNumberFormat="1" applyFont="1" applyFill="1" applyBorder="1" applyAlignment="1">
      <alignment vertical="center"/>
    </xf>
    <xf numFmtId="37" fontId="18" fillId="7" borderId="15" xfId="0" applyNumberFormat="1" applyFont="1" applyFill="1" applyBorder="1" applyAlignment="1">
      <alignment vertical="center"/>
    </xf>
    <xf numFmtId="0" fontId="26" fillId="3" borderId="0" xfId="0" applyFont="1" applyFill="1" applyBorder="1" applyAlignment="1">
      <alignment vertical="center"/>
    </xf>
    <xf numFmtId="37" fontId="18" fillId="3" borderId="18" xfId="0" applyNumberFormat="1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left" vertical="center" shrinkToFit="1"/>
    </xf>
    <xf numFmtId="0" fontId="12" fillId="2" borderId="0" xfId="0" applyFont="1" applyFill="1" applyBorder="1" applyAlignment="1">
      <alignment horizontal="center" vertical="top"/>
    </xf>
    <xf numFmtId="0" fontId="2" fillId="0" borderId="47" xfId="0" applyFont="1" applyBorder="1" applyAlignment="1">
      <alignment horizontal="left" vertical="center" shrinkToFit="1"/>
    </xf>
    <xf numFmtId="0" fontId="2" fillId="0" borderId="48" xfId="0" applyFont="1" applyBorder="1" applyAlignment="1">
      <alignment horizontal="left" vertical="center" shrinkToFit="1"/>
    </xf>
    <xf numFmtId="0" fontId="2" fillId="4" borderId="49" xfId="0" applyFont="1" applyFill="1" applyBorder="1" applyAlignment="1">
      <alignment horizontal="center" vertical="center" shrinkToFit="1"/>
    </xf>
    <xf numFmtId="0" fontId="2" fillId="4" borderId="50" xfId="0" applyFont="1" applyFill="1" applyBorder="1" applyAlignment="1">
      <alignment horizontal="center" vertical="center" shrinkToFit="1"/>
    </xf>
    <xf numFmtId="0" fontId="2" fillId="0" borderId="49" xfId="0" applyFont="1" applyBorder="1" applyAlignment="1">
      <alignment vertical="center" shrinkToFit="1"/>
    </xf>
    <xf numFmtId="0" fontId="2" fillId="0" borderId="48" xfId="0" applyFont="1" applyBorder="1" applyAlignment="1">
      <alignment vertical="center" shrinkToFit="1"/>
    </xf>
    <xf numFmtId="0" fontId="2" fillId="0" borderId="51" xfId="0" applyFont="1" applyBorder="1" applyAlignment="1">
      <alignment vertical="center" shrinkToFit="1"/>
    </xf>
    <xf numFmtId="0" fontId="2" fillId="0" borderId="2" xfId="0" applyFont="1" applyBorder="1" applyAlignment="1">
      <alignment horizontal="left" vertical="center" shrinkToFit="1"/>
    </xf>
    <xf numFmtId="0" fontId="2" fillId="0" borderId="19" xfId="0" applyFont="1" applyBorder="1" applyAlignment="1">
      <alignment horizontal="left" vertical="center" shrinkToFit="1"/>
    </xf>
    <xf numFmtId="0" fontId="2" fillId="4" borderId="23" xfId="0" applyFont="1" applyFill="1" applyBorder="1" applyAlignment="1">
      <alignment horizontal="center" vertical="center" shrinkToFit="1"/>
    </xf>
    <xf numFmtId="0" fontId="2" fillId="4" borderId="35" xfId="0" applyFont="1" applyFill="1" applyBorder="1" applyAlignment="1">
      <alignment horizontal="center" vertical="center" shrinkToFit="1"/>
    </xf>
    <xf numFmtId="0" fontId="2" fillId="0" borderId="23" xfId="0" applyFont="1" applyBorder="1" applyAlignment="1">
      <alignment horizontal="left" vertical="center" shrinkToFit="1"/>
    </xf>
    <xf numFmtId="0" fontId="2" fillId="0" borderId="26" xfId="0" applyFont="1" applyBorder="1" applyAlignment="1">
      <alignment horizontal="left" vertical="center" shrinkToFit="1"/>
    </xf>
    <xf numFmtId="0" fontId="1" fillId="3" borderId="0" xfId="0" applyFont="1" applyFill="1" applyBorder="1" applyAlignment="1">
      <alignment horizontal="left" vertical="center" indent="1" shrinkToFit="1"/>
    </xf>
    <xf numFmtId="0" fontId="11" fillId="0" borderId="19" xfId="0" applyFont="1" applyBorder="1" applyAlignment="1">
      <alignment horizontal="left" vertical="center" shrinkToFit="1"/>
    </xf>
    <xf numFmtId="0" fontId="11" fillId="0" borderId="26" xfId="0" applyFont="1" applyBorder="1" applyAlignment="1">
      <alignment horizontal="left" vertical="center" shrinkToFit="1"/>
    </xf>
    <xf numFmtId="31" fontId="2" fillId="0" borderId="3" xfId="0" applyNumberFormat="1" applyFont="1" applyBorder="1" applyAlignment="1">
      <alignment horizontal="left" vertical="center" shrinkToFit="1"/>
    </xf>
    <xf numFmtId="0" fontId="2" fillId="0" borderId="29" xfId="0" applyFont="1" applyBorder="1" applyAlignment="1">
      <alignment horizontal="left" vertical="center" shrinkToFit="1"/>
    </xf>
    <xf numFmtId="0" fontId="2" fillId="4" borderId="40" xfId="0" applyFont="1" applyFill="1" applyBorder="1" applyAlignment="1">
      <alignment horizontal="center" vertical="center" shrinkToFit="1"/>
    </xf>
    <xf numFmtId="0" fontId="2" fillId="4" borderId="46" xfId="0" applyFont="1" applyFill="1" applyBorder="1" applyAlignment="1">
      <alignment horizontal="center" vertical="center" shrinkToFit="1"/>
    </xf>
    <xf numFmtId="0" fontId="2" fillId="0" borderId="40" xfId="0" applyFont="1" applyBorder="1" applyAlignment="1">
      <alignment horizontal="center" vertical="center" shrinkToFit="1"/>
    </xf>
    <xf numFmtId="0" fontId="2" fillId="0" borderId="29" xfId="0" applyFont="1" applyBorder="1" applyAlignment="1">
      <alignment horizontal="center" vertical="center" shrinkToFit="1"/>
    </xf>
    <xf numFmtId="0" fontId="2" fillId="0" borderId="30" xfId="0" applyFont="1" applyBorder="1" applyAlignment="1">
      <alignment horizontal="center" vertical="center" shrinkToFit="1"/>
    </xf>
    <xf numFmtId="0" fontId="2" fillId="3" borderId="0" xfId="0" applyFont="1" applyFill="1" applyBorder="1" applyAlignment="1">
      <alignment horizontal="left" vertical="center" shrinkToFit="1"/>
    </xf>
    <xf numFmtId="0" fontId="1" fillId="3" borderId="0" xfId="0" applyFont="1" applyFill="1" applyBorder="1" applyAlignment="1">
      <alignment horizontal="left" vertical="center"/>
    </xf>
    <xf numFmtId="0" fontId="27" fillId="5" borderId="42" xfId="0" applyFont="1" applyFill="1" applyBorder="1" applyAlignment="1">
      <alignment horizontal="left" vertical="center" shrinkToFit="1"/>
    </xf>
    <xf numFmtId="0" fontId="27" fillId="5" borderId="43" xfId="0" applyFont="1" applyFill="1" applyBorder="1" applyAlignment="1">
      <alignment horizontal="left" vertical="center" shrinkToFit="1"/>
    </xf>
    <xf numFmtId="0" fontId="27" fillId="5" borderId="44" xfId="0" applyFont="1" applyFill="1" applyBorder="1" applyAlignment="1">
      <alignment horizontal="left" vertical="center" shrinkToFit="1"/>
    </xf>
    <xf numFmtId="0" fontId="1" fillId="3" borderId="0" xfId="0" applyFont="1" applyFill="1" applyBorder="1" applyAlignment="1">
      <alignment horizontal="left" vertical="center" shrinkToFit="1"/>
    </xf>
    <xf numFmtId="0" fontId="26" fillId="3" borderId="0" xfId="0" applyFont="1" applyFill="1" applyBorder="1" applyAlignment="1">
      <alignment horizontal="left" vertical="center" indent="1" shrinkToFit="1"/>
    </xf>
    <xf numFmtId="0" fontId="5" fillId="3" borderId="0" xfId="0" applyFont="1" applyFill="1" applyBorder="1" applyAlignment="1">
      <alignment horizontal="left" vertical="center" indent="1" shrinkToFit="1"/>
    </xf>
    <xf numFmtId="0" fontId="2" fillId="7" borderId="0" xfId="0" applyFont="1" applyFill="1" applyBorder="1" applyAlignment="1">
      <alignment horizontal="left" vertical="center" indent="1" shrinkToFit="1"/>
    </xf>
    <xf numFmtId="0" fontId="2" fillId="3" borderId="0" xfId="0" applyFont="1" applyFill="1" applyBorder="1" applyAlignment="1">
      <alignment vertical="center"/>
    </xf>
    <xf numFmtId="37" fontId="10" fillId="2" borderId="37" xfId="0" applyNumberFormat="1" applyFont="1" applyFill="1" applyBorder="1" applyAlignment="1">
      <alignment horizontal="center" vertical="center"/>
    </xf>
    <xf numFmtId="37" fontId="10" fillId="2" borderId="38" xfId="0" applyNumberFormat="1" applyFont="1" applyFill="1" applyBorder="1" applyAlignment="1">
      <alignment horizontal="center" vertical="center"/>
    </xf>
    <xf numFmtId="37" fontId="10" fillId="2" borderId="41" xfId="0" applyNumberFormat="1" applyFont="1" applyFill="1" applyBorder="1" applyAlignment="1">
      <alignment horizontal="center" vertical="center"/>
    </xf>
    <xf numFmtId="37" fontId="10" fillId="2" borderId="42" xfId="0" applyNumberFormat="1" applyFont="1" applyFill="1" applyBorder="1" applyAlignment="1">
      <alignment vertical="center"/>
    </xf>
    <xf numFmtId="37" fontId="10" fillId="2" borderId="43" xfId="0" applyNumberFormat="1" applyFont="1" applyFill="1" applyBorder="1" applyAlignment="1">
      <alignment vertical="center"/>
    </xf>
    <xf numFmtId="37" fontId="10" fillId="2" borderId="44" xfId="0" applyNumberFormat="1" applyFont="1" applyFill="1" applyBorder="1" applyAlignment="1">
      <alignment vertical="center"/>
    </xf>
    <xf numFmtId="37" fontId="18" fillId="2" borderId="18" xfId="0" applyNumberFormat="1" applyFont="1" applyFill="1" applyBorder="1" applyAlignment="1">
      <alignment vertical="center" shrinkToFit="1"/>
    </xf>
    <xf numFmtId="37" fontId="18" fillId="2" borderId="14" xfId="0" applyNumberFormat="1" applyFont="1" applyFill="1" applyBorder="1" applyAlignment="1">
      <alignment vertical="center" shrinkToFit="1"/>
    </xf>
    <xf numFmtId="37" fontId="18" fillId="2" borderId="15" xfId="0" applyNumberFormat="1" applyFont="1" applyFill="1" applyBorder="1" applyAlignment="1">
      <alignment vertical="center" shrinkToFit="1"/>
    </xf>
    <xf numFmtId="0" fontId="13" fillId="4" borderId="11" xfId="0" applyFont="1" applyFill="1" applyBorder="1" applyAlignment="1">
      <alignment horizontal="center" vertical="center" shrinkToFit="1"/>
    </xf>
    <xf numFmtId="0" fontId="11" fillId="4" borderId="31" xfId="0" applyFont="1" applyFill="1" applyBorder="1" applyAlignment="1">
      <alignment horizontal="center" vertical="center" shrinkToFit="1"/>
    </xf>
    <xf numFmtId="0" fontId="11" fillId="4" borderId="10" xfId="0" applyFont="1" applyFill="1" applyBorder="1" applyAlignment="1">
      <alignment horizontal="center" vertical="center" shrinkToFit="1"/>
    </xf>
    <xf numFmtId="0" fontId="1" fillId="3" borderId="1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0" fillId="4" borderId="45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10" fillId="4" borderId="36" xfId="0" applyFont="1" applyFill="1" applyBorder="1" applyAlignment="1">
      <alignment horizontal="center" vertical="center"/>
    </xf>
    <xf numFmtId="37" fontId="2" fillId="2" borderId="11" xfId="0" applyNumberFormat="1" applyFont="1" applyFill="1" applyBorder="1" applyAlignment="1">
      <alignment horizontal="right" vertical="center"/>
    </xf>
    <xf numFmtId="37" fontId="1" fillId="0" borderId="10" xfId="0" applyNumberFormat="1" applyFont="1" applyBorder="1" applyAlignment="1">
      <alignment horizontal="right" vertical="center"/>
    </xf>
    <xf numFmtId="37" fontId="18" fillId="2" borderId="24" xfId="0" applyNumberFormat="1" applyFont="1" applyFill="1" applyBorder="1" applyAlignment="1">
      <alignment horizontal="center" vertical="center"/>
    </xf>
    <xf numFmtId="37" fontId="18" fillId="2" borderId="33" xfId="0" applyNumberFormat="1" applyFont="1" applyFill="1" applyBorder="1" applyAlignment="1">
      <alignment horizontal="center" vertical="center"/>
    </xf>
    <xf numFmtId="37" fontId="18" fillId="2" borderId="34" xfId="0" applyNumberFormat="1" applyFont="1" applyFill="1" applyBorder="1" applyAlignment="1">
      <alignment horizontal="center" vertical="center"/>
    </xf>
    <xf numFmtId="37" fontId="18" fillId="2" borderId="21" xfId="0" applyNumberFormat="1" applyFont="1" applyFill="1" applyBorder="1" applyAlignment="1">
      <alignment horizontal="center" vertical="center"/>
    </xf>
    <xf numFmtId="37" fontId="2" fillId="3" borderId="11" xfId="0" applyNumberFormat="1" applyFont="1" applyFill="1" applyBorder="1" applyAlignment="1">
      <alignment horizontal="center" vertical="center"/>
    </xf>
    <xf numFmtId="37" fontId="1" fillId="2" borderId="31" xfId="0" applyNumberFormat="1" applyFont="1" applyFill="1" applyBorder="1" applyAlignment="1">
      <alignment vertical="center"/>
    </xf>
    <xf numFmtId="37" fontId="1" fillId="2" borderId="10" xfId="0" applyNumberFormat="1" applyFont="1" applyFill="1" applyBorder="1" applyAlignment="1">
      <alignment vertical="center"/>
    </xf>
    <xf numFmtId="37" fontId="10" fillId="2" borderId="39" xfId="0" applyNumberFormat="1" applyFont="1" applyFill="1" applyBorder="1" applyAlignment="1">
      <alignment horizontal="center" vertical="center"/>
    </xf>
    <xf numFmtId="37" fontId="10" fillId="0" borderId="40" xfId="0" applyNumberFormat="1" applyFont="1" applyBorder="1" applyAlignment="1">
      <alignment horizontal="left" vertical="center"/>
    </xf>
    <xf numFmtId="37" fontId="10" fillId="0" borderId="29" xfId="0" applyNumberFormat="1" applyFont="1" applyBorder="1" applyAlignment="1">
      <alignment horizontal="left" vertical="center"/>
    </xf>
    <xf numFmtId="37" fontId="18" fillId="3" borderId="18" xfId="0" applyNumberFormat="1" applyFont="1" applyFill="1" applyBorder="1" applyAlignment="1">
      <alignment vertical="center"/>
    </xf>
    <xf numFmtId="37" fontId="18" fillId="3" borderId="14" xfId="0" applyNumberFormat="1" applyFont="1" applyFill="1" applyBorder="1" applyAlignment="1">
      <alignment vertical="center"/>
    </xf>
    <xf numFmtId="37" fontId="18" fillId="3" borderId="15" xfId="0" applyNumberFormat="1" applyFont="1" applyFill="1" applyBorder="1" applyAlignment="1">
      <alignment vertical="center"/>
    </xf>
    <xf numFmtId="0" fontId="25" fillId="3" borderId="0" xfId="0" applyFont="1" applyFill="1" applyBorder="1" applyAlignment="1">
      <alignment horizontal="left" vertical="center" indent="1" shrinkToFit="1"/>
    </xf>
    <xf numFmtId="0" fontId="2" fillId="3" borderId="11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38" fontId="2" fillId="3" borderId="11" xfId="0" applyNumberFormat="1" applyFont="1" applyFill="1" applyBorder="1" applyAlignment="1">
      <alignment horizontal="right" vertical="center"/>
    </xf>
    <xf numFmtId="0" fontId="1" fillId="3" borderId="10" xfId="0" applyFont="1" applyFill="1" applyBorder="1" applyAlignment="1">
      <alignment horizontal="right" vertical="center"/>
    </xf>
    <xf numFmtId="0" fontId="26" fillId="7" borderId="0" xfId="0" applyFont="1" applyFill="1" applyBorder="1" applyAlignment="1">
      <alignment horizontal="left" vertical="center" indent="1" shrinkToFit="1"/>
    </xf>
    <xf numFmtId="37" fontId="2" fillId="2" borderId="36" xfId="0" applyNumberFormat="1" applyFont="1" applyFill="1" applyBorder="1" applyAlignment="1">
      <alignment horizontal="center" vertical="center"/>
    </xf>
    <xf numFmtId="37" fontId="2" fillId="2" borderId="31" xfId="0" applyNumberFormat="1" applyFont="1" applyFill="1" applyBorder="1" applyAlignment="1">
      <alignment horizontal="center" vertical="center"/>
    </xf>
    <xf numFmtId="37" fontId="2" fillId="2" borderId="10" xfId="0" applyNumberFormat="1" applyFont="1" applyFill="1" applyBorder="1" applyAlignment="1">
      <alignment horizontal="center" vertical="center"/>
    </xf>
    <xf numFmtId="206" fontId="18" fillId="2" borderId="24" xfId="0" applyNumberFormat="1" applyFont="1" applyFill="1" applyBorder="1" applyAlignment="1">
      <alignment horizontal="center" vertical="center"/>
    </xf>
    <xf numFmtId="206" fontId="18" fillId="2" borderId="33" xfId="0" applyNumberFormat="1" applyFont="1" applyFill="1" applyBorder="1" applyAlignment="1">
      <alignment horizontal="center" vertical="center"/>
    </xf>
    <xf numFmtId="37" fontId="18" fillId="3" borderId="34" xfId="0" applyNumberFormat="1" applyFont="1" applyFill="1" applyBorder="1" applyAlignment="1">
      <alignment horizontal="center" vertical="center"/>
    </xf>
    <xf numFmtId="37" fontId="18" fillId="3" borderId="21" xfId="0" applyNumberFormat="1" applyFont="1" applyFill="1" applyBorder="1" applyAlignment="1">
      <alignment horizontal="center" vertical="center"/>
    </xf>
    <xf numFmtId="37" fontId="18" fillId="3" borderId="22" xfId="0" applyNumberFormat="1" applyFont="1" applyFill="1" applyBorder="1" applyAlignment="1">
      <alignment horizontal="center" vertical="center"/>
    </xf>
    <xf numFmtId="37" fontId="10" fillId="2" borderId="23" xfId="0" applyNumberFormat="1" applyFont="1" applyFill="1" applyBorder="1" applyAlignment="1">
      <alignment vertical="center"/>
    </xf>
    <xf numFmtId="37" fontId="10" fillId="2" borderId="19" xfId="0" applyNumberFormat="1" applyFont="1" applyFill="1" applyBorder="1" applyAlignment="1">
      <alignment vertical="center"/>
    </xf>
    <xf numFmtId="37" fontId="10" fillId="0" borderId="23" xfId="0" applyNumberFormat="1" applyFont="1" applyBorder="1" applyAlignment="1">
      <alignment horizontal="left" vertical="center"/>
    </xf>
    <xf numFmtId="37" fontId="10" fillId="0" borderId="19" xfId="0" applyNumberFormat="1" applyFont="1" applyBorder="1" applyAlignment="1">
      <alignment horizontal="left" vertical="center"/>
    </xf>
  </cellXfs>
  <cellStyles count="2">
    <cellStyle name="표준" xfId="0" builtinId="0"/>
    <cellStyle name="표준 2" xfId="1" xr:uid="{FF8C88FD-6220-1A43-9A5B-34C395099214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431800</xdr:colOff>
      <xdr:row>46</xdr:row>
      <xdr:rowOff>0</xdr:rowOff>
    </xdr:from>
    <xdr:to>
      <xdr:col>9</xdr:col>
      <xdr:colOff>520700</xdr:colOff>
      <xdr:row>52</xdr:row>
      <xdr:rowOff>38100</xdr:rowOff>
    </xdr:to>
    <xdr:pic>
      <xdr:nvPicPr>
        <xdr:cNvPr id="34631" name="그림 3" descr="회사도장.png">
          <a:extLst>
            <a:ext uri="{FF2B5EF4-FFF2-40B4-BE49-F238E27FC236}">
              <a16:creationId xmlns:a16="http://schemas.microsoft.com/office/drawing/2014/main" id="{82AA0978-EEDE-6C1D-F3F6-552B8EBCB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10083800"/>
          <a:ext cx="2019300" cy="124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25400</xdr:rowOff>
    </xdr:from>
    <xdr:to>
      <xdr:col>9</xdr:col>
      <xdr:colOff>812800</xdr:colOff>
      <xdr:row>3</xdr:row>
      <xdr:rowOff>203200</xdr:rowOff>
    </xdr:to>
    <xdr:pic>
      <xdr:nvPicPr>
        <xdr:cNvPr id="34632" name="그림 6" descr="레터지.png">
          <a:extLst>
            <a:ext uri="{FF2B5EF4-FFF2-40B4-BE49-F238E27FC236}">
              <a16:creationId xmlns:a16="http://schemas.microsoft.com/office/drawing/2014/main" id="{7D724030-1185-1FAD-E685-210FF7D46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5400"/>
          <a:ext cx="77851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FC709-97EA-4442-81A9-85221221A6A6}">
  <sheetPr>
    <tabColor rgb="FFFFFF00"/>
  </sheetPr>
  <dimension ref="A1:L111"/>
  <sheetViews>
    <sheetView tabSelected="1" view="pageBreakPreview" zoomScaleNormal="100" zoomScaleSheetLayoutView="100" workbookViewId="0">
      <selection activeCell="C18" sqref="C18"/>
    </sheetView>
  </sheetViews>
  <sheetFormatPr baseColWidth="10" defaultColWidth="9" defaultRowHeight="18"/>
  <cols>
    <col min="1" max="1" width="12.1640625" style="2" customWidth="1"/>
    <col min="2" max="2" width="13" style="2" customWidth="1"/>
    <col min="3" max="4" width="13.33203125" style="2" customWidth="1"/>
    <col min="5" max="5" width="5.6640625" style="2" customWidth="1"/>
    <col min="6" max="6" width="9.1640625" style="2" bestFit="1" customWidth="1"/>
    <col min="7" max="7" width="7.1640625" style="2" customWidth="1"/>
    <col min="8" max="8" width="9.1640625" style="2" bestFit="1" customWidth="1"/>
    <col min="9" max="9" width="9" style="2"/>
    <col min="10" max="10" width="11.1640625" style="2" bestFit="1" customWidth="1"/>
    <col min="11" max="16384" width="9" style="2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35">
      <c r="A7" s="137" t="s">
        <v>0</v>
      </c>
      <c r="B7" s="137"/>
      <c r="C7" s="137"/>
      <c r="D7" s="137"/>
      <c r="E7" s="137"/>
      <c r="F7" s="137"/>
      <c r="G7" s="137"/>
      <c r="H7" s="137"/>
      <c r="I7" s="137"/>
      <c r="J7" s="137"/>
    </row>
    <row r="8" spans="1:10" ht="19" thickBot="1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>
      <c r="A9" s="5" t="s">
        <v>1</v>
      </c>
      <c r="B9" s="138" t="s">
        <v>78</v>
      </c>
      <c r="C9" s="139"/>
      <c r="D9" s="139"/>
      <c r="E9" s="139"/>
      <c r="F9" s="140" t="s">
        <v>63</v>
      </c>
      <c r="G9" s="141"/>
      <c r="H9" s="142" t="s">
        <v>79</v>
      </c>
      <c r="I9" s="143"/>
      <c r="J9" s="144"/>
    </row>
    <row r="10" spans="1:10">
      <c r="A10" s="6" t="s">
        <v>2</v>
      </c>
      <c r="B10" s="145" t="s">
        <v>3</v>
      </c>
      <c r="C10" s="146"/>
      <c r="D10" s="146"/>
      <c r="E10" s="146"/>
      <c r="F10" s="147" t="s">
        <v>64</v>
      </c>
      <c r="G10" s="148"/>
      <c r="H10" s="149" t="s">
        <v>4</v>
      </c>
      <c r="I10" s="146"/>
      <c r="J10" s="150"/>
    </row>
    <row r="11" spans="1:10">
      <c r="A11" s="6" t="s">
        <v>69</v>
      </c>
      <c r="B11" s="145" t="s">
        <v>80</v>
      </c>
      <c r="C11" s="146"/>
      <c r="D11" s="146"/>
      <c r="E11" s="146"/>
      <c r="F11" s="147" t="s">
        <v>70</v>
      </c>
      <c r="G11" s="148"/>
      <c r="H11" s="149" t="s">
        <v>67</v>
      </c>
      <c r="I11" s="146"/>
      <c r="J11" s="150"/>
    </row>
    <row r="12" spans="1:10">
      <c r="A12" s="6" t="s">
        <v>5</v>
      </c>
      <c r="B12" s="145" t="s">
        <v>77</v>
      </c>
      <c r="C12" s="152"/>
      <c r="D12" s="152"/>
      <c r="E12" s="152"/>
      <c r="F12" s="152"/>
      <c r="G12" s="152"/>
      <c r="H12" s="152"/>
      <c r="I12" s="152"/>
      <c r="J12" s="153"/>
    </row>
    <row r="13" spans="1:10" ht="19" thickBot="1">
      <c r="A13" s="7" t="s">
        <v>62</v>
      </c>
      <c r="B13" s="154" t="s">
        <v>81</v>
      </c>
      <c r="C13" s="155"/>
      <c r="D13" s="155"/>
      <c r="E13" s="155"/>
      <c r="F13" s="156" t="s">
        <v>6</v>
      </c>
      <c r="G13" s="157"/>
      <c r="H13" s="158" t="s">
        <v>134</v>
      </c>
      <c r="I13" s="159"/>
      <c r="J13" s="160"/>
    </row>
    <row r="14" spans="1:10">
      <c r="A14" s="161" t="s">
        <v>61</v>
      </c>
      <c r="B14" s="161"/>
      <c r="C14" s="161"/>
      <c r="D14" s="161"/>
      <c r="E14" s="161"/>
      <c r="F14" s="161"/>
      <c r="G14" s="161"/>
      <c r="H14" s="161"/>
      <c r="I14" s="161"/>
      <c r="J14" s="161"/>
    </row>
    <row r="15" spans="1:10">
      <c r="A15" s="163" t="s">
        <v>71</v>
      </c>
      <c r="B15" s="164"/>
      <c r="C15" s="164"/>
      <c r="D15" s="164"/>
      <c r="E15" s="164"/>
      <c r="F15" s="164"/>
      <c r="G15" s="164"/>
      <c r="H15" s="164"/>
      <c r="I15" s="164"/>
      <c r="J15" s="165"/>
    </row>
    <row r="16" spans="1:10" s="11" customFormat="1" ht="5.2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2" s="11" customFormat="1" ht="22">
      <c r="A17" s="12" t="s">
        <v>7</v>
      </c>
      <c r="B17" s="13" t="s">
        <v>9</v>
      </c>
      <c r="C17" s="98">
        <f>I110</f>
        <v>2604</v>
      </c>
      <c r="D17" s="14" t="s">
        <v>82</v>
      </c>
      <c r="E17" s="15"/>
      <c r="F17" s="15"/>
      <c r="G17" s="15"/>
      <c r="H17" s="15"/>
      <c r="I17" s="15"/>
      <c r="J17" s="16"/>
    </row>
    <row r="18" spans="1:12" s="11" customFormat="1" ht="5.2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2" s="11" customFormat="1" ht="24.75" customHeight="1">
      <c r="A19" s="17"/>
      <c r="B19" s="18"/>
      <c r="C19" s="18"/>
      <c r="D19" s="18"/>
      <c r="E19" s="18"/>
      <c r="F19" s="18"/>
      <c r="G19" s="18" t="s">
        <v>10</v>
      </c>
      <c r="H19" s="18" t="s">
        <v>11</v>
      </c>
      <c r="I19" s="97">
        <f>I111</f>
        <v>420</v>
      </c>
      <c r="J19" s="19" t="s">
        <v>12</v>
      </c>
    </row>
    <row r="20" spans="1:12" ht="17.25" customHeight="1">
      <c r="A20" s="20"/>
      <c r="B20" s="20"/>
      <c r="C20" s="21"/>
      <c r="D20" s="21"/>
      <c r="E20" s="21"/>
      <c r="F20" s="20"/>
      <c r="G20" s="20"/>
      <c r="H20" s="20"/>
      <c r="I20" s="20"/>
      <c r="J20" s="20"/>
    </row>
    <row r="21" spans="1:12" ht="17.25" customHeight="1">
      <c r="A21" s="136" t="s">
        <v>66</v>
      </c>
      <c r="B21" s="136"/>
      <c r="C21" s="136"/>
      <c r="D21" s="136"/>
      <c r="E21" s="136"/>
      <c r="F21" s="136"/>
      <c r="G21" s="136"/>
      <c r="H21" s="136"/>
      <c r="I21" s="136"/>
      <c r="J21" s="136"/>
    </row>
    <row r="22" spans="1:12" ht="17.25" customHeight="1">
      <c r="A22" s="22" t="s">
        <v>13</v>
      </c>
      <c r="B22" s="166" t="s">
        <v>14</v>
      </c>
      <c r="C22" s="166"/>
      <c r="D22" s="166"/>
      <c r="E22" s="166"/>
      <c r="F22" s="166"/>
      <c r="G22" s="166"/>
      <c r="H22" s="166"/>
      <c r="I22" s="166"/>
      <c r="J22" s="166"/>
    </row>
    <row r="23" spans="1:12">
      <c r="A23" s="22"/>
      <c r="B23" s="23" t="s">
        <v>115</v>
      </c>
      <c r="C23" s="23"/>
      <c r="D23" s="23"/>
      <c r="E23" s="23"/>
      <c r="F23" s="23" t="s">
        <v>124</v>
      </c>
      <c r="G23" s="23"/>
      <c r="H23" s="23"/>
      <c r="I23" s="23"/>
      <c r="J23" s="24"/>
    </row>
    <row r="24" spans="1:12">
      <c r="A24" s="108"/>
      <c r="B24" s="23" t="s">
        <v>119</v>
      </c>
      <c r="C24" s="23"/>
      <c r="D24" s="23"/>
      <c r="E24" s="23"/>
      <c r="F24" s="23" t="s">
        <v>125</v>
      </c>
      <c r="G24" s="23"/>
      <c r="H24" s="23"/>
      <c r="I24" s="23"/>
      <c r="J24" s="109"/>
    </row>
    <row r="25" spans="1:12">
      <c r="A25" s="108"/>
      <c r="B25" s="23" t="s">
        <v>120</v>
      </c>
      <c r="C25" s="23"/>
      <c r="D25" s="23"/>
      <c r="E25" s="23"/>
      <c r="F25" s="23" t="s">
        <v>126</v>
      </c>
      <c r="G25" s="23"/>
      <c r="H25" s="23"/>
      <c r="I25" s="23"/>
      <c r="J25" s="109"/>
    </row>
    <row r="26" spans="1:12">
      <c r="A26" s="128"/>
      <c r="B26" s="23"/>
      <c r="C26" s="23"/>
      <c r="D26" s="23" t="s">
        <v>72</v>
      </c>
      <c r="E26" s="23"/>
      <c r="F26" s="23"/>
      <c r="G26" s="23"/>
      <c r="H26" s="23"/>
      <c r="I26" s="23"/>
      <c r="J26" s="129"/>
    </row>
    <row r="27" spans="1:12" ht="17.25" customHeight="1">
      <c r="A27" s="25" t="s">
        <v>15</v>
      </c>
      <c r="B27" s="166" t="s">
        <v>127</v>
      </c>
      <c r="C27" s="166"/>
      <c r="D27" s="166"/>
      <c r="E27" s="166"/>
      <c r="F27" s="166"/>
      <c r="G27" s="166"/>
      <c r="H27" s="166"/>
      <c r="I27" s="166"/>
      <c r="J27" s="166"/>
      <c r="L27" s="23"/>
    </row>
    <row r="28" spans="1:12" ht="17.25" customHeight="1">
      <c r="A28" s="25" t="s">
        <v>16</v>
      </c>
      <c r="B28" s="166" t="s">
        <v>128</v>
      </c>
      <c r="C28" s="166"/>
      <c r="D28" s="166"/>
      <c r="E28" s="166"/>
      <c r="F28" s="166"/>
      <c r="G28" s="166"/>
      <c r="H28" s="166"/>
      <c r="I28" s="166"/>
      <c r="J28" s="166"/>
    </row>
    <row r="29" spans="1:12" ht="17.25" customHeight="1">
      <c r="A29" s="25" t="s">
        <v>17</v>
      </c>
      <c r="B29" s="122" t="s">
        <v>129</v>
      </c>
      <c r="C29" s="122"/>
      <c r="D29" s="123"/>
      <c r="E29" s="134" t="s">
        <v>130</v>
      </c>
      <c r="F29" s="122"/>
      <c r="G29" s="122"/>
      <c r="H29" s="122"/>
      <c r="I29" s="122"/>
      <c r="J29" s="122"/>
    </row>
    <row r="30" spans="1:12" ht="17.25" customHeight="1">
      <c r="A30" s="25" t="s">
        <v>18</v>
      </c>
      <c r="B30" s="162" t="s">
        <v>131</v>
      </c>
      <c r="C30" s="162"/>
      <c r="D30" s="162"/>
      <c r="E30" s="162"/>
      <c r="F30" s="162"/>
      <c r="G30" s="162"/>
      <c r="H30" s="162"/>
      <c r="I30" s="162"/>
      <c r="J30" s="162"/>
    </row>
    <row r="31" spans="1:12" ht="17.25" customHeight="1">
      <c r="A31" s="127"/>
      <c r="B31" s="23" t="s">
        <v>132</v>
      </c>
      <c r="C31" s="23"/>
      <c r="D31" s="23"/>
      <c r="E31" s="23"/>
      <c r="F31" s="23"/>
      <c r="G31" s="23"/>
      <c r="H31" s="23"/>
      <c r="I31" s="23"/>
      <c r="J31" s="23"/>
    </row>
    <row r="32" spans="1:12" ht="17.25" customHeight="1">
      <c r="A32" s="25" t="s">
        <v>19</v>
      </c>
      <c r="B32" s="162" t="s">
        <v>73</v>
      </c>
      <c r="C32" s="162"/>
      <c r="D32" s="162"/>
      <c r="E32" s="162"/>
      <c r="F32" s="162"/>
      <c r="G32" s="162"/>
      <c r="H32" s="162"/>
      <c r="I32" s="162"/>
      <c r="J32" s="162"/>
    </row>
    <row r="33" spans="1:10" ht="10.5" customHeight="1">
      <c r="A33" s="161"/>
      <c r="B33" s="161"/>
      <c r="C33" s="161"/>
      <c r="D33" s="161"/>
      <c r="E33" s="161"/>
      <c r="F33" s="161"/>
      <c r="G33" s="161"/>
      <c r="H33" s="161"/>
      <c r="I33" s="161"/>
      <c r="J33" s="161"/>
    </row>
    <row r="34" spans="1:10" ht="17.25" customHeight="1">
      <c r="A34" s="136" t="s">
        <v>20</v>
      </c>
      <c r="B34" s="136"/>
      <c r="C34" s="136"/>
      <c r="D34" s="136"/>
      <c r="E34" s="136"/>
      <c r="F34" s="136"/>
      <c r="G34" s="136"/>
      <c r="H34" s="136"/>
      <c r="I34" s="136"/>
      <c r="J34" s="136"/>
    </row>
    <row r="35" spans="1:10" ht="17.25" customHeight="1">
      <c r="A35" s="151" t="s">
        <v>21</v>
      </c>
      <c r="B35" s="151"/>
      <c r="C35" s="151"/>
      <c r="D35" s="151"/>
      <c r="E35" s="151"/>
      <c r="F35" s="151"/>
      <c r="G35" s="151"/>
      <c r="H35" s="151"/>
      <c r="I35" s="151"/>
      <c r="J35" s="151"/>
    </row>
    <row r="36" spans="1:10" ht="17.25" customHeight="1">
      <c r="A36" s="151" t="s">
        <v>22</v>
      </c>
      <c r="B36" s="151"/>
      <c r="C36" s="151"/>
      <c r="D36" s="151"/>
      <c r="E36" s="151"/>
      <c r="F36" s="151"/>
      <c r="G36" s="151"/>
      <c r="H36" s="151"/>
      <c r="I36" s="151"/>
      <c r="J36" s="151"/>
    </row>
    <row r="37" spans="1:10" ht="17.25" customHeight="1">
      <c r="A37" s="151" t="s">
        <v>23</v>
      </c>
      <c r="B37" s="151"/>
      <c r="C37" s="151"/>
      <c r="D37" s="151"/>
      <c r="E37" s="151"/>
      <c r="F37" s="151"/>
      <c r="G37" s="151"/>
      <c r="H37" s="151"/>
      <c r="I37" s="151"/>
      <c r="J37" s="151"/>
    </row>
    <row r="38" spans="1:10" ht="17.25" customHeight="1">
      <c r="A38" s="169" t="s">
        <v>65</v>
      </c>
      <c r="B38" s="169"/>
      <c r="C38" s="169"/>
      <c r="D38" s="169"/>
      <c r="E38" s="169"/>
      <c r="F38" s="169"/>
      <c r="G38" s="169"/>
      <c r="H38" s="169"/>
      <c r="I38" s="169"/>
      <c r="J38" s="169"/>
    </row>
    <row r="39" spans="1:10" ht="17.25" customHeight="1">
      <c r="A39" s="23" t="s">
        <v>135</v>
      </c>
      <c r="B39" s="23"/>
      <c r="C39" s="23"/>
      <c r="D39" s="23"/>
      <c r="E39" s="23"/>
      <c r="F39" s="23"/>
      <c r="G39" s="23"/>
      <c r="H39" s="23"/>
      <c r="I39" s="23"/>
      <c r="J39" s="23"/>
    </row>
    <row r="40" spans="1:10" ht="10.5" customHeight="1">
      <c r="A40" s="170"/>
      <c r="B40" s="170"/>
      <c r="C40" s="170"/>
      <c r="D40" s="170"/>
      <c r="E40" s="170"/>
      <c r="F40" s="170"/>
      <c r="G40" s="170"/>
      <c r="H40" s="170"/>
      <c r="I40" s="170"/>
      <c r="J40" s="170"/>
    </row>
    <row r="41" spans="1:10" ht="17.25" customHeight="1">
      <c r="A41" s="136" t="s">
        <v>24</v>
      </c>
      <c r="B41" s="136"/>
      <c r="C41" s="136"/>
      <c r="D41" s="136"/>
      <c r="E41" s="136"/>
      <c r="F41" s="136"/>
      <c r="G41" s="136"/>
      <c r="H41" s="136"/>
      <c r="I41" s="136"/>
      <c r="J41" s="136"/>
    </row>
    <row r="42" spans="1:10" ht="17.25" customHeight="1">
      <c r="A42" s="151" t="s">
        <v>25</v>
      </c>
      <c r="B42" s="151"/>
      <c r="C42" s="151"/>
      <c r="D42" s="151"/>
      <c r="E42" s="151"/>
      <c r="F42" s="151"/>
      <c r="G42" s="151"/>
      <c r="H42" s="151"/>
      <c r="I42" s="151"/>
      <c r="J42" s="151"/>
    </row>
    <row r="43" spans="1:10" ht="17.25" customHeight="1">
      <c r="A43" s="151" t="s">
        <v>26</v>
      </c>
      <c r="B43" s="151"/>
      <c r="C43" s="151"/>
      <c r="D43" s="151"/>
      <c r="E43" s="151"/>
      <c r="F43" s="151"/>
      <c r="G43" s="151"/>
      <c r="H43" s="151"/>
      <c r="I43" s="151"/>
      <c r="J43" s="151"/>
    </row>
    <row r="44" spans="1:10" ht="17.25" customHeight="1">
      <c r="A44" s="203" t="s">
        <v>27</v>
      </c>
      <c r="B44" s="203"/>
      <c r="C44" s="203"/>
      <c r="D44" s="203"/>
      <c r="E44" s="203"/>
      <c r="F44" s="203"/>
      <c r="G44" s="203"/>
      <c r="H44" s="203"/>
      <c r="I44" s="203"/>
      <c r="J44" s="203"/>
    </row>
    <row r="45" spans="1:10" ht="17.25" customHeight="1">
      <c r="A45" s="209" t="s">
        <v>133</v>
      </c>
      <c r="B45" s="209"/>
      <c r="C45" s="209"/>
      <c r="D45" s="209"/>
      <c r="E45" s="209"/>
      <c r="F45" s="209"/>
      <c r="G45" s="209"/>
      <c r="H45" s="209"/>
      <c r="I45" s="209"/>
      <c r="J45" s="209"/>
    </row>
    <row r="46" spans="1:10" ht="17.25" customHeight="1">
      <c r="A46" s="209" t="s">
        <v>140</v>
      </c>
      <c r="B46" s="209"/>
      <c r="C46" s="209"/>
      <c r="D46" s="209"/>
      <c r="E46" s="209"/>
      <c r="F46" s="209"/>
      <c r="G46" s="209"/>
      <c r="H46" s="209"/>
      <c r="I46" s="209"/>
      <c r="J46" s="209"/>
    </row>
    <row r="47" spans="1:10" ht="17.25" customHeight="1">
      <c r="A47" s="167"/>
      <c r="B47" s="167"/>
      <c r="C47" s="167"/>
      <c r="D47" s="167"/>
      <c r="E47" s="167"/>
      <c r="F47" s="167"/>
      <c r="G47" s="167"/>
      <c r="H47" s="167"/>
      <c r="I47" s="167"/>
      <c r="J47" s="167"/>
    </row>
    <row r="48" spans="1:10" ht="10.5" customHeight="1">
      <c r="A48" s="20"/>
      <c r="B48" s="26"/>
      <c r="C48" s="26"/>
      <c r="D48" s="26"/>
      <c r="E48" s="26"/>
      <c r="F48" s="26"/>
      <c r="G48" s="26"/>
      <c r="H48" s="26"/>
      <c r="I48" s="26"/>
      <c r="J48" s="26"/>
    </row>
    <row r="49" spans="1:10" ht="17.25" customHeight="1">
      <c r="A49" s="168" t="s">
        <v>28</v>
      </c>
      <c r="B49" s="168"/>
      <c r="C49" s="168"/>
      <c r="D49" s="168"/>
      <c r="E49" s="168"/>
      <c r="F49" s="168"/>
      <c r="G49" s="168"/>
      <c r="H49" s="168"/>
      <c r="I49" s="168"/>
      <c r="J49" s="168"/>
    </row>
    <row r="50" spans="1:10" ht="17.25" customHeight="1">
      <c r="A50" s="168" t="s">
        <v>29</v>
      </c>
      <c r="B50" s="168"/>
      <c r="C50" s="168"/>
      <c r="D50" s="168"/>
      <c r="E50" s="168"/>
      <c r="F50" s="168"/>
      <c r="G50" s="168"/>
      <c r="H50" s="168"/>
      <c r="I50" s="168"/>
      <c r="J50" s="168"/>
    </row>
    <row r="51" spans="1:10" ht="17.25" customHeight="1">
      <c r="A51" s="168" t="s">
        <v>30</v>
      </c>
      <c r="B51" s="168"/>
      <c r="C51" s="168"/>
      <c r="D51" s="168"/>
      <c r="E51" s="168"/>
      <c r="F51" s="168"/>
      <c r="G51" s="168"/>
      <c r="H51" s="168"/>
      <c r="I51" s="168"/>
      <c r="J51" s="168"/>
    </row>
    <row r="52" spans="1:10" ht="17.25" customHeight="1">
      <c r="A52" s="107"/>
      <c r="B52" s="107"/>
      <c r="C52" s="107"/>
      <c r="D52" s="107"/>
      <c r="E52" s="107"/>
      <c r="F52" s="107"/>
      <c r="G52" s="107"/>
      <c r="H52" s="107"/>
      <c r="I52" s="107"/>
      <c r="J52" s="107"/>
    </row>
    <row r="53" spans="1:10" ht="17.25" customHeight="1">
      <c r="A53" s="168" t="s">
        <v>31</v>
      </c>
      <c r="B53" s="168"/>
      <c r="C53" s="168"/>
      <c r="D53" s="168"/>
      <c r="E53" s="168"/>
      <c r="F53" s="168"/>
      <c r="G53" s="168"/>
      <c r="H53" s="168"/>
      <c r="I53" s="168"/>
      <c r="J53" s="168"/>
    </row>
    <row r="54" spans="1:10" s="29" customFormat="1" ht="9" customHeight="1" thickBot="1">
      <c r="A54" s="27"/>
      <c r="B54" s="27"/>
      <c r="C54" s="28"/>
      <c r="D54" s="28"/>
      <c r="E54" s="28"/>
      <c r="F54" s="27"/>
      <c r="G54" s="27"/>
      <c r="H54" s="27"/>
      <c r="I54" s="27"/>
      <c r="J54" s="27"/>
    </row>
    <row r="55" spans="1:10" ht="21" customHeight="1" thickBot="1">
      <c r="A55" s="180" t="str">
        <f>B12</f>
        <v xml:space="preserve"> R0406105 하나MICE) 일학습병행 공동훈련센터지원단 체/헝/오 9FIT</v>
      </c>
      <c r="B55" s="181"/>
      <c r="C55" s="181"/>
      <c r="D55" s="181"/>
      <c r="E55" s="181"/>
      <c r="F55" s="181"/>
      <c r="G55" s="181"/>
      <c r="H55" s="181"/>
      <c r="I55" s="181"/>
      <c r="J55" s="182"/>
    </row>
    <row r="56" spans="1:10" s="29" customFormat="1" ht="9" customHeight="1" thickBot="1">
      <c r="A56" s="30"/>
      <c r="B56" s="30"/>
      <c r="C56" s="30"/>
      <c r="D56" s="30"/>
      <c r="E56" s="30"/>
      <c r="F56" s="30"/>
      <c r="G56" s="30"/>
      <c r="H56" s="30"/>
      <c r="I56" s="30"/>
      <c r="J56" s="30"/>
    </row>
    <row r="57" spans="1:10" s="37" customFormat="1" ht="15" customHeight="1" thickBot="1">
      <c r="A57" s="31" t="s">
        <v>32</v>
      </c>
      <c r="B57" s="32" t="s">
        <v>33</v>
      </c>
      <c r="C57" s="33"/>
      <c r="D57" s="33"/>
      <c r="E57" s="33"/>
      <c r="F57" s="34" t="s">
        <v>34</v>
      </c>
      <c r="G57" s="35">
        <v>8</v>
      </c>
      <c r="H57" s="36">
        <v>0</v>
      </c>
      <c r="I57" s="183" t="s">
        <v>89</v>
      </c>
      <c r="J57" s="184"/>
    </row>
    <row r="58" spans="1:10" s="43" customFormat="1" ht="15" customHeight="1" thickBot="1">
      <c r="A58" s="38" t="s">
        <v>35</v>
      </c>
      <c r="B58" s="39" t="s">
        <v>36</v>
      </c>
      <c r="C58" s="185" t="s">
        <v>37</v>
      </c>
      <c r="D58" s="186"/>
      <c r="E58" s="187"/>
      <c r="F58" s="39"/>
      <c r="G58" s="40" t="s">
        <v>38</v>
      </c>
      <c r="H58" s="41" t="s">
        <v>39</v>
      </c>
      <c r="I58" s="39" t="s">
        <v>40</v>
      </c>
      <c r="J58" s="42" t="s">
        <v>41</v>
      </c>
    </row>
    <row r="59" spans="1:10" s="43" customFormat="1" ht="15" customHeight="1">
      <c r="A59" s="172" t="s">
        <v>42</v>
      </c>
      <c r="B59" s="130" t="s">
        <v>83</v>
      </c>
      <c r="C59" s="49" t="s">
        <v>117</v>
      </c>
      <c r="D59" s="44"/>
      <c r="E59" s="45" t="s">
        <v>43</v>
      </c>
      <c r="F59" s="46">
        <v>65</v>
      </c>
      <c r="G59" s="47">
        <v>8</v>
      </c>
      <c r="H59" s="47">
        <v>1</v>
      </c>
      <c r="I59" s="47"/>
      <c r="J59" s="48">
        <f t="shared" ref="J59:J71" si="0">F59*G59*H59</f>
        <v>520</v>
      </c>
    </row>
    <row r="60" spans="1:10" s="43" customFormat="1" ht="15" customHeight="1">
      <c r="A60" s="172"/>
      <c r="B60" s="47"/>
      <c r="C60" s="49" t="s">
        <v>114</v>
      </c>
      <c r="D60" s="44"/>
      <c r="E60" s="45" t="s">
        <v>44</v>
      </c>
      <c r="F60" s="46">
        <v>120</v>
      </c>
      <c r="G60" s="47">
        <v>1</v>
      </c>
      <c r="H60" s="47">
        <v>1</v>
      </c>
      <c r="I60" s="47"/>
      <c r="J60" s="48">
        <f t="shared" si="0"/>
        <v>120</v>
      </c>
    </row>
    <row r="61" spans="1:10" s="43" customFormat="1" ht="15" customHeight="1">
      <c r="A61" s="172"/>
      <c r="B61" s="130" t="s">
        <v>84</v>
      </c>
      <c r="C61" s="49" t="s">
        <v>116</v>
      </c>
      <c r="D61" s="44"/>
      <c r="E61" s="45" t="s">
        <v>43</v>
      </c>
      <c r="F61" s="46">
        <v>55</v>
      </c>
      <c r="G61" s="47">
        <v>8</v>
      </c>
      <c r="H61" s="47">
        <v>1</v>
      </c>
      <c r="I61" s="47"/>
      <c r="J61" s="48">
        <f t="shared" si="0"/>
        <v>440</v>
      </c>
    </row>
    <row r="62" spans="1:10" s="43" customFormat="1" ht="15" customHeight="1">
      <c r="A62" s="172"/>
      <c r="B62" s="130"/>
      <c r="C62" s="49" t="s">
        <v>74</v>
      </c>
      <c r="D62" s="44"/>
      <c r="E62" s="45" t="s">
        <v>44</v>
      </c>
      <c r="F62" s="46">
        <v>100</v>
      </c>
      <c r="G62" s="47">
        <v>2</v>
      </c>
      <c r="H62" s="47">
        <v>1</v>
      </c>
      <c r="I62" s="47"/>
      <c r="J62" s="48">
        <f t="shared" si="0"/>
        <v>200</v>
      </c>
    </row>
    <row r="63" spans="1:10" s="43" customFormat="1" ht="15" customHeight="1">
      <c r="A63" s="172"/>
      <c r="B63" s="130" t="s">
        <v>85</v>
      </c>
      <c r="C63" s="49" t="s">
        <v>119</v>
      </c>
      <c r="D63" s="44"/>
      <c r="E63" s="45" t="s">
        <v>43</v>
      </c>
      <c r="F63" s="46">
        <v>65</v>
      </c>
      <c r="G63" s="47">
        <v>8</v>
      </c>
      <c r="H63" s="47">
        <v>1</v>
      </c>
      <c r="I63" s="47"/>
      <c r="J63" s="48">
        <f>F63*G63*H63</f>
        <v>520</v>
      </c>
    </row>
    <row r="64" spans="1:10" s="43" customFormat="1" ht="15" customHeight="1">
      <c r="A64" s="172"/>
      <c r="B64" s="47"/>
      <c r="C64" s="49" t="s">
        <v>74</v>
      </c>
      <c r="D64" s="44"/>
      <c r="E64" s="45" t="s">
        <v>44</v>
      </c>
      <c r="F64" s="46">
        <v>120</v>
      </c>
      <c r="G64" s="47">
        <v>2</v>
      </c>
      <c r="H64" s="47">
        <v>1</v>
      </c>
      <c r="I64" s="47"/>
      <c r="J64" s="48">
        <f>F64*G64*H64</f>
        <v>240</v>
      </c>
    </row>
    <row r="65" spans="1:10" s="43" customFormat="1" ht="15" customHeight="1">
      <c r="A65" s="172"/>
      <c r="B65" s="130" t="s">
        <v>86</v>
      </c>
      <c r="C65" s="49" t="s">
        <v>118</v>
      </c>
      <c r="D65" s="44"/>
      <c r="E65" s="45" t="s">
        <v>43</v>
      </c>
      <c r="F65" s="46">
        <v>70</v>
      </c>
      <c r="G65" s="47">
        <v>8</v>
      </c>
      <c r="H65" s="47">
        <v>2</v>
      </c>
      <c r="I65" s="47"/>
      <c r="J65" s="48">
        <f t="shared" si="0"/>
        <v>1120</v>
      </c>
    </row>
    <row r="66" spans="1:10" s="43" customFormat="1" ht="15" customHeight="1">
      <c r="A66" s="172"/>
      <c r="B66" s="47"/>
      <c r="C66" s="49" t="s">
        <v>74</v>
      </c>
      <c r="D66" s="44"/>
      <c r="E66" s="45" t="s">
        <v>44</v>
      </c>
      <c r="F66" s="46">
        <v>130</v>
      </c>
      <c r="G66" s="47">
        <v>2</v>
      </c>
      <c r="H66" s="47">
        <v>2</v>
      </c>
      <c r="I66" s="47"/>
      <c r="J66" s="48">
        <f t="shared" si="0"/>
        <v>520</v>
      </c>
    </row>
    <row r="67" spans="1:10" s="43" customFormat="1" ht="15" customHeight="1">
      <c r="A67" s="172"/>
      <c r="B67" s="130" t="s">
        <v>87</v>
      </c>
      <c r="C67" s="49" t="s">
        <v>120</v>
      </c>
      <c r="D67" s="44"/>
      <c r="E67" s="45" t="s">
        <v>43</v>
      </c>
      <c r="F67" s="46">
        <v>100</v>
      </c>
      <c r="G67" s="47">
        <v>8</v>
      </c>
      <c r="H67" s="47">
        <v>1</v>
      </c>
      <c r="I67" s="47"/>
      <c r="J67" s="48">
        <f t="shared" si="0"/>
        <v>800</v>
      </c>
    </row>
    <row r="68" spans="1:10" s="43" customFormat="1" ht="15" customHeight="1">
      <c r="A68" s="172"/>
      <c r="B68" s="47"/>
      <c r="C68" s="49" t="s">
        <v>74</v>
      </c>
      <c r="D68" s="44"/>
      <c r="E68" s="45" t="s">
        <v>44</v>
      </c>
      <c r="F68" s="46">
        <v>190</v>
      </c>
      <c r="G68" s="47">
        <v>2</v>
      </c>
      <c r="H68" s="47">
        <v>1</v>
      </c>
      <c r="I68" s="47"/>
      <c r="J68" s="48">
        <f t="shared" si="0"/>
        <v>380</v>
      </c>
    </row>
    <row r="69" spans="1:10" s="43" customFormat="1" ht="15" customHeight="1">
      <c r="A69" s="172"/>
      <c r="B69" s="130" t="s">
        <v>88</v>
      </c>
      <c r="C69" s="49" t="s">
        <v>121</v>
      </c>
      <c r="D69" s="44"/>
      <c r="E69" s="45" t="s">
        <v>43</v>
      </c>
      <c r="F69" s="46">
        <v>65</v>
      </c>
      <c r="G69" s="47">
        <v>8</v>
      </c>
      <c r="H69" s="47">
        <v>1</v>
      </c>
      <c r="I69" s="47"/>
      <c r="J69" s="48">
        <f>F69*G69*H69</f>
        <v>520</v>
      </c>
    </row>
    <row r="70" spans="1:10" s="43" customFormat="1" ht="15" customHeight="1">
      <c r="A70" s="172"/>
      <c r="B70" s="47"/>
      <c r="C70" s="49" t="s">
        <v>74</v>
      </c>
      <c r="D70" s="44"/>
      <c r="E70" s="45" t="s">
        <v>44</v>
      </c>
      <c r="F70" s="46">
        <v>120</v>
      </c>
      <c r="G70" s="47">
        <v>2</v>
      </c>
      <c r="H70" s="47">
        <v>1</v>
      </c>
      <c r="I70" s="47"/>
      <c r="J70" s="48">
        <f>F70*G70*H70</f>
        <v>240</v>
      </c>
    </row>
    <row r="71" spans="1:10" s="43" customFormat="1" ht="15" customHeight="1" thickBot="1">
      <c r="A71" s="172"/>
      <c r="B71" s="47"/>
      <c r="C71" s="49" t="s">
        <v>90</v>
      </c>
      <c r="D71" s="44"/>
      <c r="E71" s="50"/>
      <c r="F71" s="46">
        <f>2+2+3*2+2+2</f>
        <v>14</v>
      </c>
      <c r="G71" s="47">
        <f>G57+H57</f>
        <v>8</v>
      </c>
      <c r="H71" s="47">
        <v>1</v>
      </c>
      <c r="I71" s="47"/>
      <c r="J71" s="48">
        <f t="shared" si="0"/>
        <v>112</v>
      </c>
    </row>
    <row r="72" spans="1:10" s="43" customFormat="1" ht="15" customHeight="1" thickBot="1">
      <c r="A72" s="173"/>
      <c r="B72" s="95"/>
      <c r="C72" s="51" t="s">
        <v>45</v>
      </c>
      <c r="D72" s="51"/>
      <c r="E72" s="51"/>
      <c r="F72" s="52">
        <f>55*3+45+90+60*2</f>
        <v>420</v>
      </c>
      <c r="G72" s="53"/>
      <c r="H72" s="53">
        <f>SUM(H59:H71)/2</f>
        <v>7.5</v>
      </c>
      <c r="I72" s="53"/>
      <c r="J72" s="54">
        <f>SUM(J59:J71)</f>
        <v>5732</v>
      </c>
    </row>
    <row r="73" spans="1:10" s="43" customFormat="1" ht="15" customHeight="1">
      <c r="A73" s="171" t="s">
        <v>46</v>
      </c>
      <c r="B73" s="190" t="s">
        <v>91</v>
      </c>
      <c r="C73" s="49" t="s">
        <v>92</v>
      </c>
      <c r="D73" s="44"/>
      <c r="E73" s="50"/>
      <c r="F73" s="46">
        <v>25</v>
      </c>
      <c r="G73" s="47">
        <f>G57+H57+1</f>
        <v>9</v>
      </c>
      <c r="H73" s="47">
        <v>7</v>
      </c>
      <c r="I73" s="55"/>
      <c r="J73" s="48">
        <f t="shared" ref="J73:J78" si="1">F73*G73*H73</f>
        <v>1575</v>
      </c>
    </row>
    <row r="74" spans="1:10" s="43" customFormat="1" ht="15" customHeight="1">
      <c r="A74" s="172"/>
      <c r="B74" s="191"/>
      <c r="C74" s="49" t="s">
        <v>93</v>
      </c>
      <c r="D74" s="44"/>
      <c r="E74" s="50"/>
      <c r="F74" s="46">
        <v>35</v>
      </c>
      <c r="G74" s="47">
        <f>G57+H57+1</f>
        <v>9</v>
      </c>
      <c r="H74" s="47">
        <v>7</v>
      </c>
      <c r="I74" s="47"/>
      <c r="J74" s="48">
        <f t="shared" si="1"/>
        <v>2205</v>
      </c>
    </row>
    <row r="75" spans="1:10" s="43" customFormat="1" ht="15" customHeight="1">
      <c r="A75" s="172"/>
      <c r="B75" s="47"/>
      <c r="C75" s="131" t="s">
        <v>103</v>
      </c>
      <c r="D75" s="132"/>
      <c r="E75" s="133"/>
      <c r="F75" s="46"/>
      <c r="G75" s="47"/>
      <c r="H75" s="47"/>
      <c r="I75" s="47"/>
      <c r="J75" s="48">
        <f t="shared" si="1"/>
        <v>0</v>
      </c>
    </row>
    <row r="76" spans="1:10" s="43" customFormat="1" ht="15" customHeight="1">
      <c r="A76" s="172"/>
      <c r="B76" s="56"/>
      <c r="C76" s="49"/>
      <c r="D76" s="44"/>
      <c r="E76" s="50"/>
      <c r="F76" s="46"/>
      <c r="G76" s="47"/>
      <c r="H76" s="47"/>
      <c r="I76" s="47"/>
      <c r="J76" s="48">
        <f t="shared" si="1"/>
        <v>0</v>
      </c>
    </row>
    <row r="77" spans="1:10" s="43" customFormat="1" ht="15" customHeight="1">
      <c r="A77" s="172"/>
      <c r="B77" s="56"/>
      <c r="C77" s="49" t="s">
        <v>47</v>
      </c>
      <c r="D77" s="44"/>
      <c r="E77" s="50"/>
      <c r="F77" s="46">
        <f>20*H79</f>
        <v>280</v>
      </c>
      <c r="G77" s="47">
        <v>1</v>
      </c>
      <c r="H77" s="47">
        <v>1</v>
      </c>
      <c r="I77" s="47"/>
      <c r="J77" s="48">
        <f t="shared" si="1"/>
        <v>280</v>
      </c>
    </row>
    <row r="78" spans="1:10" s="43" customFormat="1" ht="15" customHeight="1" thickBot="1">
      <c r="A78" s="172"/>
      <c r="B78" s="57"/>
      <c r="C78" s="58" t="s">
        <v>48</v>
      </c>
      <c r="D78" s="59" t="s">
        <v>94</v>
      </c>
      <c r="E78" s="60"/>
      <c r="F78" s="61">
        <v>5</v>
      </c>
      <c r="G78" s="62">
        <f>G57+H57+1</f>
        <v>9</v>
      </c>
      <c r="H78" s="62">
        <f>H79</f>
        <v>14</v>
      </c>
      <c r="I78" s="62"/>
      <c r="J78" s="48">
        <f t="shared" si="1"/>
        <v>630</v>
      </c>
    </row>
    <row r="79" spans="1:10" s="43" customFormat="1" ht="15" customHeight="1" thickBot="1">
      <c r="A79" s="173"/>
      <c r="B79" s="63"/>
      <c r="C79" s="64" t="s">
        <v>45</v>
      </c>
      <c r="D79" s="51"/>
      <c r="E79" s="51"/>
      <c r="F79" s="52"/>
      <c r="G79" s="53"/>
      <c r="H79" s="53">
        <f>SUM(H73:H75)</f>
        <v>14</v>
      </c>
      <c r="I79" s="53"/>
      <c r="J79" s="54">
        <f>SUM(J73:J78)</f>
        <v>4690</v>
      </c>
    </row>
    <row r="80" spans="1:10" s="43" customFormat="1" ht="15" customHeight="1">
      <c r="A80" s="171" t="s">
        <v>49</v>
      </c>
      <c r="B80" s="65"/>
      <c r="C80" s="174" t="s">
        <v>95</v>
      </c>
      <c r="D80" s="175"/>
      <c r="E80" s="176"/>
      <c r="F80" s="65" t="s">
        <v>50</v>
      </c>
      <c r="G80" s="65" t="s">
        <v>51</v>
      </c>
      <c r="H80" s="65" t="s">
        <v>52</v>
      </c>
      <c r="I80" s="65" t="s">
        <v>53</v>
      </c>
      <c r="J80" s="66"/>
    </row>
    <row r="81" spans="1:10" s="43" customFormat="1" ht="15" customHeight="1">
      <c r="A81" s="172"/>
      <c r="B81" s="67"/>
      <c r="C81" s="177" t="s">
        <v>96</v>
      </c>
      <c r="D81" s="178"/>
      <c r="E81" s="179"/>
      <c r="F81" s="192">
        <f>680*8+150*2</f>
        <v>5740</v>
      </c>
      <c r="G81" s="192">
        <f>40*7+30</f>
        <v>310</v>
      </c>
      <c r="H81" s="192">
        <f>230*7+180+80*2</f>
        <v>1950</v>
      </c>
      <c r="I81" s="192">
        <f>60*7+50</f>
        <v>470</v>
      </c>
      <c r="J81" s="96"/>
    </row>
    <row r="82" spans="1:10" s="43" customFormat="1" ht="15" customHeight="1">
      <c r="A82" s="172"/>
      <c r="B82" s="67"/>
      <c r="C82" s="177" t="s">
        <v>97</v>
      </c>
      <c r="D82" s="178"/>
      <c r="E82" s="179"/>
      <c r="F82" s="193"/>
      <c r="G82" s="193"/>
      <c r="H82" s="193"/>
      <c r="I82" s="193"/>
      <c r="J82" s="96"/>
    </row>
    <row r="83" spans="1:10" s="43" customFormat="1" ht="15" customHeight="1">
      <c r="A83" s="172"/>
      <c r="B83" s="67"/>
      <c r="C83" s="200" t="s">
        <v>98</v>
      </c>
      <c r="D83" s="201"/>
      <c r="E83" s="202"/>
      <c r="F83" s="193"/>
      <c r="G83" s="193"/>
      <c r="H83" s="193"/>
      <c r="I83" s="193"/>
      <c r="J83" s="96"/>
    </row>
    <row r="84" spans="1:10" s="43" customFormat="1" ht="15" customHeight="1">
      <c r="A84" s="172"/>
      <c r="B84" s="67"/>
      <c r="C84" s="49" t="s">
        <v>100</v>
      </c>
      <c r="D84" s="44"/>
      <c r="E84" s="50"/>
      <c r="F84" s="193"/>
      <c r="G84" s="193"/>
      <c r="H84" s="193"/>
      <c r="I84" s="193"/>
      <c r="J84" s="71"/>
    </row>
    <row r="85" spans="1:10" s="43" customFormat="1" ht="15" customHeight="1">
      <c r="A85" s="172"/>
      <c r="B85" s="67"/>
      <c r="C85" s="49" t="s">
        <v>101</v>
      </c>
      <c r="D85" s="44"/>
      <c r="E85" s="50"/>
      <c r="F85" s="193"/>
      <c r="G85" s="193"/>
      <c r="H85" s="193"/>
      <c r="I85" s="193"/>
      <c r="J85" s="96"/>
    </row>
    <row r="86" spans="1:10" s="43" customFormat="1" ht="15" customHeight="1">
      <c r="A86" s="172"/>
      <c r="B86" s="67"/>
      <c r="C86" s="49" t="s">
        <v>99</v>
      </c>
      <c r="D86" s="44"/>
      <c r="E86" s="50"/>
      <c r="F86" s="193"/>
      <c r="G86" s="193"/>
      <c r="H86" s="193"/>
      <c r="I86" s="193"/>
      <c r="J86" s="96"/>
    </row>
    <row r="87" spans="1:10" s="43" customFormat="1" ht="15" customHeight="1">
      <c r="A87" s="172"/>
      <c r="B87" s="67"/>
      <c r="C87" s="200" t="s">
        <v>122</v>
      </c>
      <c r="D87" s="201"/>
      <c r="E87" s="202"/>
      <c r="F87" s="193"/>
      <c r="G87" s="193"/>
      <c r="H87" s="193"/>
      <c r="I87" s="193"/>
      <c r="J87" s="71"/>
    </row>
    <row r="88" spans="1:10" s="43" customFormat="1" ht="15" customHeight="1">
      <c r="A88" s="172"/>
      <c r="B88" s="67"/>
      <c r="C88" s="124" t="s">
        <v>123</v>
      </c>
      <c r="D88" s="125"/>
      <c r="E88" s="126"/>
      <c r="F88" s="191"/>
      <c r="G88" s="191"/>
      <c r="H88" s="191"/>
      <c r="I88" s="191"/>
      <c r="J88" s="71"/>
    </row>
    <row r="89" spans="1:10" s="43" customFormat="1" ht="15" customHeight="1" thickBot="1">
      <c r="A89" s="172"/>
      <c r="B89" s="67"/>
      <c r="C89" s="177" t="s">
        <v>102</v>
      </c>
      <c r="D89" s="178"/>
      <c r="E89" s="179"/>
      <c r="F89" s="47" t="s">
        <v>67</v>
      </c>
      <c r="G89" s="47" t="s">
        <v>75</v>
      </c>
      <c r="H89" s="47" t="s">
        <v>76</v>
      </c>
      <c r="I89" s="47" t="s">
        <v>75</v>
      </c>
      <c r="J89" s="70"/>
    </row>
    <row r="90" spans="1:10" s="43" customFormat="1" ht="15" customHeight="1" thickBot="1">
      <c r="A90" s="172"/>
      <c r="B90" s="72"/>
      <c r="C90" s="218" t="s">
        <v>45</v>
      </c>
      <c r="D90" s="219"/>
      <c r="E90" s="219"/>
      <c r="F90" s="52"/>
      <c r="G90" s="53"/>
      <c r="H90" s="53"/>
      <c r="I90" s="73"/>
      <c r="J90" s="54">
        <f>SUM(F81:I89)</f>
        <v>8470</v>
      </c>
    </row>
    <row r="91" spans="1:10" s="43" customFormat="1" ht="15" customHeight="1">
      <c r="A91" s="171" t="s">
        <v>54</v>
      </c>
      <c r="B91" s="213" t="s">
        <v>137</v>
      </c>
      <c r="C91" s="49" t="s">
        <v>104</v>
      </c>
      <c r="D91" s="44"/>
      <c r="E91" s="74"/>
      <c r="F91" s="46">
        <v>18</v>
      </c>
      <c r="G91" s="47">
        <f>G57+H57+1</f>
        <v>9</v>
      </c>
      <c r="H91" s="47">
        <v>1</v>
      </c>
      <c r="I91" s="55"/>
      <c r="J91" s="48">
        <f t="shared" ref="J91:J97" si="2">F91*G91*H91</f>
        <v>162</v>
      </c>
    </row>
    <row r="92" spans="1:10" s="43" customFormat="1" ht="15" customHeight="1">
      <c r="A92" s="172"/>
      <c r="B92" s="214"/>
      <c r="C92" s="110" t="s">
        <v>113</v>
      </c>
      <c r="D92" s="111"/>
      <c r="E92" s="112"/>
      <c r="F92" s="113">
        <v>2</v>
      </c>
      <c r="G92" s="114">
        <f>G57+H57+1</f>
        <v>9</v>
      </c>
      <c r="H92" s="114">
        <v>1</v>
      </c>
      <c r="I92" s="114"/>
      <c r="J92" s="115">
        <f t="shared" si="2"/>
        <v>18</v>
      </c>
    </row>
    <row r="93" spans="1:10" s="43" customFormat="1" ht="15" customHeight="1">
      <c r="A93" s="172"/>
      <c r="B93" s="135" t="s">
        <v>138</v>
      </c>
      <c r="C93" s="124" t="s">
        <v>136</v>
      </c>
      <c r="D93" s="125"/>
      <c r="E93" s="126"/>
      <c r="F93" s="113">
        <v>8</v>
      </c>
      <c r="G93" s="114">
        <f>G57+H57+1</f>
        <v>9</v>
      </c>
      <c r="H93" s="114">
        <v>1</v>
      </c>
      <c r="I93" s="114"/>
      <c r="J93" s="115">
        <f t="shared" si="2"/>
        <v>72</v>
      </c>
    </row>
    <row r="94" spans="1:10" s="43" customFormat="1" ht="15" customHeight="1">
      <c r="A94" s="172"/>
      <c r="B94" s="215" t="s">
        <v>139</v>
      </c>
      <c r="C94" s="124" t="s">
        <v>105</v>
      </c>
      <c r="D94" s="111"/>
      <c r="E94" s="112"/>
      <c r="F94" s="113">
        <v>25</v>
      </c>
      <c r="G94" s="114">
        <f>G57+H57+1</f>
        <v>9</v>
      </c>
      <c r="H94" s="114">
        <v>1</v>
      </c>
      <c r="I94" s="114"/>
      <c r="J94" s="115">
        <f t="shared" si="2"/>
        <v>225</v>
      </c>
    </row>
    <row r="95" spans="1:10" s="43" customFormat="1" ht="15" customHeight="1">
      <c r="A95" s="172"/>
      <c r="B95" s="216"/>
      <c r="C95" s="124" t="s">
        <v>106</v>
      </c>
      <c r="D95" s="44"/>
      <c r="E95" s="74"/>
      <c r="F95" s="113">
        <v>20</v>
      </c>
      <c r="G95" s="47">
        <f>G57+H57+1</f>
        <v>9</v>
      </c>
      <c r="H95" s="47">
        <v>1</v>
      </c>
      <c r="I95" s="47"/>
      <c r="J95" s="48">
        <f t="shared" si="2"/>
        <v>180</v>
      </c>
    </row>
    <row r="96" spans="1:10" s="43" customFormat="1" ht="15" customHeight="1">
      <c r="A96" s="172"/>
      <c r="B96" s="216"/>
      <c r="C96" s="49" t="s">
        <v>107</v>
      </c>
      <c r="D96" s="44"/>
      <c r="E96" s="74"/>
      <c r="F96" s="46">
        <v>24</v>
      </c>
      <c r="G96" s="47">
        <f>G57+H57+1</f>
        <v>9</v>
      </c>
      <c r="H96" s="47">
        <v>1</v>
      </c>
      <c r="I96" s="47"/>
      <c r="J96" s="48">
        <f t="shared" si="2"/>
        <v>216</v>
      </c>
    </row>
    <row r="97" spans="1:10" s="43" customFormat="1" ht="15" customHeight="1" thickBot="1">
      <c r="A97" s="172"/>
      <c r="B97" s="217"/>
      <c r="C97" s="49" t="s">
        <v>108</v>
      </c>
      <c r="D97" s="44"/>
      <c r="E97" s="74"/>
      <c r="F97" s="46">
        <v>13</v>
      </c>
      <c r="G97" s="47">
        <f>G57+H57+1</f>
        <v>9</v>
      </c>
      <c r="H97" s="47">
        <v>1</v>
      </c>
      <c r="I97" s="47"/>
      <c r="J97" s="48">
        <f t="shared" si="2"/>
        <v>117</v>
      </c>
    </row>
    <row r="98" spans="1:10" s="43" customFormat="1" ht="15" customHeight="1" thickBot="1">
      <c r="A98" s="172"/>
      <c r="B98" s="75"/>
      <c r="C98" s="220" t="s">
        <v>45</v>
      </c>
      <c r="D98" s="221"/>
      <c r="E98" s="221"/>
      <c r="F98" s="52"/>
      <c r="G98" s="76"/>
      <c r="H98" s="53"/>
      <c r="I98" s="53"/>
      <c r="J98" s="54">
        <f>SUM(J91:J97)</f>
        <v>990</v>
      </c>
    </row>
    <row r="99" spans="1:10" s="43" customFormat="1" ht="15" customHeight="1">
      <c r="A99" s="171" t="s">
        <v>55</v>
      </c>
      <c r="B99" s="103"/>
      <c r="C99" s="49"/>
      <c r="D99" s="77"/>
      <c r="E99" s="78"/>
      <c r="F99" s="79"/>
      <c r="G99" s="47"/>
      <c r="H99" s="55"/>
      <c r="I99" s="55"/>
      <c r="J99" s="48">
        <f t="shared" ref="J99:J104" si="3">F99*G99*H99</f>
        <v>0</v>
      </c>
    </row>
    <row r="100" spans="1:10" s="43" customFormat="1" ht="15" customHeight="1">
      <c r="A100" s="172"/>
      <c r="B100" s="192" t="s">
        <v>68</v>
      </c>
      <c r="C100" s="99" t="s">
        <v>110</v>
      </c>
      <c r="D100" s="104"/>
      <c r="E100" s="105"/>
      <c r="F100" s="100">
        <v>450</v>
      </c>
      <c r="G100" s="101"/>
      <c r="H100" s="101"/>
      <c r="I100" s="101"/>
      <c r="J100" s="102">
        <f t="shared" si="3"/>
        <v>0</v>
      </c>
    </row>
    <row r="101" spans="1:10" s="43" customFormat="1" ht="15" customHeight="1">
      <c r="A101" s="172"/>
      <c r="B101" s="193"/>
      <c r="C101" s="99" t="s">
        <v>109</v>
      </c>
      <c r="D101" s="104"/>
      <c r="E101" s="105"/>
      <c r="F101" s="100"/>
      <c r="G101" s="101"/>
      <c r="H101" s="101"/>
      <c r="I101" s="101"/>
      <c r="J101" s="102">
        <f t="shared" si="3"/>
        <v>0</v>
      </c>
    </row>
    <row r="102" spans="1:10" s="43" customFormat="1" ht="15" customHeight="1">
      <c r="A102" s="172"/>
      <c r="B102" s="106"/>
      <c r="C102" s="49" t="s">
        <v>111</v>
      </c>
      <c r="D102" s="68"/>
      <c r="E102" s="69"/>
      <c r="F102" s="46">
        <f>180*2+120*2</f>
        <v>600</v>
      </c>
      <c r="G102" s="47">
        <v>1</v>
      </c>
      <c r="H102" s="47">
        <v>1</v>
      </c>
      <c r="I102" s="47"/>
      <c r="J102" s="48">
        <f t="shared" si="3"/>
        <v>600</v>
      </c>
    </row>
    <row r="103" spans="1:10" s="43" customFormat="1" ht="15" customHeight="1">
      <c r="A103" s="172"/>
      <c r="B103" s="106"/>
      <c r="C103" s="49" t="s">
        <v>112</v>
      </c>
      <c r="D103" s="68"/>
      <c r="E103" s="69"/>
      <c r="F103" s="46">
        <f>70+80</f>
        <v>150</v>
      </c>
      <c r="G103" s="47">
        <v>1</v>
      </c>
      <c r="H103" s="47">
        <v>1</v>
      </c>
      <c r="I103" s="47"/>
      <c r="J103" s="48">
        <f t="shared" si="3"/>
        <v>150</v>
      </c>
    </row>
    <row r="104" spans="1:10" s="43" customFormat="1" ht="15" customHeight="1" thickBot="1">
      <c r="A104" s="172"/>
      <c r="B104" s="116"/>
      <c r="C104" s="117"/>
      <c r="D104" s="118"/>
      <c r="E104" s="119"/>
      <c r="F104" s="120"/>
      <c r="G104" s="121"/>
      <c r="H104" s="121"/>
      <c r="I104" s="121"/>
      <c r="J104" s="48">
        <f t="shared" si="3"/>
        <v>0</v>
      </c>
    </row>
    <row r="105" spans="1:10" s="43" customFormat="1" ht="15" customHeight="1" thickBot="1">
      <c r="A105" s="197"/>
      <c r="B105" s="80"/>
      <c r="C105" s="198" t="s">
        <v>45</v>
      </c>
      <c r="D105" s="199"/>
      <c r="E105" s="199"/>
      <c r="F105" s="81"/>
      <c r="G105" s="82"/>
      <c r="H105" s="83"/>
      <c r="I105" s="84"/>
      <c r="J105" s="54">
        <f>SUM(J99:J104)</f>
        <v>750</v>
      </c>
    </row>
    <row r="106" spans="1:10" s="37" customFormat="1" ht="15" customHeight="1" thickBot="1">
      <c r="A106" s="194" t="s">
        <v>56</v>
      </c>
      <c r="B106" s="210"/>
      <c r="C106" s="85"/>
      <c r="D106" s="85"/>
      <c r="E106" s="85"/>
      <c r="F106" s="86"/>
      <c r="G106" s="86"/>
      <c r="H106" s="86"/>
      <c r="I106" s="87" t="s">
        <v>8</v>
      </c>
      <c r="J106" s="88">
        <f>J72+J79+J90+J98+J105</f>
        <v>20632</v>
      </c>
    </row>
    <row r="107" spans="1:10" s="37" customFormat="1" ht="15" customHeight="1" thickBot="1">
      <c r="A107" s="194" t="s">
        <v>57</v>
      </c>
      <c r="B107" s="210"/>
      <c r="C107" s="89"/>
      <c r="D107" s="89"/>
      <c r="E107" s="89"/>
      <c r="F107" s="90"/>
      <c r="G107" s="89"/>
      <c r="H107" s="91"/>
      <c r="I107" s="87" t="s">
        <v>8</v>
      </c>
      <c r="J107" s="88">
        <v>200</v>
      </c>
    </row>
    <row r="108" spans="1:10" s="29" customFormat="1" ht="15" customHeight="1" thickBo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</row>
    <row r="109" spans="1:10" s="37" customFormat="1" ht="15" customHeight="1" thickBot="1">
      <c r="A109" s="194" t="s">
        <v>58</v>
      </c>
      <c r="B109" s="211"/>
      <c r="C109" s="211"/>
      <c r="D109" s="211"/>
      <c r="E109" s="211"/>
      <c r="F109" s="211"/>
      <c r="G109" s="212"/>
      <c r="H109" s="93" t="s">
        <v>8</v>
      </c>
      <c r="I109" s="188">
        <f>J106+J107</f>
        <v>20832</v>
      </c>
      <c r="J109" s="189"/>
    </row>
    <row r="110" spans="1:10" s="37" customFormat="1" ht="15" customHeight="1" thickBot="1">
      <c r="A110" s="194" t="s">
        <v>59</v>
      </c>
      <c r="B110" s="195"/>
      <c r="C110" s="195"/>
      <c r="D110" s="195"/>
      <c r="E110" s="195"/>
      <c r="F110" s="195"/>
      <c r="G110" s="196"/>
      <c r="H110" s="93" t="s">
        <v>8</v>
      </c>
      <c r="I110" s="188">
        <f>I109/G57</f>
        <v>2604</v>
      </c>
      <c r="J110" s="189"/>
    </row>
    <row r="111" spans="1:10" s="37" customFormat="1" ht="15" customHeight="1" thickBot="1">
      <c r="A111" s="204" t="s">
        <v>60</v>
      </c>
      <c r="B111" s="205"/>
      <c r="C111" s="205"/>
      <c r="D111" s="205"/>
      <c r="E111" s="205"/>
      <c r="F111" s="205"/>
      <c r="G111" s="206"/>
      <c r="H111" s="94" t="s">
        <v>8</v>
      </c>
      <c r="I111" s="207">
        <f>F72</f>
        <v>420</v>
      </c>
      <c r="J111" s="208"/>
    </row>
  </sheetData>
  <mergeCells count="73">
    <mergeCell ref="G81:G88"/>
    <mergeCell ref="A46:J46"/>
    <mergeCell ref="B91:B92"/>
    <mergeCell ref="B94:B97"/>
    <mergeCell ref="B11:E11"/>
    <mergeCell ref="F11:G11"/>
    <mergeCell ref="H11:J11"/>
    <mergeCell ref="C90:E90"/>
    <mergeCell ref="A91:A98"/>
    <mergeCell ref="C98:E98"/>
    <mergeCell ref="B100:B101"/>
    <mergeCell ref="C83:E83"/>
    <mergeCell ref="A44:J44"/>
    <mergeCell ref="H81:H88"/>
    <mergeCell ref="A111:G111"/>
    <mergeCell ref="I111:J111"/>
    <mergeCell ref="A45:J45"/>
    <mergeCell ref="A106:B106"/>
    <mergeCell ref="A107:B107"/>
    <mergeCell ref="A109:G109"/>
    <mergeCell ref="I109:J109"/>
    <mergeCell ref="B73:B74"/>
    <mergeCell ref="F81:F88"/>
    <mergeCell ref="I81:I88"/>
    <mergeCell ref="A110:G110"/>
    <mergeCell ref="I110:J110"/>
    <mergeCell ref="A99:A105"/>
    <mergeCell ref="C105:E105"/>
    <mergeCell ref="C87:E87"/>
    <mergeCell ref="C89:E89"/>
    <mergeCell ref="A73:A79"/>
    <mergeCell ref="A80:A90"/>
    <mergeCell ref="C80:E80"/>
    <mergeCell ref="C81:E81"/>
    <mergeCell ref="C82:E82"/>
    <mergeCell ref="A43:J43"/>
    <mergeCell ref="A55:J55"/>
    <mergeCell ref="I57:J57"/>
    <mergeCell ref="C58:E58"/>
    <mergeCell ref="A59:A72"/>
    <mergeCell ref="A51:J51"/>
    <mergeCell ref="A53:J53"/>
    <mergeCell ref="A37:J37"/>
    <mergeCell ref="A38:J38"/>
    <mergeCell ref="A40:J40"/>
    <mergeCell ref="A41:J41"/>
    <mergeCell ref="A49:J49"/>
    <mergeCell ref="A47:J47"/>
    <mergeCell ref="A35:J35"/>
    <mergeCell ref="A36:J36"/>
    <mergeCell ref="A50:J50"/>
    <mergeCell ref="B27:J27"/>
    <mergeCell ref="B28:J28"/>
    <mergeCell ref="B32:J32"/>
    <mergeCell ref="A33:J33"/>
    <mergeCell ref="A42:J42"/>
    <mergeCell ref="B12:J12"/>
    <mergeCell ref="B13:E13"/>
    <mergeCell ref="F13:G13"/>
    <mergeCell ref="H13:J13"/>
    <mergeCell ref="A14:J14"/>
    <mergeCell ref="B30:J30"/>
    <mergeCell ref="A15:J15"/>
    <mergeCell ref="A21:J21"/>
    <mergeCell ref="B22:J22"/>
    <mergeCell ref="A34:J34"/>
    <mergeCell ref="A7:J7"/>
    <mergeCell ref="B9:E9"/>
    <mergeCell ref="F9:G9"/>
    <mergeCell ref="H9:J9"/>
    <mergeCell ref="B10:E10"/>
    <mergeCell ref="F10:G10"/>
    <mergeCell ref="H10:J10"/>
  </mergeCells>
  <phoneticPr fontId="3" type="noConversion"/>
  <printOptions horizontalCentered="1"/>
  <pageMargins left="0.70866141732283472" right="0.70866141732283472" top="0.78740157480314965" bottom="0.39370078740157483" header="0.31496062992125984" footer="0.31496062992125984"/>
  <pageSetup paperSize="9" scale="78" orientation="portrait"/>
  <rowBreaks count="1" manualBreakCount="1">
    <brk id="53" max="8" man="1"/>
  </rowBreak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EDB2F91F2148241A9EAD4C277656386" ma:contentTypeVersion="15" ma:contentTypeDescription="새 문서를 만듭니다." ma:contentTypeScope="" ma:versionID="f0368d7aa5c379118ccf3ad3ec09514f">
  <xsd:schema xmlns:xsd="http://www.w3.org/2001/XMLSchema" xmlns:xs="http://www.w3.org/2001/XMLSchema" xmlns:p="http://schemas.microsoft.com/office/2006/metadata/properties" xmlns:ns2="4b262e48-7f8a-4a7e-8936-03b28e3a5c6c" xmlns:ns3="ec6faa79-66ff-44b0-a8fa-693fbc31733b" targetNamespace="http://schemas.microsoft.com/office/2006/metadata/properties" ma:root="true" ma:fieldsID="74a4220ef9bf643084cc9a3ccd1bd0df" ns2:_="" ns3:_="">
    <xsd:import namespace="4b262e48-7f8a-4a7e-8936-03b28e3a5c6c"/>
    <xsd:import namespace="ec6faa79-66ff-44b0-a8fa-693fbc3173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e48-7f8a-4a7e-8936-03b28e3a5c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fed8afb7-d9d1-4bb5-b4a8-fc35c2faa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faa79-66ff-44b0-a8fa-693fbc31733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a345fee-c17d-4285-8e89-9f1979c23017}" ma:internalName="TaxCatchAll" ma:showField="CatchAllData" ma:web="ec6faa79-66ff-44b0-a8fa-693fbc3173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CB6165-4BD4-4A2D-996A-6D0C653385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3D03A2-0A17-4957-A55B-8C244E4641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62e48-7f8a-4a7e-8936-03b28e3a5c6c"/>
    <ds:schemaRef ds:uri="ec6faa79-66ff-44b0-a8fa-693fbc3173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견적서</dc:title>
  <dc:creator>이해평</dc:creator>
  <cp:lastModifiedBy>김윤정C</cp:lastModifiedBy>
  <cp:lastPrinted>2024-12-12T05:17:59Z</cp:lastPrinted>
  <dcterms:created xsi:type="dcterms:W3CDTF">2000-03-05T20:18:37Z</dcterms:created>
  <dcterms:modified xsi:type="dcterms:W3CDTF">2026-05-11T05:02:06Z</dcterms:modified>
</cp:coreProperties>
</file>