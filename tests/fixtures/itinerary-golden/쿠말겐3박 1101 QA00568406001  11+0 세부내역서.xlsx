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https://hanatour0-my.sharepoint.com/personal/eric_hanatour_com/Documents/바탕 화면/싱가포르   쿠알라 견적 블랙다운/"/>
    </mc:Choice>
  </mc:AlternateContent>
  <xr:revisionPtr revIDLastSave="0" documentId="8_{93EB7274-8B3D-4A7C-B143-D95AB3D74C13}" xr6:coauthVersionLast="47" xr6:coauthVersionMax="47" xr10:uidLastSave="{00000000-0000-0000-0000-000000000000}"/>
  <bookViews>
    <workbookView xWindow="-110" yWindow="-110" windowWidth="38620" windowHeight="21220" tabRatio="630" xr2:uid="{00000000-000D-0000-FFFF-FFFF00000000}"/>
  </bookViews>
  <sheets>
    <sheet name="세부내역서" sheetId="28" r:id="rId1"/>
  </sheets>
  <definedNames>
    <definedName name="_xlnm.Print_Area" localSheetId="0">세부내역서!$A$1:$L$51</definedName>
    <definedName name="_xlnm.Print_Titles" localSheetId="0">세부내역서!$1:$5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8" i="28" l="1"/>
  <c r="J28" i="28" s="1"/>
  <c r="I29" i="28"/>
  <c r="I12" i="28" l="1"/>
  <c r="J12" i="28" s="1"/>
  <c r="J43" i="28" l="1"/>
  <c r="I47" i="28"/>
  <c r="J47" i="28" s="1"/>
  <c r="J48" i="28" s="1"/>
  <c r="J45" i="28"/>
  <c r="J44" i="28"/>
  <c r="J42" i="28"/>
  <c r="J40" i="28"/>
  <c r="J39" i="28"/>
  <c r="J38" i="28"/>
  <c r="J37" i="28"/>
  <c r="J36" i="28"/>
  <c r="I33" i="28"/>
  <c r="J33" i="28" s="1"/>
  <c r="I32" i="28"/>
  <c r="J32" i="28" s="1"/>
  <c r="J29" i="28"/>
  <c r="I27" i="28"/>
  <c r="J27" i="28" s="1"/>
  <c r="I26" i="28"/>
  <c r="J26" i="28" s="1"/>
  <c r="I25" i="28"/>
  <c r="J25" i="28" s="1"/>
  <c r="I24" i="28"/>
  <c r="J24" i="28" s="1"/>
  <c r="I23" i="28"/>
  <c r="J23" i="28" s="1"/>
  <c r="I20" i="28"/>
  <c r="J20" i="28" s="1"/>
  <c r="I19" i="28"/>
  <c r="J19" i="28" s="1"/>
  <c r="I18" i="28"/>
  <c r="J18" i="28" s="1"/>
  <c r="I17" i="28"/>
  <c r="J17" i="28" s="1"/>
  <c r="I16" i="28"/>
  <c r="J16" i="28" s="1"/>
  <c r="I15" i="28"/>
  <c r="J15" i="28" s="1"/>
  <c r="I14" i="28"/>
  <c r="J14" i="28" s="1"/>
  <c r="I13" i="28"/>
  <c r="J13" i="28" s="1"/>
  <c r="I11" i="28"/>
  <c r="J11" i="28" s="1"/>
  <c r="J8" i="28"/>
  <c r="J7" i="28"/>
  <c r="J46" i="28" l="1"/>
  <c r="J34" i="28"/>
  <c r="J41" i="28"/>
  <c r="J30" i="28"/>
  <c r="J9" i="28"/>
  <c r="J21" i="28"/>
  <c r="J49" i="28" l="1"/>
  <c r="J50" i="28" s="1"/>
  <c r="K50" i="28" s="1"/>
</calcChain>
</file>

<file path=xl/sharedStrings.xml><?xml version="1.0" encoding="utf-8"?>
<sst xmlns="http://schemas.openxmlformats.org/spreadsheetml/2006/main" count="128" uniqueCount="95">
  <si>
    <t>1일차</t>
    <phoneticPr fontId="1" type="noConversion"/>
  </si>
  <si>
    <t>2일차</t>
    <phoneticPr fontId="1" type="noConversion"/>
  </si>
  <si>
    <t>3일차</t>
    <phoneticPr fontId="1" type="noConversion"/>
  </si>
  <si>
    <t>4일차</t>
    <phoneticPr fontId="1" type="noConversion"/>
  </si>
  <si>
    <t>단체명</t>
    <phoneticPr fontId="7" type="noConversion"/>
  </si>
  <si>
    <t>구         분</t>
    <phoneticPr fontId="7" type="noConversion"/>
  </si>
  <si>
    <t>1박요금</t>
    <phoneticPr fontId="7" type="noConversion"/>
  </si>
  <si>
    <t>일(박수)</t>
    <phoneticPr fontId="7" type="noConversion"/>
  </si>
  <si>
    <t>총 방갯수</t>
    <phoneticPr fontId="7" type="noConversion"/>
  </si>
  <si>
    <t>총 요금</t>
    <phoneticPr fontId="7" type="noConversion"/>
  </si>
  <si>
    <t>호 텔</t>
    <phoneticPr fontId="7" type="noConversion"/>
  </si>
  <si>
    <t>합      계</t>
    <phoneticPr fontId="7" type="noConversion"/>
  </si>
  <si>
    <t>1인요금</t>
    <phoneticPr fontId="7" type="noConversion"/>
  </si>
  <si>
    <t>일</t>
    <phoneticPr fontId="7" type="noConversion"/>
  </si>
  <si>
    <t>인원</t>
    <phoneticPr fontId="7" type="noConversion"/>
  </si>
  <si>
    <t>총요금</t>
    <phoneticPr fontId="7" type="noConversion"/>
  </si>
  <si>
    <t>비 고</t>
    <phoneticPr fontId="7" type="noConversion"/>
  </si>
  <si>
    <t>식  사</t>
    <phoneticPr fontId="7" type="noConversion"/>
  </si>
  <si>
    <t>1일</t>
    <phoneticPr fontId="7" type="noConversion"/>
  </si>
  <si>
    <t>석식</t>
    <phoneticPr fontId="7" type="noConversion"/>
  </si>
  <si>
    <t>2일</t>
    <phoneticPr fontId="7" type="noConversion"/>
  </si>
  <si>
    <t>중식</t>
    <phoneticPr fontId="7" type="noConversion"/>
  </si>
  <si>
    <t>3일</t>
    <phoneticPr fontId="7" type="noConversion"/>
  </si>
  <si>
    <t>4일</t>
    <phoneticPr fontId="7" type="noConversion"/>
  </si>
  <si>
    <t>한식</t>
    <phoneticPr fontId="18" type="noConversion"/>
  </si>
  <si>
    <t>차 량</t>
    <phoneticPr fontId="7" type="noConversion"/>
  </si>
  <si>
    <t>구  분</t>
    <phoneticPr fontId="7" type="noConversion"/>
  </si>
  <si>
    <t>인승</t>
    <phoneticPr fontId="7" type="noConversion"/>
  </si>
  <si>
    <t>요금</t>
    <phoneticPr fontId="7" type="noConversion"/>
  </si>
  <si>
    <t>대수</t>
    <phoneticPr fontId="7" type="noConversion"/>
  </si>
  <si>
    <t>.</t>
    <phoneticPr fontId="7" type="noConversion"/>
  </si>
  <si>
    <t>입장료</t>
    <phoneticPr fontId="7" type="noConversion"/>
  </si>
  <si>
    <t xml:space="preserve">횟 수 </t>
    <phoneticPr fontId="7" type="noConversion"/>
  </si>
  <si>
    <t>합계</t>
    <phoneticPr fontId="7" type="noConversion"/>
  </si>
  <si>
    <t>내역</t>
    <phoneticPr fontId="7" type="noConversion"/>
  </si>
  <si>
    <t>가이드</t>
    <phoneticPr fontId="7" type="noConversion"/>
  </si>
  <si>
    <t>전체일정</t>
    <phoneticPr fontId="7" type="noConversion"/>
  </si>
  <si>
    <t>기타</t>
    <phoneticPr fontId="7" type="noConversion"/>
  </si>
  <si>
    <t>핸드링차지</t>
    <phoneticPr fontId="7" type="noConversion"/>
  </si>
  <si>
    <t>총  합 계</t>
    <phoneticPr fontId="7" type="noConversion"/>
  </si>
  <si>
    <t>1인당 요금</t>
    <phoneticPr fontId="7" type="noConversion"/>
  </si>
  <si>
    <t>5일</t>
  </si>
  <si>
    <t>하나투어</t>
    <phoneticPr fontId="1" type="noConversion"/>
  </si>
  <si>
    <t>출발일</t>
    <phoneticPr fontId="7" type="noConversion"/>
  </si>
  <si>
    <t>여행기간</t>
    <phoneticPr fontId="1" type="noConversion"/>
  </si>
  <si>
    <t>견적일</t>
    <phoneticPr fontId="7" type="noConversion"/>
  </si>
  <si>
    <t>환율</t>
    <phoneticPr fontId="1" type="noConversion"/>
  </si>
  <si>
    <t>견적번호</t>
    <phoneticPr fontId="1" type="noConversion"/>
  </si>
  <si>
    <t>출발인원</t>
    <phoneticPr fontId="7" type="noConversion"/>
  </si>
  <si>
    <t>세부내역서</t>
    <phoneticPr fontId="7" type="noConversion"/>
  </si>
  <si>
    <t>선택일정</t>
    <phoneticPr fontId="7" type="noConversion"/>
  </si>
  <si>
    <t xml:space="preserve">3. 포함사항 : </t>
  </si>
  <si>
    <t xml:space="preserve">4. 불포함사항 : </t>
  </si>
  <si>
    <t xml:space="preserve">5. 간략 일정 : </t>
  </si>
  <si>
    <t>이용객실</t>
    <phoneticPr fontId="7" type="noConversion"/>
  </si>
  <si>
    <t>겐팅 하이랜드 케이블카 (*왕복)</t>
    <phoneticPr fontId="1" type="noConversion"/>
  </si>
  <si>
    <t>*익스프레스티켓</t>
    <phoneticPr fontId="1" type="noConversion"/>
  </si>
  <si>
    <t>반딧불 투어</t>
    <phoneticPr fontId="1" type="noConversion"/>
  </si>
  <si>
    <t>말라카 트라이쇼</t>
    <phoneticPr fontId="1" type="noConversion"/>
  </si>
  <si>
    <t>KL타워 전망대</t>
    <phoneticPr fontId="1" type="noConversion"/>
  </si>
  <si>
    <t>잘란알로 야시장+과일시식</t>
    <phoneticPr fontId="1" type="noConversion"/>
  </si>
  <si>
    <t>기사팁&amp;톨비</t>
    <phoneticPr fontId="18" type="noConversion"/>
  </si>
  <si>
    <t>말레이시아 현지인 가이드</t>
    <phoneticPr fontId="7" type="noConversion"/>
  </si>
  <si>
    <t>말레이시아 한국인 가이드</t>
    <phoneticPr fontId="7" type="noConversion"/>
  </si>
  <si>
    <t>말레이시아</t>
    <phoneticPr fontId="18" type="noConversion"/>
  </si>
  <si>
    <t>말레이시아</t>
    <phoneticPr fontId="7" type="noConversion"/>
  </si>
  <si>
    <t>현지식</t>
    <phoneticPr fontId="18" type="noConversion"/>
  </si>
  <si>
    <t>세미씨푸드</t>
    <phoneticPr fontId="18" type="noConversion"/>
  </si>
  <si>
    <t>윈덤 그랜드 방사르 KL or 동급 3박</t>
    <phoneticPr fontId="7" type="noConversion"/>
  </si>
  <si>
    <t>D2 : 겐팅하이랜드 케이블카 (*왕복/익스프레스티켓) / 바투동굴 / 몽키힐 / 사티사원 / 반딧불 투어 / 중-현지식 / 석-세미씨푸드</t>
  </si>
  <si>
    <t>전일정 호텔 숙박&amp;조식(*2인1실 기준), 관광세, 전일정 식사(*일정표 참고), 관광지 입장료, 공항 미팅&amp;샌딩</t>
    <phoneticPr fontId="1" type="noConversion"/>
  </si>
  <si>
    <t>성수기 써차지 및 의무디너, 싱글룸 사용시 싱글차지, 생수, 음료 및 주류, 선택관광비, 매너팁 등 기타 개인 비용</t>
    <phoneticPr fontId="1" type="noConversion"/>
  </si>
  <si>
    <t>2. HOTEL :  윈덤 그랜드 방사르 KL 또는 동급 (*5성급)</t>
    <phoneticPr fontId="1" type="noConversion"/>
  </si>
  <si>
    <t>D1 : 공항미팅 / 푸트라자야&amp;푸트라 모스크 / 호텔 투숙 및 휴식 / 석-한식</t>
    <phoneticPr fontId="1" type="noConversion"/>
  </si>
  <si>
    <t>44인승</t>
    <phoneticPr fontId="18" type="noConversion"/>
  </si>
  <si>
    <t>현지식</t>
    <phoneticPr fontId="1" type="noConversion"/>
  </si>
  <si>
    <t>*AMP204241101MHA 기준</t>
    <phoneticPr fontId="1" type="noConversion"/>
  </si>
  <si>
    <t>1. 행사인원 :  11+0</t>
    <phoneticPr fontId="1" type="noConversion"/>
  </si>
  <si>
    <t>QA00568406001</t>
    <phoneticPr fontId="1" type="noConversion"/>
  </si>
  <si>
    <t>4트윈 1트리플 기준</t>
    <phoneticPr fontId="1" type="noConversion"/>
  </si>
  <si>
    <t xml:space="preserve">인원; 11명 (4트윈, 1트리플) </t>
  </si>
  <si>
    <t xml:space="preserve">ㄴ싱글챠지 별도 명시해 주세요. </t>
  </si>
  <si>
    <t xml:space="preserve">노팁, 노옵션, 노쇼핑 조건 </t>
  </si>
  <si>
    <t>[요청사항]</t>
  </si>
  <si>
    <t xml:space="preserve">말라카 리버보트 포함, 전신마사지 1시간 포함 </t>
  </si>
  <si>
    <t>---------------------------</t>
    <phoneticPr fontId="1" type="noConversion"/>
  </si>
  <si>
    <r>
      <t xml:space="preserve">전용차량(*44인승 1대), </t>
    </r>
    <r>
      <rPr>
        <b/>
        <sz val="10"/>
        <color rgb="FFFF0000"/>
        <rFont val="맑은 고딕"/>
        <family val="3"/>
        <charset val="129"/>
      </rPr>
      <t>노쇼핑&amp;노옵션&amp;노팁</t>
    </r>
    <phoneticPr fontId="1" type="noConversion"/>
  </si>
  <si>
    <t>엑스트라베드</t>
    <phoneticPr fontId="1" type="noConversion"/>
  </si>
  <si>
    <t>리버보트</t>
    <phoneticPr fontId="1" type="noConversion"/>
  </si>
  <si>
    <t>전신마사지 1시간</t>
    <phoneticPr fontId="1" type="noConversion"/>
  </si>
  <si>
    <r>
      <t xml:space="preserve">노팁 / 노쇼핑 / </t>
    </r>
    <r>
      <rPr>
        <b/>
        <sz val="9"/>
        <color rgb="FFFF0000"/>
        <rFont val="맑은 고딕"/>
        <family val="3"/>
        <charset val="129"/>
        <scheme val="minor"/>
      </rPr>
      <t>노옵션</t>
    </r>
    <phoneticPr fontId="7" type="noConversion"/>
  </si>
  <si>
    <t>D3 : 네덜란드광장 / 산티아고 요새 / 존커 스트리트 / 쳉훈텐 사원 / 트라이쇼 / 리버보트 / 중-한식 / 석-현지식</t>
    <phoneticPr fontId="1" type="noConversion"/>
  </si>
  <si>
    <t>D4 : 국립모스크 / 메르데카 광장 / KL 타워 전망대 / KLCC 공원 / 잘란알로 야시장 / 전신마사지 1시간 / 공항샌딩 / 중-한식 / 석-현지식</t>
    <phoneticPr fontId="1" type="noConversion"/>
  </si>
  <si>
    <t>ㄴ 싱글차지 15만원 / 인당</t>
    <phoneticPr fontId="1" type="noConversion"/>
  </si>
  <si>
    <r>
      <t xml:space="preserve">6. 지상비 : </t>
    </r>
    <r>
      <rPr>
        <b/>
        <sz val="10"/>
        <color rgb="FFFF0000"/>
        <rFont val="맑은 고딕"/>
        <family val="3"/>
        <charset val="129"/>
      </rPr>
      <t>677,000원 / 인당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</si>
</sst>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₩&quot;#,##0;[Red]\-&quot;₩&quot;#,##0"/>
    <numFmt numFmtId="41" formatCode="_-* #,##0_-;\-* #,##0_-;_-* &quot;-&quot;_-;_-@_-"/>
    <numFmt numFmtId="24" formatCode="\$#,##0_);[Red]\(\$#,##0\)"/>
    <numFmt numFmtId="176" formatCode="yyyy/mm/dd;@"/>
    <numFmt numFmtId="177" formatCode="\ m&quot;N&quot;\ d&quot;D&quot;"/>
    <numFmt numFmtId="178" formatCode="#,###\ &quot;PAX&quot;"/>
    <numFmt numFmtId="179" formatCode="&quot;₩&quot;#,##0_);\(&quot;₩&quot;#,##0\)"/>
    <numFmt numFmtId="180" formatCode="&quot;+&quot;\ \ \ #,###\ &quot;FOC&quot;"/>
    <numFmt numFmtId="181" formatCode="#,##0_ "/>
    <numFmt numFmtId="182" formatCode="#,###"/>
    <numFmt numFmtId="183" formatCode="_-&quot;RM&quot;* #,##0_ ;_-&quot;RM&quot;* \-#,##0\ ;_-&quot;RM&quot;* &quot;-&quot;_ ;_-@_ "/>
  </numFmts>
  <fonts count="2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indexed="63"/>
      <name val="맑은 고딕"/>
      <family val="3"/>
      <charset val="129"/>
    </font>
    <font>
      <sz val="8"/>
      <name val="돋움"/>
      <family val="3"/>
      <charset val="129"/>
    </font>
    <font>
      <b/>
      <sz val="1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1"/>
      <name val="돋움"/>
      <family val="3"/>
      <charset val="129"/>
    </font>
    <font>
      <b/>
      <sz val="10"/>
      <color theme="1" tint="0.249977111117893"/>
      <name val="맑은 고딕"/>
      <family val="3"/>
      <charset val="129"/>
    </font>
    <font>
      <sz val="9"/>
      <name val="맑은 고딕"/>
      <family val="3"/>
      <charset val="129"/>
      <scheme val="major"/>
    </font>
    <font>
      <b/>
      <sz val="14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9"/>
      <color rgb="FF0000CC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9"/>
      <name val="돋움"/>
      <family val="3"/>
      <charset val="129"/>
    </font>
    <font>
      <b/>
      <sz val="9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1"/>
      <color rgb="FF0000CC"/>
      <name val="돋움"/>
      <family val="3"/>
      <charset val="129"/>
    </font>
    <font>
      <b/>
      <sz val="9"/>
      <color rgb="FFFF0000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b/>
      <sz val="11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70C0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0" fillId="0" borderId="0"/>
  </cellStyleXfs>
  <cellXfs count="143">
    <xf numFmtId="0" fontId="0" fillId="0" borderId="0" xfId="0">
      <alignment vertical="center"/>
    </xf>
    <xf numFmtId="0" fontId="6" fillId="0" borderId="0" xfId="0" applyFont="1">
      <alignment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left" vertical="center" indent="1"/>
    </xf>
    <xf numFmtId="0" fontId="12" fillId="0" borderId="0" xfId="3" applyFont="1" applyAlignment="1">
      <alignment vertical="center"/>
    </xf>
    <xf numFmtId="0" fontId="12" fillId="0" borderId="0" xfId="3" applyFont="1" applyAlignment="1">
      <alignment horizontal="center" vertical="center"/>
    </xf>
    <xf numFmtId="0" fontId="10" fillId="0" borderId="0" xfId="3"/>
    <xf numFmtId="0" fontId="10" fillId="0" borderId="0" xfId="3" applyAlignment="1">
      <alignment horizontal="left" vertical="center"/>
    </xf>
    <xf numFmtId="0" fontId="10" fillId="0" borderId="0" xfId="3" applyAlignment="1">
      <alignment horizontal="center" vertical="center"/>
    </xf>
    <xf numFmtId="0" fontId="4" fillId="0" borderId="5" xfId="3" applyFont="1" applyBorder="1" applyAlignment="1">
      <alignment horizontal="center" vertical="center"/>
    </xf>
    <xf numFmtId="0" fontId="19" fillId="0" borderId="0" xfId="3" applyFont="1"/>
    <xf numFmtId="0" fontId="14" fillId="0" borderId="5" xfId="3" applyFont="1" applyBorder="1" applyAlignment="1">
      <alignment horizontal="center" vertical="center"/>
    </xf>
    <xf numFmtId="0" fontId="14" fillId="0" borderId="6" xfId="3" applyFont="1" applyBorder="1" applyAlignment="1">
      <alignment horizontal="center" vertical="center"/>
    </xf>
    <xf numFmtId="0" fontId="15" fillId="0" borderId="6" xfId="3" applyFont="1" applyBorder="1" applyAlignment="1">
      <alignment horizontal="center" vertical="center"/>
    </xf>
    <xf numFmtId="0" fontId="20" fillId="0" borderId="6" xfId="3" applyFont="1" applyBorder="1" applyAlignment="1">
      <alignment horizontal="center" vertical="center"/>
    </xf>
    <xf numFmtId="0" fontId="14" fillId="0" borderId="23" xfId="3" applyFont="1" applyBorder="1" applyAlignment="1">
      <alignment horizontal="center" vertical="center"/>
    </xf>
    <xf numFmtId="0" fontId="14" fillId="0" borderId="24" xfId="3" applyFont="1" applyBorder="1" applyAlignment="1">
      <alignment horizontal="center" vertical="center"/>
    </xf>
    <xf numFmtId="0" fontId="24" fillId="0" borderId="0" xfId="3" applyFont="1"/>
    <xf numFmtId="6" fontId="26" fillId="0" borderId="0" xfId="3" applyNumberFormat="1" applyFont="1" applyAlignment="1">
      <alignment horizontal="center" vertical="center"/>
    </xf>
    <xf numFmtId="0" fontId="10" fillId="0" borderId="0" xfId="3" applyAlignment="1">
      <alignment horizontal="center"/>
    </xf>
    <xf numFmtId="6" fontId="27" fillId="0" borderId="0" xfId="3" applyNumberFormat="1" applyFont="1" applyAlignment="1">
      <alignment horizontal="center"/>
    </xf>
    <xf numFmtId="177" fontId="6" fillId="0" borderId="0" xfId="0" applyNumberFormat="1" applyFont="1">
      <alignment vertical="center"/>
    </xf>
    <xf numFmtId="0" fontId="8" fillId="0" borderId="0" xfId="0" applyFont="1">
      <alignment vertical="center"/>
    </xf>
    <xf numFmtId="177" fontId="6" fillId="0" borderId="6" xfId="0" applyNumberFormat="1" applyFont="1" applyBorder="1" applyAlignment="1">
      <alignment horizontal="center" vertical="center"/>
    </xf>
    <xf numFmtId="0" fontId="14" fillId="0" borderId="20" xfId="3" applyFont="1" applyBorder="1" applyAlignment="1">
      <alignment horizontal="center" vertical="center"/>
    </xf>
    <xf numFmtId="0" fontId="14" fillId="0" borderId="3" xfId="3" applyFont="1" applyBorder="1" applyAlignment="1">
      <alignment horizontal="center" vertical="center"/>
    </xf>
    <xf numFmtId="0" fontId="16" fillId="7" borderId="1" xfId="3" applyFont="1" applyFill="1" applyBorder="1" applyAlignment="1">
      <alignment horizontal="center" vertical="center"/>
    </xf>
    <xf numFmtId="182" fontId="14" fillId="0" borderId="5" xfId="3" applyNumberFormat="1" applyFont="1" applyBorder="1" applyAlignment="1">
      <alignment horizontal="center" vertical="center"/>
    </xf>
    <xf numFmtId="0" fontId="4" fillId="0" borderId="20" xfId="3" applyFont="1" applyBorder="1" applyAlignment="1">
      <alignment horizontal="center" vertical="center"/>
    </xf>
    <xf numFmtId="0" fontId="14" fillId="0" borderId="21" xfId="3" applyFont="1" applyBorder="1" applyAlignment="1">
      <alignment horizontal="center" vertical="center"/>
    </xf>
    <xf numFmtId="0" fontId="16" fillId="7" borderId="5" xfId="3" applyFont="1" applyFill="1" applyBorder="1" applyAlignment="1">
      <alignment horizontal="center" vertical="center" shrinkToFit="1"/>
    </xf>
    <xf numFmtId="0" fontId="16" fillId="7" borderId="6" xfId="3" applyFont="1" applyFill="1" applyBorder="1" applyAlignment="1">
      <alignment horizontal="center" vertical="center" shrinkToFit="1"/>
    </xf>
    <xf numFmtId="181" fontId="9" fillId="3" borderId="24" xfId="1" applyNumberFormat="1" applyFont="1" applyFill="1" applyBorder="1" applyAlignment="1">
      <alignment horizontal="center" vertical="center"/>
    </xf>
    <xf numFmtId="178" fontId="14" fillId="2" borderId="17" xfId="0" applyNumberFormat="1" applyFont="1" applyFill="1" applyBorder="1" applyAlignment="1">
      <alignment horizontal="center" vertical="center"/>
    </xf>
    <xf numFmtId="180" fontId="15" fillId="2" borderId="2" xfId="0" applyNumberFormat="1" applyFont="1" applyFill="1" applyBorder="1" applyAlignment="1">
      <alignment horizontal="left" vertical="center"/>
    </xf>
    <xf numFmtId="0" fontId="17" fillId="0" borderId="21" xfId="3" applyFont="1" applyBorder="1" applyAlignment="1">
      <alignment horizontal="center" vertical="center"/>
    </xf>
    <xf numFmtId="182" fontId="14" fillId="0" borderId="20" xfId="3" applyNumberFormat="1" applyFont="1" applyBorder="1" applyAlignment="1">
      <alignment horizontal="center" vertical="center"/>
    </xf>
    <xf numFmtId="0" fontId="4" fillId="0" borderId="23" xfId="3" applyFont="1" applyBorder="1" applyAlignment="1">
      <alignment horizontal="center" vertical="center"/>
    </xf>
    <xf numFmtId="182" fontId="14" fillId="0" borderId="23" xfId="3" applyNumberFormat="1" applyFont="1" applyBorder="1" applyAlignment="1">
      <alignment horizontal="center" vertical="center"/>
    </xf>
    <xf numFmtId="0" fontId="16" fillId="7" borderId="29" xfId="3" applyFont="1" applyFill="1" applyBorder="1" applyAlignment="1">
      <alignment horizontal="center" vertical="center"/>
    </xf>
    <xf numFmtId="0" fontId="16" fillId="7" borderId="30" xfId="3" applyFont="1" applyFill="1" applyBorder="1" applyAlignment="1">
      <alignment horizontal="center" vertical="center"/>
    </xf>
    <xf numFmtId="0" fontId="14" fillId="0" borderId="29" xfId="3" applyFont="1" applyBorder="1" applyAlignment="1">
      <alignment horizontal="center" vertical="center"/>
    </xf>
    <xf numFmtId="182" fontId="14" fillId="0" borderId="29" xfId="3" applyNumberFormat="1" applyFont="1" applyBorder="1" applyAlignment="1">
      <alignment horizontal="center" vertical="center"/>
    </xf>
    <xf numFmtId="0" fontId="14" fillId="0" borderId="30" xfId="3" applyFont="1" applyBorder="1" applyAlignment="1">
      <alignment horizontal="center" vertical="center"/>
    </xf>
    <xf numFmtId="24" fontId="14" fillId="5" borderId="16" xfId="3" applyNumberFormat="1" applyFont="1" applyFill="1" applyBorder="1" applyAlignment="1">
      <alignment vertical="center"/>
    </xf>
    <xf numFmtId="0" fontId="14" fillId="5" borderId="16" xfId="3" applyFont="1" applyFill="1" applyBorder="1" applyAlignment="1">
      <alignment vertical="center"/>
    </xf>
    <xf numFmtId="179" fontId="3" fillId="4" borderId="13" xfId="3" applyNumberFormat="1" applyFont="1" applyFill="1" applyBorder="1" applyAlignment="1">
      <alignment horizontal="center" vertical="center"/>
    </xf>
    <xf numFmtId="0" fontId="21" fillId="0" borderId="21" xfId="3" applyFont="1" applyBorder="1" applyAlignment="1">
      <alignment vertical="center"/>
    </xf>
    <xf numFmtId="0" fontId="20" fillId="0" borderId="21" xfId="3" applyFont="1" applyBorder="1" applyAlignment="1">
      <alignment horizontal="center" vertical="center"/>
    </xf>
    <xf numFmtId="0" fontId="14" fillId="0" borderId="21" xfId="3" applyFont="1" applyBorder="1" applyAlignment="1">
      <alignment vertical="center"/>
    </xf>
    <xf numFmtId="0" fontId="22" fillId="3" borderId="30" xfId="3" applyFont="1" applyFill="1" applyBorder="1" applyAlignment="1">
      <alignment horizontal="center" vertical="center"/>
    </xf>
    <xf numFmtId="0" fontId="14" fillId="0" borderId="25" xfId="3" applyFont="1" applyBorder="1" applyAlignment="1">
      <alignment horizontal="center" vertical="center"/>
    </xf>
    <xf numFmtId="0" fontId="14" fillId="5" borderId="16" xfId="3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 indent="1"/>
    </xf>
    <xf numFmtId="182" fontId="14" fillId="0" borderId="3" xfId="3" applyNumberFormat="1" applyFont="1" applyBorder="1" applyAlignment="1">
      <alignment horizontal="center" vertical="center"/>
    </xf>
    <xf numFmtId="183" fontId="12" fillId="0" borderId="0" xfId="3" applyNumberFormat="1" applyFont="1" applyAlignment="1">
      <alignment horizontal="center" vertical="center"/>
    </xf>
    <xf numFmtId="183" fontId="2" fillId="6" borderId="23" xfId="3" applyNumberFormat="1" applyFont="1" applyFill="1" applyBorder="1" applyAlignment="1">
      <alignment horizontal="center" vertical="center"/>
    </xf>
    <xf numFmtId="183" fontId="2" fillId="6" borderId="5" xfId="3" applyNumberFormat="1" applyFont="1" applyFill="1" applyBorder="1" applyAlignment="1">
      <alignment horizontal="center" vertical="center"/>
    </xf>
    <xf numFmtId="183" fontId="16" fillId="7" borderId="5" xfId="3" applyNumberFormat="1" applyFont="1" applyFill="1" applyBorder="1" applyAlignment="1">
      <alignment horizontal="center" vertical="center" shrinkToFit="1"/>
    </xf>
    <xf numFmtId="183" fontId="14" fillId="0" borderId="23" xfId="3" applyNumberFormat="1" applyFont="1" applyBorder="1" applyAlignment="1">
      <alignment horizontal="center" vertical="center"/>
    </xf>
    <xf numFmtId="183" fontId="4" fillId="0" borderId="5" xfId="3" applyNumberFormat="1" applyFont="1" applyBorder="1" applyAlignment="1">
      <alignment horizontal="center" vertical="center"/>
    </xf>
    <xf numFmtId="183" fontId="4" fillId="0" borderId="20" xfId="3" applyNumberFormat="1" applyFont="1" applyBorder="1" applyAlignment="1">
      <alignment horizontal="center" vertical="center"/>
    </xf>
    <xf numFmtId="183" fontId="16" fillId="7" borderId="29" xfId="3" applyNumberFormat="1" applyFont="1" applyFill="1" applyBorder="1" applyAlignment="1">
      <alignment horizontal="center" vertical="center"/>
    </xf>
    <xf numFmtId="183" fontId="14" fillId="0" borderId="5" xfId="3" applyNumberFormat="1" applyFont="1" applyBorder="1" applyAlignment="1">
      <alignment horizontal="center" vertical="center"/>
    </xf>
    <xf numFmtId="183" fontId="14" fillId="0" borderId="20" xfId="3" applyNumberFormat="1" applyFont="1" applyBorder="1" applyAlignment="1">
      <alignment horizontal="center" vertical="center"/>
    </xf>
    <xf numFmtId="183" fontId="14" fillId="0" borderId="29" xfId="3" applyNumberFormat="1" applyFont="1" applyBorder="1" applyAlignment="1">
      <alignment horizontal="center" vertical="center"/>
    </xf>
    <xf numFmtId="183" fontId="14" fillId="0" borderId="3" xfId="3" applyNumberFormat="1" applyFont="1" applyBorder="1" applyAlignment="1">
      <alignment horizontal="center" vertical="center"/>
    </xf>
    <xf numFmtId="183" fontId="10" fillId="0" borderId="0" xfId="3" applyNumberFormat="1" applyAlignment="1">
      <alignment horizontal="center"/>
    </xf>
    <xf numFmtId="183" fontId="12" fillId="0" borderId="0" xfId="3" applyNumberFormat="1" applyFont="1" applyAlignment="1">
      <alignment vertical="center"/>
    </xf>
    <xf numFmtId="183" fontId="14" fillId="0" borderId="23" xfId="3" applyNumberFormat="1" applyFont="1" applyBorder="1" applyAlignment="1">
      <alignment vertical="center"/>
    </xf>
    <xf numFmtId="183" fontId="14" fillId="0" borderId="5" xfId="3" applyNumberFormat="1" applyFont="1" applyBorder="1" applyAlignment="1">
      <alignment vertical="center"/>
    </xf>
    <xf numFmtId="183" fontId="14" fillId="0" borderId="20" xfId="3" applyNumberFormat="1" applyFont="1" applyBorder="1" applyAlignment="1">
      <alignment vertical="center"/>
    </xf>
    <xf numFmtId="183" fontId="14" fillId="5" borderId="15" xfId="3" applyNumberFormat="1" applyFont="1" applyFill="1" applyBorder="1" applyAlignment="1">
      <alignment vertical="center"/>
    </xf>
    <xf numFmtId="183" fontId="14" fillId="0" borderId="29" xfId="3" applyNumberFormat="1" applyFont="1" applyBorder="1" applyAlignment="1">
      <alignment vertical="center"/>
    </xf>
    <xf numFmtId="183" fontId="4" fillId="0" borderId="5" xfId="3" applyNumberFormat="1" applyFont="1" applyBorder="1" applyAlignment="1">
      <alignment vertical="center"/>
    </xf>
    <xf numFmtId="183" fontId="4" fillId="0" borderId="20" xfId="3" applyNumberFormat="1" applyFont="1" applyBorder="1" applyAlignment="1">
      <alignment vertical="center"/>
    </xf>
    <xf numFmtId="183" fontId="14" fillId="0" borderId="3" xfId="3" applyNumberFormat="1" applyFont="1" applyBorder="1" applyAlignment="1">
      <alignment vertical="center"/>
    </xf>
    <xf numFmtId="183" fontId="22" fillId="3" borderId="29" xfId="3" applyNumberFormat="1" applyFont="1" applyFill="1" applyBorder="1" applyAlignment="1">
      <alignment vertical="center"/>
    </xf>
    <xf numFmtId="183" fontId="23" fillId="4" borderId="12" xfId="3" applyNumberFormat="1" applyFont="1" applyFill="1" applyBorder="1" applyAlignment="1">
      <alignment vertical="center"/>
    </xf>
    <xf numFmtId="183" fontId="25" fillId="0" borderId="0" xfId="3" applyNumberFormat="1" applyFont="1" applyAlignment="1">
      <alignment horizontal="center" vertical="center"/>
    </xf>
    <xf numFmtId="183" fontId="27" fillId="0" borderId="0" xfId="3" applyNumberFormat="1" applyFont="1" applyAlignment="1">
      <alignment horizontal="center"/>
    </xf>
    <xf numFmtId="183" fontId="10" fillId="0" borderId="0" xfId="3" applyNumberFormat="1"/>
    <xf numFmtId="180" fontId="14" fillId="2" borderId="2" xfId="0" applyNumberFormat="1" applyFont="1" applyFill="1" applyBorder="1" applyAlignment="1">
      <alignment horizontal="left" vertical="center"/>
    </xf>
    <xf numFmtId="0" fontId="14" fillId="0" borderId="17" xfId="3" applyFont="1" applyBorder="1" applyAlignment="1">
      <alignment horizontal="left" vertical="center" indent="1"/>
    </xf>
    <xf numFmtId="0" fontId="14" fillId="0" borderId="2" xfId="3" applyFont="1" applyBorder="1" applyAlignment="1">
      <alignment horizontal="left" vertical="center" indent="1"/>
    </xf>
    <xf numFmtId="0" fontId="14" fillId="0" borderId="18" xfId="3" applyFont="1" applyBorder="1" applyAlignment="1">
      <alignment horizontal="left" vertical="center" indent="1"/>
    </xf>
    <xf numFmtId="0" fontId="23" fillId="0" borderId="0" xfId="3" applyFont="1" applyAlignment="1">
      <alignment horizontal="left" vertical="center"/>
    </xf>
    <xf numFmtId="0" fontId="21" fillId="0" borderId="0" xfId="3" applyFont="1" applyAlignment="1">
      <alignment horizontal="left" vertical="center"/>
    </xf>
    <xf numFmtId="0" fontId="21" fillId="0" borderId="0" xfId="3" quotePrefix="1" applyFont="1" applyAlignment="1">
      <alignment horizontal="left" vertical="center"/>
    </xf>
    <xf numFmtId="0" fontId="14" fillId="0" borderId="20" xfId="3" applyFont="1" applyBorder="1" applyAlignment="1">
      <alignment horizontal="center" vertical="center"/>
    </xf>
    <xf numFmtId="0" fontId="14" fillId="0" borderId="29" xfId="3" applyFont="1" applyBorder="1" applyAlignment="1">
      <alignment horizontal="center" vertical="center"/>
    </xf>
    <xf numFmtId="0" fontId="14" fillId="0" borderId="23" xfId="3" applyFont="1" applyBorder="1" applyAlignment="1">
      <alignment horizontal="center" vertical="center"/>
    </xf>
    <xf numFmtId="0" fontId="14" fillId="0" borderId="3" xfId="3" applyFont="1" applyBorder="1" applyAlignment="1">
      <alignment horizontal="center" vertical="center"/>
    </xf>
    <xf numFmtId="0" fontId="14" fillId="5" borderId="14" xfId="3" applyFont="1" applyFill="1" applyBorder="1" applyAlignment="1">
      <alignment horizontal="center" vertical="center"/>
    </xf>
    <xf numFmtId="0" fontId="14" fillId="5" borderId="15" xfId="3" applyFont="1" applyFill="1" applyBorder="1" applyAlignment="1">
      <alignment horizontal="center" vertical="center"/>
    </xf>
    <xf numFmtId="0" fontId="16" fillId="7" borderId="22" xfId="3" applyFont="1" applyFill="1" applyBorder="1" applyAlignment="1">
      <alignment horizontal="center" vertical="center" wrapText="1"/>
    </xf>
    <xf numFmtId="0" fontId="16" fillId="7" borderId="4" xfId="3" applyFont="1" applyFill="1" applyBorder="1" applyAlignment="1">
      <alignment horizontal="center" vertical="center" wrapText="1"/>
    </xf>
    <xf numFmtId="0" fontId="16" fillId="7" borderId="19" xfId="3" applyFont="1" applyFill="1" applyBorder="1" applyAlignment="1">
      <alignment horizontal="center" vertical="center" wrapText="1"/>
    </xf>
    <xf numFmtId="0" fontId="16" fillId="7" borderId="29" xfId="3" applyFont="1" applyFill="1" applyBorder="1" applyAlignment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/>
    </xf>
    <xf numFmtId="0" fontId="4" fillId="0" borderId="20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4" fillId="0" borderId="29" xfId="3" applyFont="1" applyBorder="1" applyAlignment="1">
      <alignment horizontal="center" vertical="center"/>
    </xf>
    <xf numFmtId="0" fontId="16" fillId="7" borderId="26" xfId="3" applyFont="1" applyFill="1" applyBorder="1" applyAlignment="1">
      <alignment horizontal="center" vertical="center"/>
    </xf>
    <xf numFmtId="0" fontId="16" fillId="7" borderId="27" xfId="3" applyFont="1" applyFill="1" applyBorder="1" applyAlignment="1">
      <alignment horizontal="center" vertical="center"/>
    </xf>
    <xf numFmtId="0" fontId="16" fillId="7" borderId="28" xfId="3" applyFont="1" applyFill="1" applyBorder="1" applyAlignment="1">
      <alignment horizontal="center" vertical="center"/>
    </xf>
    <xf numFmtId="0" fontId="16" fillId="7" borderId="1" xfId="3" applyFont="1" applyFill="1" applyBorder="1" applyAlignment="1">
      <alignment horizontal="center" vertical="center"/>
    </xf>
    <xf numFmtId="0" fontId="22" fillId="3" borderId="22" xfId="3" applyFont="1" applyFill="1" applyBorder="1" applyAlignment="1">
      <alignment horizontal="center" vertical="center"/>
    </xf>
    <xf numFmtId="0" fontId="22" fillId="3" borderId="29" xfId="3" applyFont="1" applyFill="1" applyBorder="1" applyAlignment="1">
      <alignment horizontal="center" vertical="center"/>
    </xf>
    <xf numFmtId="0" fontId="23" fillId="4" borderId="11" xfId="3" applyFont="1" applyFill="1" applyBorder="1" applyAlignment="1">
      <alignment horizontal="center" vertical="center"/>
    </xf>
    <xf numFmtId="0" fontId="23" fillId="4" borderId="12" xfId="3" applyFont="1" applyFill="1" applyBorder="1" applyAlignment="1">
      <alignment horizontal="center" vertical="center"/>
    </xf>
    <xf numFmtId="0" fontId="16" fillId="7" borderId="22" xfId="3" applyFont="1" applyFill="1" applyBorder="1" applyAlignment="1">
      <alignment horizontal="center" vertical="center"/>
    </xf>
    <xf numFmtId="0" fontId="16" fillId="7" borderId="4" xfId="3" applyFont="1" applyFill="1" applyBorder="1" applyAlignment="1">
      <alignment horizontal="center" vertical="center"/>
    </xf>
    <xf numFmtId="0" fontId="16" fillId="7" borderId="19" xfId="3" applyFont="1" applyFill="1" applyBorder="1" applyAlignment="1">
      <alignment horizontal="center" vertical="center"/>
    </xf>
    <xf numFmtId="0" fontId="14" fillId="0" borderId="7" xfId="3" applyFont="1" applyBorder="1" applyAlignment="1">
      <alignment horizontal="left" vertical="center" indent="1"/>
    </xf>
    <xf numFmtId="0" fontId="14" fillId="0" borderId="8" xfId="3" applyFont="1" applyBorder="1" applyAlignment="1">
      <alignment horizontal="left" vertical="center" indent="1"/>
    </xf>
    <xf numFmtId="0" fontId="14" fillId="0" borderId="9" xfId="3" applyFont="1" applyBorder="1" applyAlignment="1">
      <alignment horizontal="left" vertical="center" indent="1"/>
    </xf>
    <xf numFmtId="0" fontId="14" fillId="0" borderId="17" xfId="3" applyFont="1" applyBorder="1" applyAlignment="1">
      <alignment horizontal="left" vertical="center" indent="1"/>
    </xf>
    <xf numFmtId="0" fontId="14" fillId="0" borderId="2" xfId="3" applyFont="1" applyBorder="1" applyAlignment="1">
      <alignment horizontal="left" vertical="center" indent="1"/>
    </xf>
    <xf numFmtId="0" fontId="14" fillId="0" borderId="18" xfId="3" applyFont="1" applyBorder="1" applyAlignment="1">
      <alignment horizontal="left" vertical="center" indent="1"/>
    </xf>
    <xf numFmtId="0" fontId="2" fillId="6" borderId="19" xfId="3" applyFont="1" applyFill="1" applyBorder="1" applyAlignment="1">
      <alignment horizontal="center" vertical="center"/>
    </xf>
    <xf numFmtId="0" fontId="2" fillId="6" borderId="20" xfId="3" applyFont="1" applyFill="1" applyBorder="1" applyAlignment="1">
      <alignment horizontal="center" vertical="center"/>
    </xf>
    <xf numFmtId="14" fontId="14" fillId="0" borderId="7" xfId="3" applyNumberFormat="1" applyFont="1" applyBorder="1" applyAlignment="1">
      <alignment horizontal="left" vertical="center" indent="1"/>
    </xf>
    <xf numFmtId="14" fontId="14" fillId="0" borderId="8" xfId="3" applyNumberFormat="1" applyFont="1" applyBorder="1" applyAlignment="1">
      <alignment horizontal="left" vertical="center" indent="1"/>
    </xf>
    <xf numFmtId="14" fontId="14" fillId="0" borderId="10" xfId="3" applyNumberFormat="1" applyFont="1" applyBorder="1" applyAlignment="1">
      <alignment horizontal="left" vertical="center" indent="1"/>
    </xf>
    <xf numFmtId="0" fontId="16" fillId="7" borderId="4" xfId="3" applyFont="1" applyFill="1" applyBorder="1" applyAlignment="1">
      <alignment horizontal="center" vertical="center" shrinkToFit="1"/>
    </xf>
    <xf numFmtId="0" fontId="16" fillId="7" borderId="5" xfId="3" applyFont="1" applyFill="1" applyBorder="1" applyAlignment="1">
      <alignment horizontal="center" vertical="center" shrinkToFit="1"/>
    </xf>
    <xf numFmtId="0" fontId="14" fillId="0" borderId="23" xfId="3" applyFont="1" applyBorder="1" applyAlignment="1">
      <alignment horizontal="center" vertical="center" shrinkToFit="1"/>
    </xf>
    <xf numFmtId="0" fontId="14" fillId="0" borderId="20" xfId="3" applyFont="1" applyBorder="1" applyAlignment="1">
      <alignment horizontal="center" vertical="center" shrinkToFit="1"/>
    </xf>
    <xf numFmtId="0" fontId="14" fillId="0" borderId="23" xfId="0" applyFont="1" applyBorder="1" applyAlignment="1">
      <alignment horizontal="left" vertical="center" indent="1"/>
    </xf>
    <xf numFmtId="0" fontId="14" fillId="0" borderId="20" xfId="3" applyFont="1" applyBorder="1" applyAlignment="1">
      <alignment horizontal="left" vertical="center" indent="1" shrinkToFit="1"/>
    </xf>
    <xf numFmtId="0" fontId="13" fillId="2" borderId="14" xfId="3" applyFont="1" applyFill="1" applyBorder="1" applyAlignment="1">
      <alignment horizontal="center" vertical="center"/>
    </xf>
    <xf numFmtId="0" fontId="13" fillId="2" borderId="15" xfId="3" applyFont="1" applyFill="1" applyBorder="1" applyAlignment="1">
      <alignment horizontal="center" vertical="center"/>
    </xf>
    <xf numFmtId="0" fontId="13" fillId="2" borderId="16" xfId="3" applyFont="1" applyFill="1" applyBorder="1" applyAlignment="1">
      <alignment horizontal="center" vertical="center"/>
    </xf>
    <xf numFmtId="0" fontId="2" fillId="6" borderId="22" xfId="3" applyFont="1" applyFill="1" applyBorder="1" applyAlignment="1">
      <alignment horizontal="center" vertical="center" shrinkToFit="1"/>
    </xf>
    <xf numFmtId="0" fontId="2" fillId="6" borderId="23" xfId="3" applyFont="1" applyFill="1" applyBorder="1" applyAlignment="1">
      <alignment horizontal="center" vertical="center" shrinkToFit="1"/>
    </xf>
    <xf numFmtId="0" fontId="14" fillId="0" borderId="23" xfId="3" applyFont="1" applyBorder="1" applyAlignment="1">
      <alignment horizontal="left" vertical="center" indent="1"/>
    </xf>
    <xf numFmtId="176" fontId="14" fillId="0" borderId="23" xfId="3" applyNumberFormat="1" applyFont="1" applyBorder="1" applyAlignment="1">
      <alignment horizontal="center" vertical="center"/>
    </xf>
    <xf numFmtId="0" fontId="2" fillId="6" borderId="4" xfId="3" applyFont="1" applyFill="1" applyBorder="1" applyAlignment="1">
      <alignment horizontal="center" vertical="center" shrinkToFit="1"/>
    </xf>
    <xf numFmtId="0" fontId="2" fillId="6" borderId="5" xfId="3" applyFont="1" applyFill="1" applyBorder="1" applyAlignment="1">
      <alignment horizontal="center" vertical="center" shrinkToFit="1"/>
    </xf>
    <xf numFmtId="0" fontId="20" fillId="0" borderId="5" xfId="3" applyFont="1" applyBorder="1" applyAlignment="1">
      <alignment horizontal="left" vertical="center" indent="1"/>
    </xf>
    <xf numFmtId="176" fontId="14" fillId="0" borderId="5" xfId="3" applyNumberFormat="1" applyFont="1" applyBorder="1" applyAlignment="1">
      <alignment horizontal="center" vertical="center"/>
    </xf>
  </cellXfs>
  <cellStyles count="4">
    <cellStyle name="쉼표 [0]" xfId="1" builtinId="6"/>
    <cellStyle name="표준" xfId="0" builtinId="0"/>
    <cellStyle name="표준 2 5" xfId="2" xr:uid="{00000000-0005-0000-0000-000002000000}"/>
    <cellStyle name="표준 8" xfId="3" xr:uid="{00000000-0005-0000-0000-000003000000}"/>
  </cellStyles>
  <dxfs count="0"/>
  <tableStyles count="0" defaultTableStyle="TableStyleMedium2" defaultPivotStyle="PivotStyleLight16"/>
  <colors>
    <mruColors>
      <color rgb="FF0000CC"/>
      <color rgb="FFFFFFCC"/>
      <color rgb="FFCCFFFF"/>
      <color rgb="FFFFCC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B1:U52"/>
  <sheetViews>
    <sheetView showGridLines="0" tabSelected="1" topLeftCell="C3" zoomScaleNormal="100" zoomScaleSheetLayoutView="100" workbookViewId="0">
      <selection activeCell="I7" sqref="I7"/>
    </sheetView>
  </sheetViews>
  <sheetFormatPr defaultColWidth="9" defaultRowHeight="20" customHeight="1"/>
  <cols>
    <col min="1" max="1" width="1.6640625" style="6" customWidth="1"/>
    <col min="2" max="2" width="8.75" style="6" customWidth="1"/>
    <col min="3" max="3" width="7.6640625" style="6" customWidth="1"/>
    <col min="4" max="6" width="10.08203125" style="6" customWidth="1"/>
    <col min="7" max="7" width="11.33203125" style="67" customWidth="1"/>
    <col min="8" max="9" width="8.6640625" style="19" customWidth="1"/>
    <col min="10" max="10" width="13.4140625" style="81" customWidth="1"/>
    <col min="11" max="11" width="15.08203125" style="6" customWidth="1"/>
    <col min="12" max="12" width="1.6640625" style="6" customWidth="1"/>
    <col min="13" max="13" width="101.9140625" style="7" bestFit="1" customWidth="1"/>
    <col min="14" max="21" width="9" style="8"/>
    <col min="22" max="16384" width="9" style="6"/>
  </cols>
  <sheetData>
    <row r="1" spans="2:13" ht="10" customHeight="1" thickBot="1">
      <c r="B1" s="4"/>
      <c r="C1" s="4"/>
      <c r="D1" s="4"/>
      <c r="E1" s="4"/>
      <c r="F1" s="5"/>
      <c r="G1" s="55"/>
      <c r="H1" s="5"/>
      <c r="I1" s="5"/>
      <c r="J1" s="68"/>
      <c r="K1" s="4"/>
    </row>
    <row r="2" spans="2:13" ht="35.15" customHeight="1" thickBot="1">
      <c r="B2" s="132" t="s">
        <v>49</v>
      </c>
      <c r="C2" s="133"/>
      <c r="D2" s="133"/>
      <c r="E2" s="133"/>
      <c r="F2" s="133"/>
      <c r="G2" s="133"/>
      <c r="H2" s="133"/>
      <c r="I2" s="133"/>
      <c r="J2" s="133"/>
      <c r="K2" s="134"/>
    </row>
    <row r="3" spans="2:13" ht="20" customHeight="1">
      <c r="B3" s="135" t="s">
        <v>4</v>
      </c>
      <c r="C3" s="136"/>
      <c r="D3" s="137" t="s">
        <v>42</v>
      </c>
      <c r="E3" s="137"/>
      <c r="F3" s="137"/>
      <c r="G3" s="56" t="s">
        <v>45</v>
      </c>
      <c r="H3" s="138">
        <v>45504</v>
      </c>
      <c r="I3" s="138"/>
      <c r="J3" s="59" t="s">
        <v>46</v>
      </c>
      <c r="K3" s="32">
        <v>300</v>
      </c>
      <c r="L3" s="21"/>
      <c r="M3" s="22"/>
    </row>
    <row r="4" spans="2:13" ht="20" customHeight="1">
      <c r="B4" s="139" t="s">
        <v>47</v>
      </c>
      <c r="C4" s="140"/>
      <c r="D4" s="141" t="s">
        <v>78</v>
      </c>
      <c r="E4" s="141"/>
      <c r="F4" s="141"/>
      <c r="G4" s="57" t="s">
        <v>43</v>
      </c>
      <c r="H4" s="142">
        <v>45597</v>
      </c>
      <c r="I4" s="142"/>
      <c r="J4" s="63" t="s">
        <v>44</v>
      </c>
      <c r="K4" s="23">
        <v>45356</v>
      </c>
      <c r="M4" s="86" t="s">
        <v>76</v>
      </c>
    </row>
    <row r="5" spans="2:13" ht="20" customHeight="1">
      <c r="B5" s="121" t="s">
        <v>48</v>
      </c>
      <c r="C5" s="122"/>
      <c r="D5" s="33">
        <v>11</v>
      </c>
      <c r="E5" s="82">
        <v>0</v>
      </c>
      <c r="F5" s="34"/>
      <c r="G5" s="57" t="s">
        <v>54</v>
      </c>
      <c r="H5" s="123" t="s">
        <v>79</v>
      </c>
      <c r="I5" s="124"/>
      <c r="J5" s="124"/>
      <c r="K5" s="125"/>
    </row>
    <row r="6" spans="2:13" ht="20" customHeight="1">
      <c r="B6" s="126" t="s">
        <v>5</v>
      </c>
      <c r="C6" s="127"/>
      <c r="D6" s="127"/>
      <c r="E6" s="127"/>
      <c r="F6" s="127"/>
      <c r="G6" s="58" t="s">
        <v>6</v>
      </c>
      <c r="H6" s="30" t="s">
        <v>7</v>
      </c>
      <c r="I6" s="30" t="s">
        <v>8</v>
      </c>
      <c r="J6" s="58" t="s">
        <v>9</v>
      </c>
      <c r="K6" s="31"/>
      <c r="M6" s="87" t="s">
        <v>80</v>
      </c>
    </row>
    <row r="7" spans="2:13" ht="20" customHeight="1">
      <c r="B7" s="112" t="s">
        <v>10</v>
      </c>
      <c r="C7" s="128" t="s">
        <v>65</v>
      </c>
      <c r="D7" s="130" t="s">
        <v>68</v>
      </c>
      <c r="E7" s="130"/>
      <c r="F7" s="130"/>
      <c r="G7" s="59">
        <v>320</v>
      </c>
      <c r="H7" s="37">
        <v>3</v>
      </c>
      <c r="I7" s="37">
        <v>5</v>
      </c>
      <c r="J7" s="69">
        <f>I7*H7*G7</f>
        <v>4800</v>
      </c>
      <c r="K7" s="16"/>
      <c r="L7" s="10"/>
      <c r="M7" s="87" t="s">
        <v>81</v>
      </c>
    </row>
    <row r="8" spans="2:13" ht="20" customHeight="1" thickBot="1">
      <c r="B8" s="114"/>
      <c r="C8" s="129"/>
      <c r="D8" s="131" t="s">
        <v>87</v>
      </c>
      <c r="E8" s="131"/>
      <c r="F8" s="131"/>
      <c r="G8" s="61">
        <v>160</v>
      </c>
      <c r="H8" s="28">
        <v>3</v>
      </c>
      <c r="I8" s="28">
        <v>1</v>
      </c>
      <c r="J8" s="71">
        <f t="shared" ref="J8" si="0">I8*H8*G8</f>
        <v>480</v>
      </c>
      <c r="K8" s="35"/>
      <c r="L8" s="10"/>
      <c r="M8" s="87" t="s">
        <v>82</v>
      </c>
    </row>
    <row r="9" spans="2:13" ht="20" customHeight="1" thickBot="1">
      <c r="B9" s="93" t="s">
        <v>11</v>
      </c>
      <c r="C9" s="94"/>
      <c r="D9" s="94"/>
      <c r="E9" s="94"/>
      <c r="F9" s="94"/>
      <c r="G9" s="94"/>
      <c r="H9" s="94"/>
      <c r="I9" s="94"/>
      <c r="J9" s="72">
        <f>SUM(J7:J8)</f>
        <v>5280</v>
      </c>
      <c r="K9" s="44"/>
      <c r="M9" s="87" t="s">
        <v>83</v>
      </c>
    </row>
    <row r="10" spans="2:13" ht="20" customHeight="1">
      <c r="B10" s="112" t="s">
        <v>5</v>
      </c>
      <c r="C10" s="98"/>
      <c r="D10" s="98"/>
      <c r="E10" s="98"/>
      <c r="F10" s="98"/>
      <c r="G10" s="62" t="s">
        <v>12</v>
      </c>
      <c r="H10" s="39" t="s">
        <v>13</v>
      </c>
      <c r="I10" s="39" t="s">
        <v>14</v>
      </c>
      <c r="J10" s="62" t="s">
        <v>15</v>
      </c>
      <c r="K10" s="40" t="s">
        <v>16</v>
      </c>
      <c r="M10" s="87" t="s">
        <v>84</v>
      </c>
    </row>
    <row r="11" spans="2:13" ht="20" customHeight="1">
      <c r="B11" s="112" t="s">
        <v>17</v>
      </c>
      <c r="C11" s="89" t="s">
        <v>18</v>
      </c>
      <c r="D11" s="15" t="s">
        <v>21</v>
      </c>
      <c r="E11" s="91"/>
      <c r="F11" s="91"/>
      <c r="G11" s="59"/>
      <c r="H11" s="15">
        <v>1</v>
      </c>
      <c r="I11" s="38">
        <f>$D$5+$E$5+$F$5</f>
        <v>11</v>
      </c>
      <c r="J11" s="69">
        <f>G11*H11*I11</f>
        <v>0</v>
      </c>
      <c r="K11" s="16"/>
      <c r="L11" s="10"/>
      <c r="M11" s="88" t="s">
        <v>85</v>
      </c>
    </row>
    <row r="12" spans="2:13" ht="20" customHeight="1">
      <c r="B12" s="112"/>
      <c r="C12" s="90"/>
      <c r="D12" s="15" t="s">
        <v>19</v>
      </c>
      <c r="E12" s="91" t="s">
        <v>75</v>
      </c>
      <c r="F12" s="91"/>
      <c r="G12" s="59">
        <v>50</v>
      </c>
      <c r="H12" s="15">
        <v>1</v>
      </c>
      <c r="I12" s="38">
        <f>$D$5+$E$5+$F$5</f>
        <v>11</v>
      </c>
      <c r="J12" s="69">
        <f>G12*H12*I12</f>
        <v>550</v>
      </c>
      <c r="K12" s="16"/>
      <c r="L12" s="10"/>
      <c r="M12" s="2" t="s">
        <v>77</v>
      </c>
    </row>
    <row r="13" spans="2:13" ht="20" customHeight="1">
      <c r="B13" s="113"/>
      <c r="C13" s="100" t="s">
        <v>20</v>
      </c>
      <c r="D13" s="11" t="s">
        <v>21</v>
      </c>
      <c r="E13" s="100" t="s">
        <v>66</v>
      </c>
      <c r="F13" s="100"/>
      <c r="G13" s="59">
        <v>50</v>
      </c>
      <c r="H13" s="11">
        <v>1</v>
      </c>
      <c r="I13" s="27">
        <f t="shared" ref="I13:I20" si="1">$D$5+$E$5+$F$5</f>
        <v>11</v>
      </c>
      <c r="J13" s="70">
        <f>G13*H13*I13</f>
        <v>550</v>
      </c>
      <c r="K13" s="12"/>
      <c r="M13" s="2"/>
    </row>
    <row r="14" spans="2:13" ht="20" customHeight="1">
      <c r="B14" s="113"/>
      <c r="C14" s="100"/>
      <c r="D14" s="11" t="s">
        <v>19</v>
      </c>
      <c r="E14" s="100" t="s">
        <v>67</v>
      </c>
      <c r="F14" s="100"/>
      <c r="G14" s="59">
        <v>50</v>
      </c>
      <c r="H14" s="11">
        <v>1</v>
      </c>
      <c r="I14" s="27">
        <f t="shared" si="1"/>
        <v>11</v>
      </c>
      <c r="J14" s="70">
        <f t="shared" ref="J14:J20" si="2">G14*H14*I14</f>
        <v>550</v>
      </c>
      <c r="K14" s="12"/>
      <c r="L14" s="10"/>
      <c r="M14" s="2" t="s">
        <v>72</v>
      </c>
    </row>
    <row r="15" spans="2:13" ht="20" customHeight="1">
      <c r="B15" s="113"/>
      <c r="C15" s="100" t="s">
        <v>22</v>
      </c>
      <c r="D15" s="11" t="s">
        <v>21</v>
      </c>
      <c r="E15" s="100" t="s">
        <v>24</v>
      </c>
      <c r="F15" s="100"/>
      <c r="G15" s="59">
        <v>50</v>
      </c>
      <c r="H15" s="11">
        <v>1</v>
      </c>
      <c r="I15" s="27">
        <f t="shared" si="1"/>
        <v>11</v>
      </c>
      <c r="J15" s="70">
        <f t="shared" si="2"/>
        <v>550</v>
      </c>
      <c r="K15" s="13"/>
      <c r="L15" s="10"/>
      <c r="M15" s="3"/>
    </row>
    <row r="16" spans="2:13" ht="20" customHeight="1">
      <c r="B16" s="113"/>
      <c r="C16" s="100"/>
      <c r="D16" s="11" t="s">
        <v>19</v>
      </c>
      <c r="E16" s="100" t="s">
        <v>66</v>
      </c>
      <c r="F16" s="100"/>
      <c r="G16" s="59">
        <v>50</v>
      </c>
      <c r="H16" s="11">
        <v>1</v>
      </c>
      <c r="I16" s="27">
        <f t="shared" si="1"/>
        <v>11</v>
      </c>
      <c r="J16" s="70">
        <f t="shared" si="2"/>
        <v>550</v>
      </c>
      <c r="K16" s="13"/>
      <c r="L16" s="10"/>
      <c r="M16" s="2" t="s">
        <v>51</v>
      </c>
    </row>
    <row r="17" spans="2:13" ht="20" customHeight="1">
      <c r="B17" s="113"/>
      <c r="C17" s="100" t="s">
        <v>23</v>
      </c>
      <c r="D17" s="11" t="s">
        <v>21</v>
      </c>
      <c r="E17" s="100" t="s">
        <v>24</v>
      </c>
      <c r="F17" s="100"/>
      <c r="G17" s="59">
        <v>50</v>
      </c>
      <c r="H17" s="11">
        <v>1</v>
      </c>
      <c r="I17" s="27">
        <f t="shared" si="1"/>
        <v>11</v>
      </c>
      <c r="J17" s="70">
        <f t="shared" si="2"/>
        <v>550</v>
      </c>
      <c r="K17" s="12"/>
      <c r="L17" s="10"/>
      <c r="M17" s="3" t="s">
        <v>70</v>
      </c>
    </row>
    <row r="18" spans="2:13" ht="20" customHeight="1">
      <c r="B18" s="113"/>
      <c r="C18" s="100"/>
      <c r="D18" s="11" t="s">
        <v>19</v>
      </c>
      <c r="E18" s="100" t="s">
        <v>66</v>
      </c>
      <c r="F18" s="100"/>
      <c r="G18" s="59">
        <v>50</v>
      </c>
      <c r="H18" s="11">
        <v>1</v>
      </c>
      <c r="I18" s="27">
        <f t="shared" si="1"/>
        <v>11</v>
      </c>
      <c r="J18" s="70">
        <f t="shared" si="2"/>
        <v>550</v>
      </c>
      <c r="K18" s="12"/>
      <c r="L18" s="10"/>
      <c r="M18" s="3" t="s">
        <v>86</v>
      </c>
    </row>
    <row r="19" spans="2:13" ht="20" customHeight="1">
      <c r="B19" s="113"/>
      <c r="C19" s="100" t="s">
        <v>41</v>
      </c>
      <c r="D19" s="11" t="s">
        <v>21</v>
      </c>
      <c r="E19" s="100"/>
      <c r="F19" s="100"/>
      <c r="G19" s="63"/>
      <c r="H19" s="11">
        <v>1</v>
      </c>
      <c r="I19" s="27">
        <f t="shared" si="1"/>
        <v>11</v>
      </c>
      <c r="J19" s="70">
        <f t="shared" si="2"/>
        <v>0</v>
      </c>
      <c r="K19" s="12"/>
      <c r="L19" s="10"/>
      <c r="M19" s="3"/>
    </row>
    <row r="20" spans="2:13" ht="20" customHeight="1" thickBot="1">
      <c r="B20" s="113"/>
      <c r="C20" s="100"/>
      <c r="D20" s="11" t="s">
        <v>19</v>
      </c>
      <c r="E20" s="100"/>
      <c r="F20" s="100"/>
      <c r="G20" s="63"/>
      <c r="H20" s="11">
        <v>1</v>
      </c>
      <c r="I20" s="27">
        <f t="shared" si="1"/>
        <v>11</v>
      </c>
      <c r="J20" s="70">
        <f t="shared" si="2"/>
        <v>0</v>
      </c>
      <c r="K20" s="12"/>
      <c r="L20" s="10"/>
      <c r="M20" s="1" t="s">
        <v>52</v>
      </c>
    </row>
    <row r="21" spans="2:13" s="8" customFormat="1" ht="20" customHeight="1" thickBot="1">
      <c r="B21" s="93" t="s">
        <v>11</v>
      </c>
      <c r="C21" s="94"/>
      <c r="D21" s="94"/>
      <c r="E21" s="94"/>
      <c r="F21" s="94"/>
      <c r="G21" s="94"/>
      <c r="H21" s="94"/>
      <c r="I21" s="94"/>
      <c r="J21" s="72">
        <f>SUM(J11:J20)</f>
        <v>3850</v>
      </c>
      <c r="K21" s="45"/>
      <c r="L21" s="6"/>
      <c r="M21" s="53" t="s">
        <v>71</v>
      </c>
    </row>
    <row r="22" spans="2:13" s="8" customFormat="1" ht="20" customHeight="1">
      <c r="B22" s="104" t="s">
        <v>26</v>
      </c>
      <c r="C22" s="105"/>
      <c r="D22" s="105"/>
      <c r="E22" s="105"/>
      <c r="F22" s="106"/>
      <c r="G22" s="62" t="s">
        <v>28</v>
      </c>
      <c r="H22" s="39" t="s">
        <v>32</v>
      </c>
      <c r="I22" s="39" t="s">
        <v>14</v>
      </c>
      <c r="J22" s="62" t="s">
        <v>9</v>
      </c>
      <c r="K22" s="40" t="s">
        <v>16</v>
      </c>
      <c r="L22" s="6"/>
      <c r="M22" s="1"/>
    </row>
    <row r="23" spans="2:13" s="8" customFormat="1" ht="20" customHeight="1">
      <c r="B23" s="107" t="s">
        <v>31</v>
      </c>
      <c r="C23" s="90" t="s">
        <v>65</v>
      </c>
      <c r="D23" s="115" t="s">
        <v>55</v>
      </c>
      <c r="E23" s="116"/>
      <c r="F23" s="117"/>
      <c r="G23" s="60">
        <v>35</v>
      </c>
      <c r="H23" s="41">
        <v>1</v>
      </c>
      <c r="I23" s="42">
        <f t="shared" ref="I23:I29" si="3">$D$5+$E$5+$F$5</f>
        <v>11</v>
      </c>
      <c r="J23" s="73">
        <f>G23*H23*I23</f>
        <v>385</v>
      </c>
      <c r="K23" s="12" t="s">
        <v>56</v>
      </c>
      <c r="L23" s="6"/>
      <c r="M23" s="1" t="s">
        <v>53</v>
      </c>
    </row>
    <row r="24" spans="2:13" s="8" customFormat="1" ht="20" customHeight="1">
      <c r="B24" s="107"/>
      <c r="C24" s="100"/>
      <c r="D24" s="115" t="s">
        <v>57</v>
      </c>
      <c r="E24" s="116"/>
      <c r="F24" s="117"/>
      <c r="G24" s="60">
        <v>80</v>
      </c>
      <c r="H24" s="11">
        <v>1</v>
      </c>
      <c r="I24" s="27">
        <f t="shared" si="3"/>
        <v>11</v>
      </c>
      <c r="J24" s="70">
        <f t="shared" ref="J24:J29" si="4">G24*H24*I24</f>
        <v>880</v>
      </c>
      <c r="K24" s="12"/>
      <c r="L24" s="6"/>
      <c r="M24" s="53" t="s">
        <v>73</v>
      </c>
    </row>
    <row r="25" spans="2:13" s="8" customFormat="1" ht="20" customHeight="1">
      <c r="B25" s="107"/>
      <c r="C25" s="100"/>
      <c r="D25" s="115" t="s">
        <v>58</v>
      </c>
      <c r="E25" s="116"/>
      <c r="F25" s="117"/>
      <c r="G25" s="60">
        <v>40</v>
      </c>
      <c r="H25" s="11">
        <v>1</v>
      </c>
      <c r="I25" s="27">
        <f t="shared" si="3"/>
        <v>11</v>
      </c>
      <c r="J25" s="70">
        <f t="shared" si="4"/>
        <v>440</v>
      </c>
      <c r="K25" s="12"/>
      <c r="L25" s="6"/>
      <c r="M25" s="53" t="s">
        <v>69</v>
      </c>
    </row>
    <row r="26" spans="2:13" s="8" customFormat="1" ht="20" customHeight="1">
      <c r="B26" s="107"/>
      <c r="C26" s="100"/>
      <c r="D26" s="115" t="s">
        <v>59</v>
      </c>
      <c r="E26" s="116"/>
      <c r="F26" s="117"/>
      <c r="G26" s="60">
        <v>55</v>
      </c>
      <c r="H26" s="11">
        <v>1</v>
      </c>
      <c r="I26" s="27">
        <f t="shared" si="3"/>
        <v>11</v>
      </c>
      <c r="J26" s="70">
        <f t="shared" si="4"/>
        <v>605</v>
      </c>
      <c r="K26" s="12"/>
      <c r="L26" s="6"/>
      <c r="M26" s="53" t="s">
        <v>91</v>
      </c>
    </row>
    <row r="27" spans="2:13" s="8" customFormat="1" ht="20" customHeight="1">
      <c r="B27" s="107"/>
      <c r="C27" s="100"/>
      <c r="D27" s="115" t="s">
        <v>60</v>
      </c>
      <c r="E27" s="116"/>
      <c r="F27" s="117"/>
      <c r="G27" s="60">
        <v>60</v>
      </c>
      <c r="H27" s="11">
        <v>1</v>
      </c>
      <c r="I27" s="27">
        <f t="shared" si="3"/>
        <v>11</v>
      </c>
      <c r="J27" s="70">
        <f t="shared" si="4"/>
        <v>660</v>
      </c>
      <c r="K27" s="12"/>
      <c r="L27" s="6"/>
      <c r="M27" s="53" t="s">
        <v>92</v>
      </c>
    </row>
    <row r="28" spans="2:13" s="8" customFormat="1" ht="20" customHeight="1">
      <c r="B28" s="107"/>
      <c r="C28" s="89"/>
      <c r="D28" s="83" t="s">
        <v>88</v>
      </c>
      <c r="E28" s="84"/>
      <c r="F28" s="85"/>
      <c r="G28" s="61">
        <v>50</v>
      </c>
      <c r="H28" s="11">
        <v>1</v>
      </c>
      <c r="I28" s="27">
        <f t="shared" si="3"/>
        <v>11</v>
      </c>
      <c r="J28" s="70">
        <f t="shared" si="4"/>
        <v>550</v>
      </c>
      <c r="K28" s="29"/>
      <c r="L28" s="6"/>
      <c r="M28" s="53"/>
    </row>
    <row r="29" spans="2:13" s="8" customFormat="1" ht="20" customHeight="1" thickBot="1">
      <c r="B29" s="107"/>
      <c r="C29" s="89"/>
      <c r="D29" s="118" t="s">
        <v>89</v>
      </c>
      <c r="E29" s="119"/>
      <c r="F29" s="120"/>
      <c r="G29" s="64">
        <v>110</v>
      </c>
      <c r="H29" s="24">
        <v>1</v>
      </c>
      <c r="I29" s="27">
        <f t="shared" si="3"/>
        <v>11</v>
      </c>
      <c r="J29" s="71">
        <f t="shared" si="4"/>
        <v>1210</v>
      </c>
      <c r="K29" s="29"/>
      <c r="L29" s="6"/>
      <c r="M29" s="1" t="s">
        <v>94</v>
      </c>
    </row>
    <row r="30" spans="2:13" s="8" customFormat="1" ht="20" customHeight="1" thickBot="1">
      <c r="B30" s="93" t="s">
        <v>33</v>
      </c>
      <c r="C30" s="94"/>
      <c r="D30" s="94"/>
      <c r="E30" s="94"/>
      <c r="F30" s="94"/>
      <c r="G30" s="94"/>
      <c r="H30" s="94"/>
      <c r="I30" s="94"/>
      <c r="J30" s="72">
        <f>SUM(J23:J29)</f>
        <v>4730</v>
      </c>
      <c r="K30" s="52"/>
      <c r="L30" s="6"/>
      <c r="M30" s="1" t="s">
        <v>93</v>
      </c>
    </row>
    <row r="31" spans="2:13" s="8" customFormat="1" ht="20" hidden="1" customHeight="1">
      <c r="B31" s="95" t="s">
        <v>50</v>
      </c>
      <c r="C31" s="98" t="s">
        <v>26</v>
      </c>
      <c r="D31" s="98"/>
      <c r="E31" s="98" t="s">
        <v>34</v>
      </c>
      <c r="F31" s="98"/>
      <c r="G31" s="62" t="s">
        <v>28</v>
      </c>
      <c r="H31" s="39" t="s">
        <v>32</v>
      </c>
      <c r="I31" s="39" t="s">
        <v>14</v>
      </c>
      <c r="J31" s="62" t="s">
        <v>9</v>
      </c>
      <c r="K31" s="40" t="s">
        <v>16</v>
      </c>
      <c r="L31" s="6"/>
      <c r="M31" s="1"/>
    </row>
    <row r="32" spans="2:13" s="8" customFormat="1" ht="20" hidden="1" customHeight="1">
      <c r="B32" s="96"/>
      <c r="C32" s="99" t="s">
        <v>64</v>
      </c>
      <c r="D32" s="100"/>
      <c r="E32" s="100"/>
      <c r="F32" s="100"/>
      <c r="G32" s="63"/>
      <c r="H32" s="9">
        <v>1</v>
      </c>
      <c r="I32" s="27">
        <f t="shared" ref="I32:I33" si="5">$D$5+$E$5+$F$5</f>
        <v>11</v>
      </c>
      <c r="J32" s="70">
        <f>I32*H32*G32</f>
        <v>0</v>
      </c>
      <c r="K32" s="12"/>
      <c r="L32" s="6"/>
      <c r="M32" s="1"/>
    </row>
    <row r="33" spans="2:16" s="8" customFormat="1" ht="20" hidden="1" customHeight="1" thickBot="1">
      <c r="B33" s="97"/>
      <c r="C33" s="89"/>
      <c r="D33" s="89"/>
      <c r="E33" s="89"/>
      <c r="F33" s="89"/>
      <c r="G33" s="64"/>
      <c r="H33" s="28">
        <v>1</v>
      </c>
      <c r="I33" s="36">
        <f t="shared" si="5"/>
        <v>11</v>
      </c>
      <c r="J33" s="71">
        <f>I33*H33*G33</f>
        <v>0</v>
      </c>
      <c r="K33" s="49"/>
      <c r="L33" s="6"/>
      <c r="M33" s="1"/>
    </row>
    <row r="34" spans="2:16" s="8" customFormat="1" ht="20" hidden="1" customHeight="1" thickBot="1">
      <c r="B34" s="93" t="s">
        <v>33</v>
      </c>
      <c r="C34" s="94"/>
      <c r="D34" s="94"/>
      <c r="E34" s="94"/>
      <c r="F34" s="94"/>
      <c r="G34" s="94"/>
      <c r="H34" s="94"/>
      <c r="I34" s="94"/>
      <c r="J34" s="72">
        <f>SUM(J32:J33)</f>
        <v>0</v>
      </c>
      <c r="K34" s="45"/>
      <c r="L34" s="10"/>
      <c r="M34" s="1"/>
    </row>
    <row r="35" spans="2:16" s="8" customFormat="1" ht="20" customHeight="1">
      <c r="B35" s="112" t="s">
        <v>25</v>
      </c>
      <c r="C35" s="98" t="s">
        <v>26</v>
      </c>
      <c r="D35" s="98"/>
      <c r="E35" s="98" t="s">
        <v>27</v>
      </c>
      <c r="F35" s="98"/>
      <c r="G35" s="62" t="s">
        <v>28</v>
      </c>
      <c r="H35" s="39" t="s">
        <v>13</v>
      </c>
      <c r="I35" s="39" t="s">
        <v>29</v>
      </c>
      <c r="J35" s="62" t="s">
        <v>15</v>
      </c>
      <c r="K35" s="40" t="s">
        <v>16</v>
      </c>
      <c r="L35" s="6"/>
      <c r="M35" s="1"/>
    </row>
    <row r="36" spans="2:16" s="8" customFormat="1" ht="20" customHeight="1">
      <c r="B36" s="113"/>
      <c r="C36" s="100" t="s">
        <v>65</v>
      </c>
      <c r="D36" s="100"/>
      <c r="E36" s="11" t="s">
        <v>0</v>
      </c>
      <c r="F36" s="101" t="s">
        <v>74</v>
      </c>
      <c r="G36" s="60">
        <v>900</v>
      </c>
      <c r="H36" s="9">
        <v>1</v>
      </c>
      <c r="I36" s="9">
        <v>1</v>
      </c>
      <c r="J36" s="74">
        <f>G36*H36*I36</f>
        <v>900</v>
      </c>
      <c r="K36" s="14"/>
      <c r="L36" s="10"/>
      <c r="M36" s="7"/>
      <c r="P36" s="8" t="s">
        <v>30</v>
      </c>
    </row>
    <row r="37" spans="2:16" s="8" customFormat="1" ht="20" customHeight="1">
      <c r="B37" s="113"/>
      <c r="C37" s="100"/>
      <c r="D37" s="100"/>
      <c r="E37" s="11" t="s">
        <v>1</v>
      </c>
      <c r="F37" s="102"/>
      <c r="G37" s="60">
        <v>1450</v>
      </c>
      <c r="H37" s="9">
        <v>1</v>
      </c>
      <c r="I37" s="9">
        <v>1</v>
      </c>
      <c r="J37" s="74">
        <f t="shared" ref="J37:J40" si="6">G37*H37*I37</f>
        <v>1450</v>
      </c>
      <c r="K37" s="14"/>
      <c r="L37" s="10"/>
      <c r="M37" s="7"/>
    </row>
    <row r="38" spans="2:16" s="8" customFormat="1" ht="20" customHeight="1">
      <c r="B38" s="113"/>
      <c r="C38" s="100"/>
      <c r="D38" s="100"/>
      <c r="E38" s="11" t="s">
        <v>2</v>
      </c>
      <c r="F38" s="102"/>
      <c r="G38" s="60">
        <v>1450</v>
      </c>
      <c r="H38" s="9">
        <v>1</v>
      </c>
      <c r="I38" s="9">
        <v>1</v>
      </c>
      <c r="J38" s="74">
        <f t="shared" si="6"/>
        <v>1450</v>
      </c>
      <c r="K38" s="14"/>
      <c r="L38" s="10"/>
      <c r="M38" s="7"/>
    </row>
    <row r="39" spans="2:16" s="8" customFormat="1" ht="20" customHeight="1">
      <c r="B39" s="113"/>
      <c r="C39" s="100"/>
      <c r="D39" s="100"/>
      <c r="E39" s="11" t="s">
        <v>3</v>
      </c>
      <c r="F39" s="103"/>
      <c r="G39" s="60">
        <v>1400</v>
      </c>
      <c r="H39" s="9">
        <v>1</v>
      </c>
      <c r="I39" s="9">
        <v>1</v>
      </c>
      <c r="J39" s="74">
        <f t="shared" si="6"/>
        <v>1400</v>
      </c>
      <c r="K39" s="14"/>
      <c r="L39" s="10"/>
      <c r="M39" s="7"/>
    </row>
    <row r="40" spans="2:16" s="8" customFormat="1" ht="20" customHeight="1" thickBot="1">
      <c r="B40" s="114"/>
      <c r="C40" s="89"/>
      <c r="D40" s="89"/>
      <c r="E40" s="24"/>
      <c r="F40" s="28"/>
      <c r="G40" s="61"/>
      <c r="H40" s="28"/>
      <c r="I40" s="28"/>
      <c r="J40" s="75">
        <f t="shared" si="6"/>
        <v>0</v>
      </c>
      <c r="K40" s="48"/>
      <c r="L40" s="10"/>
      <c r="M40" s="7"/>
    </row>
    <row r="41" spans="2:16" s="8" customFormat="1" ht="20" customHeight="1" thickBot="1">
      <c r="B41" s="93" t="s">
        <v>11</v>
      </c>
      <c r="C41" s="94"/>
      <c r="D41" s="94"/>
      <c r="E41" s="94"/>
      <c r="F41" s="94"/>
      <c r="G41" s="94"/>
      <c r="H41" s="94"/>
      <c r="I41" s="94"/>
      <c r="J41" s="72">
        <f>SUM(J36:J40)</f>
        <v>5200</v>
      </c>
      <c r="K41" s="45"/>
      <c r="L41" s="6"/>
      <c r="M41" s="7"/>
    </row>
    <row r="42" spans="2:16" s="8" customFormat="1" ht="20" customHeight="1">
      <c r="B42" s="112" t="s">
        <v>35</v>
      </c>
      <c r="C42" s="90" t="s">
        <v>36</v>
      </c>
      <c r="D42" s="90"/>
      <c r="E42" s="90" t="s">
        <v>61</v>
      </c>
      <c r="F42" s="90"/>
      <c r="G42" s="65">
        <v>150</v>
      </c>
      <c r="H42" s="41">
        <v>4</v>
      </c>
      <c r="I42" s="41">
        <v>1</v>
      </c>
      <c r="J42" s="73">
        <f t="shared" ref="J42" si="7">G42*H42*I42</f>
        <v>600</v>
      </c>
      <c r="K42" s="43"/>
      <c r="L42" s="10"/>
      <c r="M42" s="7"/>
    </row>
    <row r="43" spans="2:16" s="8" customFormat="1" ht="20" customHeight="1">
      <c r="B43" s="112"/>
      <c r="C43" s="90"/>
      <c r="D43" s="90"/>
      <c r="E43" s="100" t="s">
        <v>62</v>
      </c>
      <c r="F43" s="100"/>
      <c r="G43" s="63">
        <v>250</v>
      </c>
      <c r="H43" s="11">
        <v>4</v>
      </c>
      <c r="I43" s="11">
        <v>1</v>
      </c>
      <c r="J43" s="70">
        <f>G43*H43*I43</f>
        <v>1000</v>
      </c>
      <c r="K43" s="12"/>
      <c r="L43" s="10"/>
      <c r="M43" s="7"/>
    </row>
    <row r="44" spans="2:16" s="8" customFormat="1" ht="20" customHeight="1">
      <c r="B44" s="113"/>
      <c r="C44" s="100"/>
      <c r="D44" s="100"/>
      <c r="E44" s="100" t="s">
        <v>63</v>
      </c>
      <c r="F44" s="100"/>
      <c r="G44" s="63">
        <v>600</v>
      </c>
      <c r="H44" s="11">
        <v>4</v>
      </c>
      <c r="I44" s="11">
        <v>1</v>
      </c>
      <c r="J44" s="70">
        <f>G44*H44*I44</f>
        <v>2400</v>
      </c>
      <c r="K44" s="12"/>
      <c r="L44" s="10"/>
      <c r="M44" s="7"/>
    </row>
    <row r="45" spans="2:16" s="8" customFormat="1" ht="20" customHeight="1" thickBot="1">
      <c r="B45" s="114"/>
      <c r="C45" s="89"/>
      <c r="D45" s="89"/>
      <c r="E45" s="89"/>
      <c r="F45" s="89"/>
      <c r="G45" s="64"/>
      <c r="H45" s="24"/>
      <c r="I45" s="24"/>
      <c r="J45" s="71">
        <f t="shared" ref="J45" si="8">G45*H45*I45</f>
        <v>0</v>
      </c>
      <c r="K45" s="47"/>
      <c r="L45" s="10"/>
      <c r="M45" s="7"/>
    </row>
    <row r="46" spans="2:16" s="8" customFormat="1" ht="20" customHeight="1" thickBot="1">
      <c r="B46" s="93" t="s">
        <v>11</v>
      </c>
      <c r="C46" s="94"/>
      <c r="D46" s="94"/>
      <c r="E46" s="94"/>
      <c r="F46" s="94"/>
      <c r="G46" s="94"/>
      <c r="H46" s="94"/>
      <c r="I46" s="94"/>
      <c r="J46" s="72">
        <f>SUM(J42:J45)</f>
        <v>4000</v>
      </c>
      <c r="K46" s="45"/>
      <c r="L46" s="10"/>
      <c r="M46" s="7"/>
    </row>
    <row r="47" spans="2:16" s="8" customFormat="1" ht="20" customHeight="1" thickBot="1">
      <c r="B47" s="26" t="s">
        <v>37</v>
      </c>
      <c r="C47" s="92" t="s">
        <v>38</v>
      </c>
      <c r="D47" s="92"/>
      <c r="E47" s="92" t="s">
        <v>90</v>
      </c>
      <c r="F47" s="92"/>
      <c r="G47" s="66">
        <v>160</v>
      </c>
      <c r="H47" s="25">
        <v>1</v>
      </c>
      <c r="I47" s="54">
        <f>$D$5</f>
        <v>11</v>
      </c>
      <c r="J47" s="76">
        <f>G47*H47*I47</f>
        <v>1760</v>
      </c>
      <c r="K47" s="51"/>
      <c r="L47" s="10"/>
      <c r="M47" s="7"/>
    </row>
    <row r="48" spans="2:16" s="8" customFormat="1" ht="20" customHeight="1" thickBot="1">
      <c r="B48" s="93" t="s">
        <v>11</v>
      </c>
      <c r="C48" s="94"/>
      <c r="D48" s="94"/>
      <c r="E48" s="94"/>
      <c r="F48" s="94"/>
      <c r="G48" s="94"/>
      <c r="H48" s="94"/>
      <c r="I48" s="94"/>
      <c r="J48" s="72">
        <f>SUM(J47:J47)</f>
        <v>1760</v>
      </c>
      <c r="K48" s="52"/>
      <c r="L48" s="6"/>
      <c r="M48" s="7"/>
    </row>
    <row r="49" spans="2:13" s="8" customFormat="1" ht="20" customHeight="1">
      <c r="B49" s="108" t="s">
        <v>39</v>
      </c>
      <c r="C49" s="109"/>
      <c r="D49" s="109"/>
      <c r="E49" s="109"/>
      <c r="F49" s="109"/>
      <c r="G49" s="109"/>
      <c r="H49" s="109"/>
      <c r="I49" s="109"/>
      <c r="J49" s="77">
        <f>J9+J21+J30+J34+J41+J46+J48</f>
        <v>24820</v>
      </c>
      <c r="K49" s="50"/>
      <c r="L49" s="6"/>
      <c r="M49" s="7"/>
    </row>
    <row r="50" spans="2:13" s="8" customFormat="1" ht="30.15" customHeight="1" thickBot="1">
      <c r="B50" s="110" t="s">
        <v>40</v>
      </c>
      <c r="C50" s="111"/>
      <c r="D50" s="111"/>
      <c r="E50" s="111"/>
      <c r="F50" s="111"/>
      <c r="G50" s="111"/>
      <c r="H50" s="111"/>
      <c r="I50" s="111"/>
      <c r="J50" s="78">
        <f>J49/$D$5</f>
        <v>2256.3636363636365</v>
      </c>
      <c r="K50" s="46">
        <f>J50*$K$3</f>
        <v>676909.09090909094</v>
      </c>
      <c r="L50" s="17">
        <v>777000</v>
      </c>
      <c r="M50" s="7"/>
    </row>
    <row r="51" spans="2:13" s="8" customFormat="1" ht="10" customHeight="1">
      <c r="B51" s="4"/>
      <c r="C51" s="4"/>
      <c r="D51" s="4"/>
      <c r="E51" s="4"/>
      <c r="F51" s="4"/>
      <c r="G51" s="55"/>
      <c r="H51" s="5"/>
      <c r="I51" s="5"/>
      <c r="J51" s="79"/>
      <c r="K51" s="18"/>
      <c r="L51" s="6"/>
      <c r="M51" s="7"/>
    </row>
    <row r="52" spans="2:13" s="8" customFormat="1" ht="20" customHeight="1">
      <c r="B52" s="6"/>
      <c r="C52" s="6"/>
      <c r="D52" s="6"/>
      <c r="E52" s="6"/>
      <c r="F52" s="6"/>
      <c r="G52" s="67"/>
      <c r="H52" s="19"/>
      <c r="I52" s="19"/>
      <c r="J52" s="80"/>
      <c r="K52" s="20"/>
      <c r="L52" s="6"/>
      <c r="M52" s="7"/>
    </row>
  </sheetData>
  <mergeCells count="68">
    <mergeCell ref="B2:K2"/>
    <mergeCell ref="B3:C3"/>
    <mergeCell ref="D3:F3"/>
    <mergeCell ref="H3:I3"/>
    <mergeCell ref="B4:C4"/>
    <mergeCell ref="D4:F4"/>
    <mergeCell ref="H4:I4"/>
    <mergeCell ref="B5:C5"/>
    <mergeCell ref="H5:K5"/>
    <mergeCell ref="B6:F6"/>
    <mergeCell ref="B7:B8"/>
    <mergeCell ref="C7:C8"/>
    <mergeCell ref="D7:F7"/>
    <mergeCell ref="D8:F8"/>
    <mergeCell ref="B9:I9"/>
    <mergeCell ref="B10:F10"/>
    <mergeCell ref="B11:B20"/>
    <mergeCell ref="E11:F11"/>
    <mergeCell ref="C13:C14"/>
    <mergeCell ref="E13:F13"/>
    <mergeCell ref="E14:F14"/>
    <mergeCell ref="C15:C16"/>
    <mergeCell ref="E15:F15"/>
    <mergeCell ref="E16:F16"/>
    <mergeCell ref="C17:C18"/>
    <mergeCell ref="E17:F17"/>
    <mergeCell ref="E18:F18"/>
    <mergeCell ref="C19:C20"/>
    <mergeCell ref="E19:F19"/>
    <mergeCell ref="E20:F20"/>
    <mergeCell ref="C23:C29"/>
    <mergeCell ref="D23:F23"/>
    <mergeCell ref="D24:F24"/>
    <mergeCell ref="D25:F25"/>
    <mergeCell ref="D26:F26"/>
    <mergeCell ref="D27:F27"/>
    <mergeCell ref="D29:F29"/>
    <mergeCell ref="B49:I49"/>
    <mergeCell ref="B50:I50"/>
    <mergeCell ref="B46:I46"/>
    <mergeCell ref="B34:I34"/>
    <mergeCell ref="B35:B40"/>
    <mergeCell ref="C35:D35"/>
    <mergeCell ref="E35:F35"/>
    <mergeCell ref="C36:D40"/>
    <mergeCell ref="B41:I41"/>
    <mergeCell ref="E43:F43"/>
    <mergeCell ref="B42:B45"/>
    <mergeCell ref="C42:D45"/>
    <mergeCell ref="E42:F42"/>
    <mergeCell ref="E44:F44"/>
    <mergeCell ref="E45:F45"/>
    <mergeCell ref="C11:C12"/>
    <mergeCell ref="E12:F12"/>
    <mergeCell ref="C47:D47"/>
    <mergeCell ref="E47:F47"/>
    <mergeCell ref="B48:I48"/>
    <mergeCell ref="B30:I30"/>
    <mergeCell ref="B31:B33"/>
    <mergeCell ref="C31:D31"/>
    <mergeCell ref="E31:F31"/>
    <mergeCell ref="C32:D33"/>
    <mergeCell ref="E32:F32"/>
    <mergeCell ref="E33:F33"/>
    <mergeCell ref="F36:F39"/>
    <mergeCell ref="B21:I21"/>
    <mergeCell ref="B22:F22"/>
    <mergeCell ref="B23:B29"/>
  </mergeCells>
  <phoneticPr fontId="1" type="noConversion"/>
  <printOptions horizontalCentered="1"/>
  <pageMargins left="0.19685039370078741" right="0.19685039370078741" top="0.98425196850393704" bottom="0.19685039370078741" header="0.31496062992125984" footer="0.31496062992125984"/>
  <pageSetup paperSize="9" scale="86" orientation="portrait" horizontalDpi="4294967293" verticalDpi="4294967293" r:id="rId1"/>
  <headerFooter>
    <oddHeader>&amp;C&amp;G</oddHeader>
  </headerFooter>
  <rowBreaks count="1" manualBreakCount="1">
    <brk id="41" max="11" man="1"/>
  </rowBreaks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세부내역서</vt:lpstr>
      <vt:lpstr>세부내역서!Print_Area</vt:lpstr>
      <vt:lpstr>세부내역서!Print_Titles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지현민</cp:lastModifiedBy>
  <cp:lastPrinted>2024-01-16T00:06:13Z</cp:lastPrinted>
  <dcterms:created xsi:type="dcterms:W3CDTF">2023-02-09T08:09:50Z</dcterms:created>
  <dcterms:modified xsi:type="dcterms:W3CDTF">2024-07-31T06:54:55Z</dcterms:modified>
</cp:coreProperties>
</file>