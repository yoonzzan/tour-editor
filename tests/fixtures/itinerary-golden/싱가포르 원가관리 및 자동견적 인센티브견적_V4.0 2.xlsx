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natour0-my.sharepoint.com/personal/yoonzzan_hanatour_com/Documents/20220324 갤탭/오늘의 업무▶/마이기획서/온라인견적서/공급사 비딩 답변 첨부파일/"/>
    </mc:Choice>
  </mc:AlternateContent>
  <xr:revisionPtr revIDLastSave="88" documentId="13_ncr:1_{060C7DA3-D56E-4F96-ADE8-56BE09937E4E}" xr6:coauthVersionLast="47" xr6:coauthVersionMax="47" xr10:uidLastSave="{2AFC29B7-2C3F-4D42-B168-CC09A9D72123}"/>
  <bookViews>
    <workbookView xWindow="15000" yWindow="5460" windowWidth="40600" windowHeight="28240" tabRatio="934" activeTab="4" xr2:uid="{1F097A4F-97B6-4742-9652-6505A8359044}"/>
  </bookViews>
  <sheets>
    <sheet name="25메인호텔" sheetId="70" r:id="rId1"/>
    <sheet name="가이드&amp;차량" sheetId="4" r:id="rId2"/>
    <sheet name="서차지" sheetId="2" r:id="rId3"/>
    <sheet name="호텔" sheetId="14" r:id="rId4"/>
    <sheet name="호텔 (2)" sheetId="84" r:id="rId5"/>
    <sheet name="일정" sheetId="3" r:id="rId6"/>
    <sheet name="식사" sheetId="5" r:id="rId7"/>
    <sheet name="현지투어플러스" sheetId="71" r:id="rId8"/>
    <sheet name="상품리스트" sheetId="10" r:id="rId9"/>
    <sheet name="초1" sheetId="42" r:id="rId10"/>
    <sheet name="초2" sheetId="50" r:id="rId11"/>
    <sheet name="초3" sheetId="72" r:id="rId12"/>
    <sheet name="중1" sheetId="74" r:id="rId13"/>
    <sheet name="고1" sheetId="30" r:id="rId14"/>
    <sheet name="고2" sheetId="31" r:id="rId15"/>
    <sheet name="고3" sheetId="68" r:id="rId16"/>
    <sheet name="210OZA" sheetId="46" r:id="rId17"/>
    <sheet name="210KEG" sheetId="56" r:id="rId18"/>
    <sheet name="210KED" sheetId="79" r:id="rId19"/>
    <sheet name="210SQD" sheetId="67" r:id="rId20"/>
    <sheet name="212OZD" sheetId="36" r:id="rId21"/>
    <sheet name="211SQC" sheetId="83" r:id="rId22"/>
    <sheet name="210SQ4" sheetId="78" r:id="rId23"/>
    <sheet name="2104" sheetId="45" r:id="rId24"/>
    <sheet name="211TWG" sheetId="19" r:id="rId25"/>
    <sheet name="211TWC" sheetId="75" r:id="rId26"/>
    <sheet name="211KE3" sheetId="81" r:id="rId27"/>
    <sheet name="211OZB" sheetId="61" r:id="rId28"/>
    <sheet name="211OZC" sheetId="62" r:id="rId29"/>
    <sheet name="211KEA" sheetId="63" r:id="rId30"/>
    <sheet name="211uss" sheetId="40" r:id="rId31"/>
    <sheet name="211_9" sheetId="26" r:id="rId32"/>
    <sheet name="212SQA" sheetId="80" r:id="rId33"/>
    <sheet name="210SQA" sheetId="76" r:id="rId34"/>
    <sheet name="213" sheetId="49" r:id="rId35"/>
    <sheet name="215OZB" sheetId="39" r:id="rId36"/>
    <sheet name="215KEE" sheetId="77" r:id="rId37"/>
    <sheet name="3097CB" sheetId="37" r:id="rId38"/>
    <sheet name="309SQ" sheetId="24" r:id="rId39"/>
    <sheet name="3107CB" sheetId="48" r:id="rId40"/>
    <sheet name="310SQ" sheetId="32" r:id="rId41"/>
    <sheet name="3117CU" sheetId="38" r:id="rId42"/>
    <sheet name="311" sheetId="47" r:id="rId43"/>
    <sheet name="3117CX" sheetId="58" r:id="rId44"/>
    <sheet name="3127CU" sheetId="59" r:id="rId45"/>
    <sheet name="303SQ" sheetId="53" r:id="rId46"/>
    <sheet name="910_TR" sheetId="44" r:id="rId47"/>
    <sheet name="211바탐" sheetId="43" r:id="rId48"/>
    <sheet name="311바탐" sheetId="51" r:id="rId49"/>
    <sheet name="221바탐" sheetId="66" r:id="rId50"/>
    <sheet name="부산연합1" sheetId="64" r:id="rId51"/>
    <sheet name="ASE501" sheetId="52" r:id="rId52"/>
    <sheet name="BSP505" sheetId="65" r:id="rId53"/>
    <sheet name="쿠말싱" sheetId="54" r:id="rId54"/>
    <sheet name="싱조조" sheetId="82" r:id="rId5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79" l="1"/>
  <c r="O11" i="80"/>
  <c r="O12" i="80"/>
  <c r="O13" i="80"/>
  <c r="O14" i="80"/>
  <c r="O15" i="80"/>
  <c r="O16" i="80"/>
  <c r="O17" i="80"/>
  <c r="O18" i="80"/>
  <c r="O19" i="80"/>
  <c r="O20" i="80"/>
  <c r="O21" i="80"/>
  <c r="O22" i="80"/>
  <c r="O23" i="80"/>
  <c r="O24" i="80"/>
  <c r="O25" i="80"/>
  <c r="O26" i="80"/>
  <c r="O27" i="80"/>
  <c r="O28" i="80"/>
  <c r="O29" i="80"/>
  <c r="O30" i="80"/>
  <c r="O31" i="80"/>
  <c r="O32" i="80"/>
  <c r="O33" i="80"/>
  <c r="O34" i="80"/>
  <c r="O35" i="80"/>
  <c r="O36" i="80"/>
  <c r="O37" i="80"/>
  <c r="L5" i="42"/>
  <c r="L6" i="42"/>
  <c r="L4" i="42"/>
  <c r="L3" i="42"/>
  <c r="L2" i="42"/>
  <c r="I33" i="79" l="1"/>
  <c r="J34" i="80"/>
  <c r="E10" i="80" l="1"/>
  <c r="I12" i="80"/>
  <c r="J12" i="80"/>
  <c r="V12" i="80"/>
  <c r="W12" i="80"/>
  <c r="X12" i="80"/>
  <c r="Y12" i="80"/>
  <c r="AB12" i="80"/>
  <c r="AC12" i="80"/>
  <c r="AD12" i="80"/>
  <c r="G18" i="82" l="1"/>
  <c r="C18" i="82"/>
  <c r="O29" i="54"/>
  <c r="O30" i="54"/>
  <c r="O31" i="54"/>
  <c r="O32" i="54"/>
  <c r="H31" i="54"/>
  <c r="G31" i="54"/>
  <c r="C31" i="54"/>
  <c r="G16" i="65"/>
  <c r="C16" i="65"/>
  <c r="G16" i="52"/>
  <c r="C16" i="52"/>
  <c r="G22" i="66"/>
  <c r="C22" i="66"/>
  <c r="G30" i="43"/>
  <c r="C30" i="43"/>
  <c r="G28" i="44"/>
  <c r="C28" i="44"/>
  <c r="G31" i="58"/>
  <c r="C31" i="58"/>
  <c r="G31" i="38"/>
  <c r="C31" i="38"/>
  <c r="G19" i="80"/>
  <c r="C19" i="80"/>
  <c r="G17" i="26"/>
  <c r="C17" i="26"/>
  <c r="G30" i="40"/>
  <c r="C30" i="40"/>
  <c r="C31" i="63"/>
  <c r="G31" i="63"/>
  <c r="G30" i="62"/>
  <c r="C30" i="62"/>
  <c r="G30" i="61"/>
  <c r="C30" i="61"/>
  <c r="G17" i="19"/>
  <c r="C17" i="19"/>
  <c r="G42" i="82"/>
  <c r="G44" i="54"/>
  <c r="J39" i="54"/>
  <c r="H38" i="54"/>
  <c r="J37" i="54"/>
  <c r="J32" i="54"/>
  <c r="J28" i="54"/>
  <c r="J24" i="54"/>
  <c r="J22" i="54"/>
  <c r="J17" i="54"/>
  <c r="J15" i="54"/>
  <c r="G36" i="65"/>
  <c r="J32" i="65"/>
  <c r="H31" i="65"/>
  <c r="J30" i="65"/>
  <c r="J25" i="65"/>
  <c r="J22" i="65"/>
  <c r="H21" i="65"/>
  <c r="J17" i="65"/>
  <c r="H16" i="65"/>
  <c r="J15" i="65"/>
  <c r="G36" i="52"/>
  <c r="J32" i="52"/>
  <c r="H31" i="52"/>
  <c r="J30" i="52"/>
  <c r="J18" i="52"/>
  <c r="H16" i="52"/>
  <c r="J15" i="52"/>
  <c r="G39" i="64"/>
  <c r="H35" i="64"/>
  <c r="J34" i="64"/>
  <c r="H32" i="64"/>
  <c r="J31" i="64"/>
  <c r="H27" i="64"/>
  <c r="J26" i="64"/>
  <c r="H25" i="64"/>
  <c r="J23" i="64"/>
  <c r="H22" i="64"/>
  <c r="J18" i="64"/>
  <c r="J16" i="64"/>
  <c r="H14" i="64"/>
  <c r="G46" i="66"/>
  <c r="G45" i="66"/>
  <c r="G44" i="66"/>
  <c r="J40" i="66"/>
  <c r="H38" i="66"/>
  <c r="J37" i="66"/>
  <c r="J33" i="66"/>
  <c r="J31" i="66"/>
  <c r="J26" i="66"/>
  <c r="H24" i="66"/>
  <c r="J23" i="66"/>
  <c r="H22" i="66"/>
  <c r="H18" i="66"/>
  <c r="J17" i="66"/>
  <c r="H16" i="66"/>
  <c r="J15" i="66"/>
  <c r="H14" i="66"/>
  <c r="G37" i="51"/>
  <c r="J32" i="51"/>
  <c r="H31" i="51"/>
  <c r="J30" i="51"/>
  <c r="H29" i="51"/>
  <c r="H20" i="51"/>
  <c r="J18" i="51"/>
  <c r="H17" i="51"/>
  <c r="J15" i="51"/>
  <c r="G36" i="43"/>
  <c r="J32" i="43"/>
  <c r="H30" i="43"/>
  <c r="J29" i="43"/>
  <c r="H17" i="43"/>
  <c r="J15" i="43"/>
  <c r="G34" i="44"/>
  <c r="J30" i="44"/>
  <c r="H28" i="44"/>
  <c r="J27" i="44"/>
  <c r="J19" i="44"/>
  <c r="H17" i="44"/>
  <c r="J16" i="44"/>
  <c r="J12" i="44"/>
  <c r="G34" i="53"/>
  <c r="J30" i="53"/>
  <c r="H28" i="53"/>
  <c r="J27" i="53"/>
  <c r="J23" i="53"/>
  <c r="J20" i="53"/>
  <c r="H19" i="53"/>
  <c r="J14" i="53"/>
  <c r="H13" i="53"/>
  <c r="G39" i="59"/>
  <c r="J35" i="59"/>
  <c r="J34" i="59"/>
  <c r="H33" i="59"/>
  <c r="J31" i="59"/>
  <c r="J19" i="59"/>
  <c r="H18" i="59"/>
  <c r="H16" i="59"/>
  <c r="J15" i="59"/>
  <c r="K44" i="58"/>
  <c r="K43" i="58"/>
  <c r="K42" i="58"/>
  <c r="K41" i="58"/>
  <c r="K40" i="58"/>
  <c r="G37" i="58"/>
  <c r="J33" i="58"/>
  <c r="H31" i="58"/>
  <c r="J30" i="58"/>
  <c r="J26" i="58"/>
  <c r="J23" i="58"/>
  <c r="J18" i="58"/>
  <c r="H16" i="58"/>
  <c r="J15" i="58"/>
  <c r="G37" i="47"/>
  <c r="J33" i="47"/>
  <c r="J31" i="47"/>
  <c r="H30" i="47"/>
  <c r="J27" i="47"/>
  <c r="H26" i="47"/>
  <c r="H25" i="47"/>
  <c r="J24" i="47"/>
  <c r="J19" i="47"/>
  <c r="H18" i="47"/>
  <c r="J16" i="47"/>
  <c r="G37" i="38"/>
  <c r="J33" i="38"/>
  <c r="H31" i="38"/>
  <c r="J30" i="38"/>
  <c r="J18" i="38"/>
  <c r="H16" i="38"/>
  <c r="J15" i="38"/>
  <c r="G31" i="32"/>
  <c r="J27" i="32"/>
  <c r="H25" i="32"/>
  <c r="J24" i="32"/>
  <c r="J21" i="32"/>
  <c r="H19" i="32"/>
  <c r="J18" i="32"/>
  <c r="J13" i="32"/>
  <c r="G37" i="48"/>
  <c r="J33" i="48"/>
  <c r="J31" i="48"/>
  <c r="H30" i="48"/>
  <c r="J29" i="48"/>
  <c r="J26" i="48"/>
  <c r="J24" i="48"/>
  <c r="H23" i="48"/>
  <c r="J19" i="48"/>
  <c r="H18" i="48"/>
  <c r="H16" i="48"/>
  <c r="J15" i="48"/>
  <c r="G40" i="24"/>
  <c r="J36" i="24"/>
  <c r="H34" i="24"/>
  <c r="J33" i="24"/>
  <c r="J29" i="24"/>
  <c r="J26" i="24"/>
  <c r="H25" i="24"/>
  <c r="J22" i="24"/>
  <c r="J21" i="24"/>
  <c r="J19" i="24"/>
  <c r="J14" i="24"/>
  <c r="H13" i="24"/>
  <c r="G38" i="37"/>
  <c r="J34" i="37"/>
  <c r="J32" i="37"/>
  <c r="J31" i="37"/>
  <c r="J27" i="37"/>
  <c r="H25" i="37"/>
  <c r="J24" i="37"/>
  <c r="J19" i="37"/>
  <c r="H18" i="37"/>
  <c r="J16" i="37"/>
  <c r="H15" i="37"/>
  <c r="K50" i="77"/>
  <c r="K49" i="77"/>
  <c r="K48" i="77"/>
  <c r="K47" i="77"/>
  <c r="K46" i="77"/>
  <c r="G43" i="77"/>
  <c r="H39" i="77"/>
  <c r="J38" i="77"/>
  <c r="J36" i="77"/>
  <c r="H35" i="77"/>
  <c r="J33" i="77"/>
  <c r="J29" i="77"/>
  <c r="H27" i="77"/>
  <c r="H26" i="77"/>
  <c r="J25" i="77"/>
  <c r="J20" i="77"/>
  <c r="H19" i="77"/>
  <c r="H18" i="77"/>
  <c r="H17" i="77"/>
  <c r="J15" i="77"/>
  <c r="G42" i="39"/>
  <c r="G36" i="49"/>
  <c r="J32" i="49"/>
  <c r="J30" i="49"/>
  <c r="H29" i="49"/>
  <c r="J28" i="49"/>
  <c r="J21" i="49"/>
  <c r="H19" i="49"/>
  <c r="H17" i="49"/>
  <c r="J16" i="49"/>
  <c r="J12" i="49"/>
  <c r="G38" i="76"/>
  <c r="J34" i="76"/>
  <c r="J32" i="76"/>
  <c r="H31" i="76"/>
  <c r="J30" i="76"/>
  <c r="J27" i="76"/>
  <c r="J25" i="76"/>
  <c r="H24" i="76"/>
  <c r="J20" i="76"/>
  <c r="H19" i="76"/>
  <c r="H17" i="76"/>
  <c r="J16" i="76"/>
  <c r="J12" i="76"/>
  <c r="K47" i="80"/>
  <c r="K46" i="80"/>
  <c r="K45" i="80"/>
  <c r="K44" i="80"/>
  <c r="K43" i="80"/>
  <c r="G40" i="80"/>
  <c r="J36" i="80"/>
  <c r="H33" i="80"/>
  <c r="J32" i="80"/>
  <c r="J20" i="80"/>
  <c r="H19" i="80"/>
  <c r="H17" i="80"/>
  <c r="J16" i="80"/>
  <c r="K44" i="26"/>
  <c r="K43" i="26"/>
  <c r="K42" i="26"/>
  <c r="K41" i="26"/>
  <c r="K40" i="26"/>
  <c r="G37" i="26"/>
  <c r="J33" i="26"/>
  <c r="H32" i="26"/>
  <c r="J31" i="26"/>
  <c r="J26" i="26"/>
  <c r="J23" i="26"/>
  <c r="J18" i="26"/>
  <c r="H17" i="26"/>
  <c r="J15" i="26"/>
  <c r="G36" i="40"/>
  <c r="J32" i="40"/>
  <c r="H30" i="40"/>
  <c r="J29" i="40"/>
  <c r="J25" i="40"/>
  <c r="H22" i="40"/>
  <c r="J18" i="40"/>
  <c r="H16" i="40"/>
  <c r="J15" i="40"/>
  <c r="G37" i="63"/>
  <c r="J33" i="63"/>
  <c r="H31" i="63"/>
  <c r="J30" i="63"/>
  <c r="J18" i="63"/>
  <c r="H16" i="63"/>
  <c r="J15" i="63"/>
  <c r="G36" i="62"/>
  <c r="J25" i="62"/>
  <c r="K43" i="61"/>
  <c r="K42" i="61"/>
  <c r="K41" i="61"/>
  <c r="K40" i="61"/>
  <c r="K39" i="61"/>
  <c r="G36" i="61"/>
  <c r="K46" i="81"/>
  <c r="K45" i="81"/>
  <c r="K44" i="81"/>
  <c r="K43" i="81"/>
  <c r="K42" i="81"/>
  <c r="G39" i="81"/>
  <c r="J19" i="81"/>
  <c r="G39" i="75"/>
  <c r="G35" i="19"/>
  <c r="G43" i="45"/>
  <c r="J39" i="45"/>
  <c r="J37" i="45"/>
  <c r="H36" i="45"/>
  <c r="J35" i="45"/>
  <c r="G38" i="78"/>
  <c r="G37" i="83"/>
  <c r="O37" i="83" s="1"/>
  <c r="G39" i="36"/>
  <c r="K44" i="67"/>
  <c r="K43" i="67"/>
  <c r="K42" i="67"/>
  <c r="K41" i="67"/>
  <c r="G38" i="67"/>
  <c r="K43" i="79"/>
  <c r="K42" i="79"/>
  <c r="K41" i="79"/>
  <c r="K40" i="79"/>
  <c r="G37" i="79"/>
  <c r="G39" i="56"/>
  <c r="G36" i="46"/>
  <c r="G40" i="68"/>
  <c r="G39" i="31"/>
  <c r="G39" i="30"/>
  <c r="G37" i="74"/>
  <c r="G46" i="72"/>
  <c r="G44" i="71"/>
  <c r="J39" i="71"/>
  <c r="H37" i="71"/>
  <c r="J36" i="71"/>
  <c r="J32" i="71"/>
  <c r="H30" i="71"/>
  <c r="J29" i="71"/>
  <c r="H28" i="71"/>
  <c r="J24" i="71"/>
  <c r="J23" i="71"/>
  <c r="H22" i="71"/>
  <c r="H19" i="71"/>
  <c r="J18" i="71"/>
  <c r="H17" i="71"/>
  <c r="J15" i="71"/>
  <c r="H14" i="71"/>
  <c r="J32" i="62"/>
  <c r="J29" i="62"/>
  <c r="J15" i="62"/>
  <c r="J18" i="62"/>
  <c r="J23" i="62"/>
  <c r="K43" i="62"/>
  <c r="K40" i="62"/>
  <c r="G37" i="62"/>
  <c r="H30" i="62"/>
  <c r="K42" i="62"/>
  <c r="K41" i="62"/>
  <c r="K39" i="62"/>
  <c r="H16" i="62"/>
  <c r="J32" i="61"/>
  <c r="J29" i="61"/>
  <c r="J18" i="61"/>
  <c r="J15" i="61"/>
  <c r="H30" i="61"/>
  <c r="H16" i="61"/>
  <c r="J35" i="81"/>
  <c r="J32" i="81"/>
  <c r="J28" i="81"/>
  <c r="J25" i="81"/>
  <c r="J18" i="81"/>
  <c r="J16" i="81"/>
  <c r="H33" i="81"/>
  <c r="H17" i="81"/>
  <c r="J35" i="75"/>
  <c r="J32" i="75"/>
  <c r="J28" i="75"/>
  <c r="J25" i="75"/>
  <c r="J19" i="75"/>
  <c r="J16" i="75"/>
  <c r="H33" i="75"/>
  <c r="H17" i="75"/>
  <c r="J31" i="19"/>
  <c r="J29" i="19"/>
  <c r="J25" i="19"/>
  <c r="J23" i="19"/>
  <c r="J18" i="19"/>
  <c r="J15" i="19"/>
  <c r="H28" i="19"/>
  <c r="H17" i="19"/>
  <c r="H14" i="19"/>
  <c r="J31" i="45"/>
  <c r="J26" i="45"/>
  <c r="J24" i="45"/>
  <c r="J19" i="45"/>
  <c r="J15" i="45"/>
  <c r="H32" i="45"/>
  <c r="H30" i="45"/>
  <c r="H23" i="45"/>
  <c r="H18" i="45"/>
  <c r="H16" i="45"/>
  <c r="J34" i="78"/>
  <c r="J32" i="78"/>
  <c r="J30" i="78"/>
  <c r="J27" i="78"/>
  <c r="J25" i="78"/>
  <c r="J20" i="78"/>
  <c r="J16" i="78"/>
  <c r="J12" i="78"/>
  <c r="H31" i="78"/>
  <c r="H24" i="78"/>
  <c r="H19" i="78"/>
  <c r="H17" i="78"/>
  <c r="J33" i="83"/>
  <c r="O33" i="83" s="1"/>
  <c r="J30" i="83"/>
  <c r="J26" i="83"/>
  <c r="J24" i="83"/>
  <c r="O24" i="83" s="1"/>
  <c r="J19" i="83"/>
  <c r="O19" i="83" s="1"/>
  <c r="J16" i="83"/>
  <c r="J12" i="83"/>
  <c r="O12" i="83" s="1"/>
  <c r="H31" i="83"/>
  <c r="H17" i="83"/>
  <c r="J35" i="36"/>
  <c r="J33" i="36"/>
  <c r="J31" i="36"/>
  <c r="J19" i="36"/>
  <c r="J15" i="36"/>
  <c r="H32" i="36"/>
  <c r="H18" i="36"/>
  <c r="H16" i="36"/>
  <c r="J34" i="67"/>
  <c r="J32" i="67"/>
  <c r="J30" i="67"/>
  <c r="J27" i="67"/>
  <c r="J25" i="67"/>
  <c r="J20" i="67"/>
  <c r="J16" i="67"/>
  <c r="J12" i="67"/>
  <c r="H31" i="67"/>
  <c r="H24" i="67"/>
  <c r="H19" i="67"/>
  <c r="H17" i="67"/>
  <c r="J33" i="79"/>
  <c r="J31" i="79"/>
  <c r="J29" i="79"/>
  <c r="J26" i="79"/>
  <c r="J24" i="79"/>
  <c r="J19" i="79"/>
  <c r="J15" i="79"/>
  <c r="H30" i="79"/>
  <c r="H23" i="79"/>
  <c r="H18" i="79"/>
  <c r="H16" i="79"/>
  <c r="J35" i="56"/>
  <c r="J33" i="56"/>
  <c r="J31" i="56"/>
  <c r="J26" i="56"/>
  <c r="J18" i="56"/>
  <c r="J15" i="56"/>
  <c r="H30" i="56"/>
  <c r="H27" i="56"/>
  <c r="H23" i="56"/>
  <c r="H22" i="56"/>
  <c r="H16" i="56"/>
  <c r="J32" i="46"/>
  <c r="J30" i="46"/>
  <c r="J28" i="46"/>
  <c r="J25" i="46"/>
  <c r="J23" i="46"/>
  <c r="J18" i="46"/>
  <c r="J15" i="46"/>
  <c r="H29" i="46"/>
  <c r="H22" i="46"/>
  <c r="H17" i="46"/>
  <c r="H16" i="46"/>
  <c r="J36" i="68"/>
  <c r="J35" i="68"/>
  <c r="J32" i="68"/>
  <c r="J27" i="68"/>
  <c r="J25" i="68"/>
  <c r="J23" i="68"/>
  <c r="J19" i="68"/>
  <c r="J16" i="68"/>
  <c r="J15" i="68"/>
  <c r="H37" i="68"/>
  <c r="H34" i="68"/>
  <c r="H33" i="68"/>
  <c r="H26" i="68"/>
  <c r="H22" i="68"/>
  <c r="H17" i="68"/>
  <c r="H14" i="68"/>
  <c r="J35" i="31"/>
  <c r="J34" i="31"/>
  <c r="J32" i="31"/>
  <c r="J27" i="31"/>
  <c r="J25" i="31"/>
  <c r="J19" i="31"/>
  <c r="J15" i="31"/>
  <c r="H36" i="31"/>
  <c r="H31" i="31"/>
  <c r="H24" i="31"/>
  <c r="H18" i="31"/>
  <c r="J35" i="30"/>
  <c r="J34" i="30"/>
  <c r="J32" i="30"/>
  <c r="J27" i="30"/>
  <c r="J25" i="30"/>
  <c r="J19" i="30"/>
  <c r="J15" i="30"/>
  <c r="H36" i="30"/>
  <c r="H31" i="30"/>
  <c r="H28" i="30"/>
  <c r="H24" i="30"/>
  <c r="H18" i="30"/>
  <c r="J32" i="74"/>
  <c r="J30" i="74"/>
  <c r="J25" i="74"/>
  <c r="J24" i="74"/>
  <c r="J18" i="74"/>
  <c r="J15" i="74"/>
  <c r="H34" i="74"/>
  <c r="H29" i="74"/>
  <c r="H26" i="74"/>
  <c r="H23" i="74"/>
  <c r="H22" i="74"/>
  <c r="H17" i="74"/>
  <c r="J42" i="72"/>
  <c r="J38" i="72"/>
  <c r="J34" i="72"/>
  <c r="J31" i="72"/>
  <c r="J25" i="72"/>
  <c r="J23" i="72"/>
  <c r="J17" i="72"/>
  <c r="J15" i="72"/>
  <c r="H43" i="72"/>
  <c r="H41" i="72"/>
  <c r="H40" i="72"/>
  <c r="H32" i="72"/>
  <c r="H30" i="72"/>
  <c r="H29" i="72"/>
  <c r="H24" i="72"/>
  <c r="H22" i="72"/>
  <c r="H21" i="72"/>
  <c r="H16" i="72"/>
  <c r="H14" i="72"/>
  <c r="G39" i="50"/>
  <c r="G38" i="42"/>
  <c r="J36" i="50"/>
  <c r="J33" i="50"/>
  <c r="J32" i="50"/>
  <c r="J28" i="50"/>
  <c r="J26" i="50"/>
  <c r="J25" i="50"/>
  <c r="J20" i="50"/>
  <c r="J18" i="50"/>
  <c r="J16" i="50"/>
  <c r="H35" i="50"/>
  <c r="H34" i="50"/>
  <c r="H27" i="50"/>
  <c r="H24" i="50"/>
  <c r="H19" i="50"/>
  <c r="H15" i="50"/>
  <c r="J32" i="42"/>
  <c r="J29" i="42"/>
  <c r="J24" i="42"/>
  <c r="J23" i="42"/>
  <c r="J18" i="42"/>
  <c r="J15" i="42"/>
  <c r="H30" i="42"/>
  <c r="H28" i="42"/>
  <c r="H22" i="42"/>
  <c r="H19" i="42"/>
  <c r="H17" i="42"/>
  <c r="H14" i="42"/>
  <c r="C35" i="39"/>
  <c r="C32" i="39"/>
  <c r="C19" i="39"/>
  <c r="C16" i="39"/>
  <c r="C15" i="39"/>
  <c r="C37" i="39"/>
  <c r="O30" i="39"/>
  <c r="G31" i="39"/>
  <c r="O31" i="39" s="1"/>
  <c r="AD31" i="39"/>
  <c r="AC31" i="39"/>
  <c r="AB31" i="39"/>
  <c r="H31" i="39"/>
  <c r="I19" i="39"/>
  <c r="I16" i="39"/>
  <c r="G15" i="39"/>
  <c r="AD15" i="39"/>
  <c r="AC15" i="39"/>
  <c r="AB15" i="39"/>
  <c r="H15" i="39"/>
  <c r="AD20" i="39"/>
  <c r="AC20" i="39"/>
  <c r="AB20" i="39"/>
  <c r="AD19" i="39"/>
  <c r="AC19" i="39"/>
  <c r="AB19" i="39"/>
  <c r="AD17" i="39"/>
  <c r="AC17" i="39"/>
  <c r="AB17" i="39"/>
  <c r="AD16" i="39"/>
  <c r="AC16" i="39"/>
  <c r="AB16" i="39"/>
  <c r="AD14" i="39"/>
  <c r="AC14" i="39"/>
  <c r="AB14" i="39"/>
  <c r="Y14" i="39"/>
  <c r="X14" i="39"/>
  <c r="W14" i="39"/>
  <c r="V14" i="39"/>
  <c r="AD13" i="39"/>
  <c r="AC13" i="39"/>
  <c r="AB13" i="39"/>
  <c r="Y13" i="39"/>
  <c r="X13" i="39"/>
  <c r="W13" i="39"/>
  <c r="V13" i="39"/>
  <c r="AD12" i="39"/>
  <c r="AC12" i="39"/>
  <c r="AB12" i="39"/>
  <c r="Y12" i="39"/>
  <c r="X12" i="39"/>
  <c r="W12" i="39"/>
  <c r="V12" i="39"/>
  <c r="AD11" i="39"/>
  <c r="AC11" i="39"/>
  <c r="AB11" i="39"/>
  <c r="Y11" i="39"/>
  <c r="X11" i="39"/>
  <c r="W11" i="39"/>
  <c r="V11" i="39"/>
  <c r="AD10" i="39"/>
  <c r="AC10" i="39"/>
  <c r="AB10" i="39"/>
  <c r="Y10" i="39"/>
  <c r="X10" i="39"/>
  <c r="W10" i="39"/>
  <c r="V10" i="39"/>
  <c r="AD9" i="39"/>
  <c r="AC9" i="39"/>
  <c r="AB9" i="39"/>
  <c r="Y9" i="39"/>
  <c r="X9" i="39"/>
  <c r="W9" i="39"/>
  <c r="V9" i="39"/>
  <c r="AD8" i="39"/>
  <c r="AC8" i="39"/>
  <c r="AB8" i="39"/>
  <c r="Y8" i="39"/>
  <c r="X8" i="39"/>
  <c r="W8" i="39"/>
  <c r="V8" i="39"/>
  <c r="AD7" i="39"/>
  <c r="AC7" i="39"/>
  <c r="AB7" i="39"/>
  <c r="Y7" i="39"/>
  <c r="X7" i="39"/>
  <c r="W7" i="39"/>
  <c r="V7" i="39"/>
  <c r="AD6" i="39"/>
  <c r="AC6" i="39"/>
  <c r="AB6" i="39"/>
  <c r="Y6" i="39"/>
  <c r="X6" i="39"/>
  <c r="W6" i="39"/>
  <c r="V6" i="39"/>
  <c r="AD5" i="39"/>
  <c r="AC5" i="39"/>
  <c r="AB5" i="39"/>
  <c r="Y5" i="39"/>
  <c r="X5" i="39"/>
  <c r="W5" i="39"/>
  <c r="V5" i="39"/>
  <c r="AD4" i="39"/>
  <c r="AC4" i="39"/>
  <c r="AB4" i="39"/>
  <c r="Y4" i="39"/>
  <c r="X4" i="39"/>
  <c r="W4" i="39"/>
  <c r="V4" i="39"/>
  <c r="Y3" i="39"/>
  <c r="X3" i="39"/>
  <c r="W3" i="39"/>
  <c r="V3" i="39"/>
  <c r="J16" i="39"/>
  <c r="J19" i="39"/>
  <c r="J32" i="39"/>
  <c r="J35" i="39"/>
  <c r="J37" i="39"/>
  <c r="H38" i="39"/>
  <c r="H34" i="39"/>
  <c r="H18" i="39"/>
  <c r="G19" i="50"/>
  <c r="G17" i="42"/>
  <c r="V22" i="79"/>
  <c r="O11" i="79"/>
  <c r="O12" i="79"/>
  <c r="O14" i="79"/>
  <c r="O17" i="79"/>
  <c r="O20" i="79"/>
  <c r="O21" i="79"/>
  <c r="O25" i="79"/>
  <c r="O27" i="79"/>
  <c r="O32" i="79"/>
  <c r="O34" i="79"/>
  <c r="G31" i="83"/>
  <c r="O31" i="83" s="1"/>
  <c r="I30" i="83"/>
  <c r="O30" i="83" s="1"/>
  <c r="I19" i="83"/>
  <c r="J2" i="83"/>
  <c r="J3" i="83" s="1"/>
  <c r="AF21" i="83"/>
  <c r="AE21" i="83"/>
  <c r="AD21" i="83"/>
  <c r="AC21" i="83"/>
  <c r="AB21" i="83"/>
  <c r="AD20" i="83"/>
  <c r="AC20" i="83"/>
  <c r="AB20" i="83"/>
  <c r="AD19" i="83"/>
  <c r="AC19" i="83"/>
  <c r="AB19" i="83"/>
  <c r="AD18" i="83"/>
  <c r="AC18" i="83"/>
  <c r="AB18" i="83"/>
  <c r="AD17" i="83"/>
  <c r="AC17" i="83"/>
  <c r="AB17" i="83"/>
  <c r="AD16" i="83"/>
  <c r="AC16" i="83"/>
  <c r="AB16" i="83"/>
  <c r="AD15" i="83"/>
  <c r="AC15" i="83"/>
  <c r="AB15" i="83"/>
  <c r="AD14" i="83"/>
  <c r="AC14" i="83"/>
  <c r="AB14" i="83"/>
  <c r="AD13" i="83"/>
  <c r="AC13" i="83"/>
  <c r="AB13" i="83"/>
  <c r="AD11" i="83"/>
  <c r="AC11" i="83"/>
  <c r="AB11" i="83"/>
  <c r="AD10" i="83"/>
  <c r="AC10" i="83"/>
  <c r="AB10" i="83"/>
  <c r="AD9" i="83"/>
  <c r="AC9" i="83"/>
  <c r="AB9" i="83"/>
  <c r="AD8" i="83"/>
  <c r="AC8" i="83"/>
  <c r="AB8" i="83"/>
  <c r="AD7" i="83"/>
  <c r="AC7" i="83"/>
  <c r="AB7" i="83"/>
  <c r="AD6" i="83"/>
  <c r="AC6" i="83"/>
  <c r="AB6" i="83"/>
  <c r="AD5" i="83"/>
  <c r="AC5" i="83"/>
  <c r="AB5" i="83"/>
  <c r="AD4" i="83"/>
  <c r="AC4" i="83"/>
  <c r="AB4" i="83"/>
  <c r="O11" i="83"/>
  <c r="O13" i="83"/>
  <c r="O14" i="83"/>
  <c r="O15" i="83"/>
  <c r="O16" i="83"/>
  <c r="O18" i="83"/>
  <c r="O20" i="83"/>
  <c r="O21" i="83"/>
  <c r="O22" i="83"/>
  <c r="O23" i="83"/>
  <c r="O25" i="83"/>
  <c r="O26" i="83"/>
  <c r="O27" i="83"/>
  <c r="O28" i="83"/>
  <c r="O29" i="83"/>
  <c r="O32" i="83"/>
  <c r="O34" i="83"/>
  <c r="E34" i="83"/>
  <c r="E10" i="83"/>
  <c r="K44" i="83"/>
  <c r="I44" i="83"/>
  <c r="O44" i="83" s="1"/>
  <c r="K43" i="83"/>
  <c r="I43" i="83"/>
  <c r="O43" i="83" s="1"/>
  <c r="K42" i="83"/>
  <c r="I42" i="83"/>
  <c r="O42" i="83" s="1"/>
  <c r="K41" i="83"/>
  <c r="I41" i="83"/>
  <c r="K40" i="83"/>
  <c r="I40" i="83"/>
  <c r="O40" i="83" s="1"/>
  <c r="K38" i="83"/>
  <c r="O38" i="83" s="1"/>
  <c r="I33" i="83"/>
  <c r="N28" i="83"/>
  <c r="M28" i="83"/>
  <c r="L28" i="83"/>
  <c r="K28" i="83"/>
  <c r="B28" i="83"/>
  <c r="I24" i="83"/>
  <c r="M22" i="83"/>
  <c r="K22" i="83"/>
  <c r="B22" i="83"/>
  <c r="G17" i="83"/>
  <c r="O17" i="83" s="1"/>
  <c r="Y15" i="83"/>
  <c r="X15" i="83"/>
  <c r="W15" i="83"/>
  <c r="V15" i="83"/>
  <c r="Y14" i="83"/>
  <c r="X14" i="83"/>
  <c r="W14" i="83"/>
  <c r="V14" i="83"/>
  <c r="Y13" i="83"/>
  <c r="X13" i="83"/>
  <c r="W13" i="83"/>
  <c r="V13" i="83"/>
  <c r="N14" i="83"/>
  <c r="M14" i="83"/>
  <c r="L14" i="83"/>
  <c r="K14" i="83"/>
  <c r="B14" i="83"/>
  <c r="Y12" i="83"/>
  <c r="X12" i="83"/>
  <c r="W12" i="83"/>
  <c r="V12" i="83"/>
  <c r="Y11" i="83"/>
  <c r="X11" i="83"/>
  <c r="W11" i="83"/>
  <c r="V11" i="83"/>
  <c r="Y10" i="83"/>
  <c r="X10" i="83"/>
  <c r="W10" i="83"/>
  <c r="V10" i="83"/>
  <c r="M10" i="83"/>
  <c r="K10" i="83"/>
  <c r="O10" i="83" s="1"/>
  <c r="B10" i="83"/>
  <c r="Y9" i="83"/>
  <c r="X9" i="83"/>
  <c r="W9" i="83"/>
  <c r="V9" i="83"/>
  <c r="Y8" i="83"/>
  <c r="X8" i="83"/>
  <c r="W8" i="83"/>
  <c r="V8" i="83"/>
  <c r="Y7" i="83"/>
  <c r="X7" i="83"/>
  <c r="W7" i="83"/>
  <c r="V7" i="83"/>
  <c r="Y6" i="83"/>
  <c r="X6" i="83"/>
  <c r="W6" i="83"/>
  <c r="V6" i="83"/>
  <c r="Y5" i="83"/>
  <c r="X5" i="83"/>
  <c r="W5" i="83"/>
  <c r="V5" i="83"/>
  <c r="E5" i="83"/>
  <c r="Y4" i="83"/>
  <c r="X4" i="83"/>
  <c r="W4" i="83"/>
  <c r="V4" i="83"/>
  <c r="Y3" i="83"/>
  <c r="X3" i="83"/>
  <c r="W3" i="83"/>
  <c r="V3" i="83"/>
  <c r="H2" i="83"/>
  <c r="H3" i="83" s="1"/>
  <c r="I1" i="83"/>
  <c r="M3" i="83" s="1"/>
  <c r="E1" i="83"/>
  <c r="C9" i="83" s="1"/>
  <c r="G26" i="77"/>
  <c r="AB6" i="42"/>
  <c r="AF19" i="46"/>
  <c r="AE19" i="46"/>
  <c r="AD19" i="46"/>
  <c r="AC19" i="46"/>
  <c r="AB19" i="46"/>
  <c r="AD18" i="46"/>
  <c r="AC18" i="46"/>
  <c r="AB18" i="46"/>
  <c r="AD17" i="46"/>
  <c r="AC17" i="46"/>
  <c r="AB17" i="46"/>
  <c r="AD16" i="46"/>
  <c r="AC16" i="46"/>
  <c r="AB16" i="46"/>
  <c r="Y16" i="46"/>
  <c r="X16" i="46"/>
  <c r="W16" i="46"/>
  <c r="V16" i="46"/>
  <c r="AD15" i="46"/>
  <c r="AC15" i="46"/>
  <c r="AB15" i="46"/>
  <c r="AD14" i="46"/>
  <c r="AC14" i="46"/>
  <c r="AB14" i="46"/>
  <c r="AD13" i="46"/>
  <c r="AC13" i="46"/>
  <c r="AB13" i="46"/>
  <c r="Y13" i="46"/>
  <c r="X13" i="46"/>
  <c r="W13" i="46"/>
  <c r="V13" i="46"/>
  <c r="AD12" i="46"/>
  <c r="AC12" i="46"/>
  <c r="AB12" i="46"/>
  <c r="Y12" i="46"/>
  <c r="X12" i="46"/>
  <c r="W12" i="46"/>
  <c r="V12" i="46"/>
  <c r="AD11" i="46"/>
  <c r="AC11" i="46"/>
  <c r="AB11" i="46"/>
  <c r="Y11" i="46"/>
  <c r="X11" i="46"/>
  <c r="W11" i="46"/>
  <c r="V11" i="46"/>
  <c r="AD10" i="46"/>
  <c r="AC10" i="46"/>
  <c r="AB10" i="46"/>
  <c r="Y10" i="46"/>
  <c r="X10" i="46"/>
  <c r="W10" i="46"/>
  <c r="V10" i="46"/>
  <c r="AD9" i="46"/>
  <c r="AC9" i="46"/>
  <c r="AB9" i="46"/>
  <c r="Y9" i="46"/>
  <c r="X9" i="46"/>
  <c r="W9" i="46"/>
  <c r="V9" i="46"/>
  <c r="AD8" i="46"/>
  <c r="AC8" i="46"/>
  <c r="AB8" i="46"/>
  <c r="Y8" i="46"/>
  <c r="X8" i="46"/>
  <c r="W8" i="46"/>
  <c r="V8" i="46"/>
  <c r="AD7" i="46"/>
  <c r="AC7" i="46"/>
  <c r="AB7" i="46"/>
  <c r="Y7" i="46"/>
  <c r="X7" i="46"/>
  <c r="W7" i="46"/>
  <c r="V7" i="46"/>
  <c r="AD6" i="46"/>
  <c r="AC6" i="46"/>
  <c r="AB6" i="46"/>
  <c r="Y6" i="46"/>
  <c r="X6" i="46"/>
  <c r="W6" i="46"/>
  <c r="V6" i="46"/>
  <c r="AD5" i="46"/>
  <c r="AC5" i="46"/>
  <c r="AB5" i="46"/>
  <c r="Y5" i="46"/>
  <c r="X5" i="46"/>
  <c r="W5" i="46"/>
  <c r="V5" i="46"/>
  <c r="AD4" i="46"/>
  <c r="AC4" i="46"/>
  <c r="AB4" i="46"/>
  <c r="Y4" i="46"/>
  <c r="X4" i="46"/>
  <c r="W4" i="46"/>
  <c r="V4" i="46"/>
  <c r="Y3" i="46"/>
  <c r="X3" i="46"/>
  <c r="W3" i="46"/>
  <c r="V3" i="46"/>
  <c r="I20" i="50"/>
  <c r="L2" i="83" l="1"/>
  <c r="C17" i="51"/>
  <c r="C19" i="49"/>
  <c r="C13" i="53"/>
  <c r="C32" i="64"/>
  <c r="C17" i="46"/>
  <c r="C17" i="42"/>
  <c r="C18" i="59"/>
  <c r="C33" i="81"/>
  <c r="C34" i="68"/>
  <c r="C31" i="83"/>
  <c r="C17" i="74"/>
  <c r="C18" i="47"/>
  <c r="C33" i="75"/>
  <c r="C18" i="48"/>
  <c r="C18" i="31"/>
  <c r="C19" i="78"/>
  <c r="C25" i="32"/>
  <c r="C18" i="45"/>
  <c r="C19" i="76"/>
  <c r="C18" i="30"/>
  <c r="C13" i="24"/>
  <c r="C18" i="37"/>
  <c r="C18" i="36"/>
  <c r="C19" i="67"/>
  <c r="C24" i="72"/>
  <c r="C18" i="77"/>
  <c r="C18" i="79"/>
  <c r="C31" i="39"/>
  <c r="C19" i="50"/>
  <c r="C16" i="56"/>
  <c r="O15" i="39"/>
  <c r="M35" i="83"/>
  <c r="M4" i="83"/>
  <c r="L3" i="83"/>
  <c r="N3" i="83" s="1"/>
  <c r="J4" i="83"/>
  <c r="M2" i="83"/>
  <c r="O41" i="83"/>
  <c r="N2" i="83"/>
  <c r="H4" i="83"/>
  <c r="L4" i="83" s="1"/>
  <c r="N4" i="83" s="1"/>
  <c r="K35" i="83"/>
  <c r="I35" i="30"/>
  <c r="N13" i="50"/>
  <c r="I35" i="31"/>
  <c r="AF20" i="67"/>
  <c r="AE20" i="67"/>
  <c r="AD20" i="67"/>
  <c r="AC20" i="67"/>
  <c r="AB20" i="67"/>
  <c r="AD19" i="67"/>
  <c r="AC19" i="67"/>
  <c r="AB19" i="67"/>
  <c r="AD18" i="67"/>
  <c r="AC18" i="67"/>
  <c r="AB18" i="67"/>
  <c r="AD17" i="67"/>
  <c r="AC17" i="67"/>
  <c r="AB17" i="67"/>
  <c r="AD16" i="67"/>
  <c r="AC16" i="67"/>
  <c r="AB16" i="67"/>
  <c r="AD15" i="67"/>
  <c r="AC15" i="67"/>
  <c r="AB15" i="67"/>
  <c r="AD14" i="67"/>
  <c r="AC14" i="67"/>
  <c r="AB14" i="67"/>
  <c r="Y14" i="67"/>
  <c r="X14" i="67"/>
  <c r="W14" i="67"/>
  <c r="V14" i="67"/>
  <c r="AD13" i="67"/>
  <c r="AC13" i="67"/>
  <c r="AB13" i="67"/>
  <c r="Y13" i="67"/>
  <c r="X13" i="67"/>
  <c r="W13" i="67"/>
  <c r="V13" i="67"/>
  <c r="AD12" i="67"/>
  <c r="AC12" i="67"/>
  <c r="AB12" i="67"/>
  <c r="Y12" i="67"/>
  <c r="X12" i="67"/>
  <c r="W12" i="67"/>
  <c r="V12" i="67"/>
  <c r="AD11" i="67"/>
  <c r="AC11" i="67"/>
  <c r="AB11" i="67"/>
  <c r="Y11" i="67"/>
  <c r="X11" i="67"/>
  <c r="W11" i="67"/>
  <c r="V11" i="67"/>
  <c r="AD10" i="67"/>
  <c r="AC10" i="67"/>
  <c r="AB10" i="67"/>
  <c r="Y10" i="67"/>
  <c r="X10" i="67"/>
  <c r="W10" i="67"/>
  <c r="V10" i="67"/>
  <c r="AD9" i="67"/>
  <c r="AC9" i="67"/>
  <c r="AB9" i="67"/>
  <c r="Y9" i="67"/>
  <c r="X9" i="67"/>
  <c r="W9" i="67"/>
  <c r="V9" i="67"/>
  <c r="AD8" i="67"/>
  <c r="AC8" i="67"/>
  <c r="AB8" i="67"/>
  <c r="Y8" i="67"/>
  <c r="X8" i="67"/>
  <c r="W8" i="67"/>
  <c r="V8" i="67"/>
  <c r="AD7" i="67"/>
  <c r="AC7" i="67"/>
  <c r="AB7" i="67"/>
  <c r="Y7" i="67"/>
  <c r="X7" i="67"/>
  <c r="W7" i="67"/>
  <c r="V7" i="67"/>
  <c r="AD6" i="67"/>
  <c r="AC6" i="67"/>
  <c r="AB6" i="67"/>
  <c r="Y6" i="67"/>
  <c r="X6" i="67"/>
  <c r="W6" i="67"/>
  <c r="V6" i="67"/>
  <c r="AD5" i="67"/>
  <c r="AC5" i="67"/>
  <c r="AB5" i="67"/>
  <c r="Y5" i="67"/>
  <c r="X5" i="67"/>
  <c r="W5" i="67"/>
  <c r="V5" i="67"/>
  <c r="AD4" i="67"/>
  <c r="AC4" i="67"/>
  <c r="AB4" i="67"/>
  <c r="Y4" i="67"/>
  <c r="X4" i="67"/>
  <c r="W4" i="67"/>
  <c r="V4" i="67"/>
  <c r="Y3" i="67"/>
  <c r="X3" i="67"/>
  <c r="L4" i="67" s="1"/>
  <c r="N4" i="67" s="1"/>
  <c r="W3" i="67"/>
  <c r="V3" i="67"/>
  <c r="E35" i="67"/>
  <c r="E10" i="67"/>
  <c r="G29" i="74"/>
  <c r="I33" i="26"/>
  <c r="I31" i="26"/>
  <c r="I26" i="26"/>
  <c r="I18" i="26"/>
  <c r="J2" i="26"/>
  <c r="J3" i="26"/>
  <c r="H2" i="26"/>
  <c r="H3" i="26"/>
  <c r="I1" i="26"/>
  <c r="M4" i="26"/>
  <c r="AF20" i="26"/>
  <c r="AE20" i="26"/>
  <c r="AD20" i="26"/>
  <c r="AC20" i="26"/>
  <c r="AB20" i="26"/>
  <c r="AD19" i="26"/>
  <c r="AC19" i="26"/>
  <c r="AB19" i="26"/>
  <c r="AD18" i="26"/>
  <c r="AC18" i="26"/>
  <c r="AB18" i="26"/>
  <c r="AD17" i="26"/>
  <c r="AC17" i="26"/>
  <c r="AB17" i="26"/>
  <c r="AD16" i="26"/>
  <c r="AC16" i="26"/>
  <c r="AB16" i="26"/>
  <c r="Y16" i="26"/>
  <c r="X16" i="26"/>
  <c r="W16" i="26"/>
  <c r="V16" i="26"/>
  <c r="AD15" i="26"/>
  <c r="AC15" i="26"/>
  <c r="AB15" i="26"/>
  <c r="AD14" i="26"/>
  <c r="AC14" i="26"/>
  <c r="AB14" i="26"/>
  <c r="AD13" i="26"/>
  <c r="AC13" i="26"/>
  <c r="AB13" i="26"/>
  <c r="Y13" i="26"/>
  <c r="X13" i="26"/>
  <c r="W13" i="26"/>
  <c r="V13" i="26"/>
  <c r="AD12" i="26"/>
  <c r="AC12" i="26"/>
  <c r="AB12" i="26"/>
  <c r="Y12" i="26"/>
  <c r="X12" i="26"/>
  <c r="W12" i="26"/>
  <c r="V12" i="26"/>
  <c r="AD11" i="26"/>
  <c r="AC11" i="26"/>
  <c r="AB11" i="26"/>
  <c r="Y11" i="26"/>
  <c r="X11" i="26"/>
  <c r="W11" i="26"/>
  <c r="V11" i="26"/>
  <c r="AD10" i="26"/>
  <c r="AC10" i="26"/>
  <c r="AB10" i="26"/>
  <c r="Y10" i="26"/>
  <c r="X10" i="26"/>
  <c r="W10" i="26"/>
  <c r="V10" i="26"/>
  <c r="AD9" i="26"/>
  <c r="AC9" i="26"/>
  <c r="AB9" i="26"/>
  <c r="Y9" i="26"/>
  <c r="X9" i="26"/>
  <c r="W9" i="26"/>
  <c r="V9" i="26"/>
  <c r="AD8" i="26"/>
  <c r="AC8" i="26"/>
  <c r="AB8" i="26"/>
  <c r="Y8" i="26"/>
  <c r="X8" i="26"/>
  <c r="W8" i="26"/>
  <c r="V8" i="26"/>
  <c r="AD7" i="26"/>
  <c r="AC7" i="26"/>
  <c r="AB7" i="26"/>
  <c r="Y7" i="26"/>
  <c r="X7" i="26"/>
  <c r="W7" i="26"/>
  <c r="V7" i="26"/>
  <c r="AD6" i="26"/>
  <c r="AC6" i="26"/>
  <c r="AB6" i="26"/>
  <c r="Y6" i="26"/>
  <c r="X6" i="26"/>
  <c r="W6" i="26"/>
  <c r="V6" i="26"/>
  <c r="AD5" i="26"/>
  <c r="AC5" i="26"/>
  <c r="AB5" i="26"/>
  <c r="Y5" i="26"/>
  <c r="X5" i="26"/>
  <c r="W5" i="26"/>
  <c r="V5" i="26"/>
  <c r="AD4" i="26"/>
  <c r="AC4" i="26"/>
  <c r="AB4" i="26"/>
  <c r="Y4" i="26"/>
  <c r="X4" i="26"/>
  <c r="W4" i="26"/>
  <c r="V4" i="26"/>
  <c r="Y3" i="26"/>
  <c r="X3" i="26"/>
  <c r="W3" i="26"/>
  <c r="V3" i="26"/>
  <c r="E34" i="26"/>
  <c r="E10" i="26"/>
  <c r="L13" i="72"/>
  <c r="H4" i="26"/>
  <c r="M3" i="26"/>
  <c r="M2" i="26"/>
  <c r="J4" i="26"/>
  <c r="F38" i="3"/>
  <c r="AF21" i="58"/>
  <c r="AE21" i="58"/>
  <c r="AD21" i="58"/>
  <c r="AC21" i="58"/>
  <c r="AB21" i="58"/>
  <c r="AD20" i="58"/>
  <c r="AC20" i="58"/>
  <c r="AB20" i="58"/>
  <c r="AD18" i="58"/>
  <c r="AC18" i="58"/>
  <c r="AB18" i="58"/>
  <c r="AD17" i="58"/>
  <c r="AC17" i="58"/>
  <c r="AB17" i="58"/>
  <c r="AD16" i="58"/>
  <c r="AC16" i="58"/>
  <c r="AB16" i="58"/>
  <c r="AD15" i="58"/>
  <c r="AC15" i="58"/>
  <c r="AB15" i="58"/>
  <c r="AD14" i="58"/>
  <c r="AC14" i="58"/>
  <c r="AB14" i="58"/>
  <c r="Y14" i="58"/>
  <c r="X14" i="58"/>
  <c r="W14" i="58"/>
  <c r="V14" i="58"/>
  <c r="AD13" i="58"/>
  <c r="AC13" i="58"/>
  <c r="AB13" i="58"/>
  <c r="Y13" i="58"/>
  <c r="X13" i="58"/>
  <c r="W13" i="58"/>
  <c r="V13" i="58"/>
  <c r="AD12" i="58"/>
  <c r="AC12" i="58"/>
  <c r="AB12" i="58"/>
  <c r="Y12" i="58"/>
  <c r="X12" i="58"/>
  <c r="W12" i="58"/>
  <c r="V12" i="58"/>
  <c r="AD11" i="58"/>
  <c r="AC11" i="58"/>
  <c r="AB11" i="58"/>
  <c r="Y11" i="58"/>
  <c r="X11" i="58"/>
  <c r="W11" i="58"/>
  <c r="V11" i="58"/>
  <c r="AD10" i="58"/>
  <c r="AC10" i="58"/>
  <c r="AB10" i="58"/>
  <c r="Y10" i="58"/>
  <c r="X10" i="58"/>
  <c r="W10" i="58"/>
  <c r="V10" i="58"/>
  <c r="AD9" i="58"/>
  <c r="AC9" i="58"/>
  <c r="AB9" i="58"/>
  <c r="Y9" i="58"/>
  <c r="X9" i="58"/>
  <c r="W9" i="58"/>
  <c r="V9" i="58"/>
  <c r="AD8" i="58"/>
  <c r="AC8" i="58"/>
  <c r="AB8" i="58"/>
  <c r="Y8" i="58"/>
  <c r="X8" i="58"/>
  <c r="W8" i="58"/>
  <c r="V8" i="58"/>
  <c r="AD7" i="58"/>
  <c r="AC7" i="58"/>
  <c r="AB7" i="58"/>
  <c r="Y7" i="58"/>
  <c r="X7" i="58"/>
  <c r="W7" i="58"/>
  <c r="V7" i="58"/>
  <c r="AD6" i="58"/>
  <c r="AC6" i="58"/>
  <c r="AB6" i="58"/>
  <c r="Y6" i="58"/>
  <c r="X6" i="58"/>
  <c r="W6" i="58"/>
  <c r="V6" i="58"/>
  <c r="AD5" i="58"/>
  <c r="AC5" i="58"/>
  <c r="AB5" i="58"/>
  <c r="Y5" i="58"/>
  <c r="X5" i="58"/>
  <c r="W5" i="58"/>
  <c r="V5" i="58"/>
  <c r="AD4" i="58"/>
  <c r="AC4" i="58"/>
  <c r="AB4" i="58"/>
  <c r="Y4" i="58"/>
  <c r="X4" i="58"/>
  <c r="W4" i="58"/>
  <c r="V4" i="58"/>
  <c r="Y3" i="58"/>
  <c r="X3" i="58"/>
  <c r="W3" i="58"/>
  <c r="L3" i="58" s="1"/>
  <c r="N3" i="58" s="1"/>
  <c r="V3" i="58"/>
  <c r="I30" i="58"/>
  <c r="I32" i="62"/>
  <c r="O11" i="78"/>
  <c r="O13" i="78"/>
  <c r="O14" i="78"/>
  <c r="O15" i="78"/>
  <c r="O18" i="78"/>
  <c r="O20" i="78"/>
  <c r="O21" i="78"/>
  <c r="O22" i="78"/>
  <c r="O26" i="78"/>
  <c r="O27" i="78"/>
  <c r="O28" i="78"/>
  <c r="O33" i="78"/>
  <c r="O35" i="78"/>
  <c r="I12" i="78"/>
  <c r="O12" i="78"/>
  <c r="K43" i="82"/>
  <c r="O43" i="82"/>
  <c r="O42" i="82"/>
  <c r="O39" i="82"/>
  <c r="O38" i="82"/>
  <c r="O37" i="82"/>
  <c r="O36" i="82"/>
  <c r="O35" i="82"/>
  <c r="O34" i="82"/>
  <c r="O33" i="82"/>
  <c r="O32" i="82"/>
  <c r="O31" i="82"/>
  <c r="O30" i="82"/>
  <c r="B30" i="82"/>
  <c r="O29" i="82"/>
  <c r="O28" i="82"/>
  <c r="O27" i="82"/>
  <c r="O26" i="82"/>
  <c r="O25" i="82"/>
  <c r="O24" i="82"/>
  <c r="O23" i="82"/>
  <c r="O22" i="82"/>
  <c r="B22" i="82"/>
  <c r="O21" i="82"/>
  <c r="O20" i="82"/>
  <c r="O19" i="82"/>
  <c r="O18" i="82"/>
  <c r="O17" i="82"/>
  <c r="O16" i="82"/>
  <c r="O15" i="82"/>
  <c r="O13" i="82"/>
  <c r="B13" i="82"/>
  <c r="O12" i="82"/>
  <c r="O11" i="82"/>
  <c r="O10" i="82"/>
  <c r="B10" i="82"/>
  <c r="C9" i="82"/>
  <c r="N6" i="82"/>
  <c r="N5" i="82"/>
  <c r="E5" i="82"/>
  <c r="N4" i="82"/>
  <c r="N3" i="82"/>
  <c r="N2" i="82"/>
  <c r="O2" i="82"/>
  <c r="C6" i="82"/>
  <c r="E6" i="82" s="1"/>
  <c r="H2" i="82"/>
  <c r="H3" i="82"/>
  <c r="H4" i="82"/>
  <c r="H5" i="82"/>
  <c r="H6" i="82"/>
  <c r="E36" i="81"/>
  <c r="E10" i="81"/>
  <c r="I46" i="81"/>
  <c r="O46" i="81"/>
  <c r="I45" i="81"/>
  <c r="O45" i="81" s="1"/>
  <c r="I44" i="81"/>
  <c r="O44" i="81" s="1"/>
  <c r="I43" i="81"/>
  <c r="I42" i="81"/>
  <c r="O42" i="81" s="1"/>
  <c r="O40" i="81"/>
  <c r="K40" i="81"/>
  <c r="O39" i="81"/>
  <c r="O36" i="81"/>
  <c r="O35" i="81"/>
  <c r="I35" i="81"/>
  <c r="G33" i="81"/>
  <c r="O33" i="81"/>
  <c r="O32" i="81"/>
  <c r="I32" i="81"/>
  <c r="O31" i="81"/>
  <c r="N30" i="81"/>
  <c r="M30" i="81"/>
  <c r="L30" i="81"/>
  <c r="K30" i="81"/>
  <c r="O30" i="81"/>
  <c r="B30" i="81"/>
  <c r="O29" i="81"/>
  <c r="I28" i="81"/>
  <c r="O28" i="81"/>
  <c r="O26" i="81"/>
  <c r="I25" i="81"/>
  <c r="O25" i="81"/>
  <c r="O23" i="81"/>
  <c r="N22" i="81"/>
  <c r="M22" i="81"/>
  <c r="L22" i="81"/>
  <c r="K22" i="81"/>
  <c r="O22" i="81"/>
  <c r="B22" i="81"/>
  <c r="O21" i="81"/>
  <c r="AF20" i="81"/>
  <c r="AE20" i="81"/>
  <c r="AD20" i="81"/>
  <c r="AC20" i="81"/>
  <c r="AB20" i="81"/>
  <c r="O20" i="81"/>
  <c r="AD19" i="81"/>
  <c r="AC19" i="81"/>
  <c r="AB19" i="81"/>
  <c r="I19" i="81"/>
  <c r="O19" i="81"/>
  <c r="AD18" i="81"/>
  <c r="AC18" i="81"/>
  <c r="AB18" i="81"/>
  <c r="O18" i="81"/>
  <c r="AD17" i="81"/>
  <c r="AC17" i="81"/>
  <c r="AB17" i="81"/>
  <c r="G17" i="81"/>
  <c r="O17" i="81" s="1"/>
  <c r="AD16" i="81"/>
  <c r="AC16" i="81"/>
  <c r="AB16" i="81"/>
  <c r="Y16" i="81"/>
  <c r="X16" i="81"/>
  <c r="W16" i="81"/>
  <c r="V16" i="81"/>
  <c r="I16" i="81"/>
  <c r="O16" i="81"/>
  <c r="AD15" i="81"/>
  <c r="AC15" i="81"/>
  <c r="AB15" i="81"/>
  <c r="AD14" i="81"/>
  <c r="AC14" i="81"/>
  <c r="AB14" i="81"/>
  <c r="AD13" i="81"/>
  <c r="AC13" i="81"/>
  <c r="AB13" i="81"/>
  <c r="Y13" i="81"/>
  <c r="X13" i="81"/>
  <c r="W13" i="81"/>
  <c r="V13" i="81"/>
  <c r="N13" i="81"/>
  <c r="M13" i="81"/>
  <c r="L13" i="81"/>
  <c r="O13" i="81"/>
  <c r="K13" i="81"/>
  <c r="B13" i="81"/>
  <c r="AD12" i="81"/>
  <c r="AC12" i="81"/>
  <c r="AB12" i="81"/>
  <c r="Y12" i="81"/>
  <c r="X12" i="81"/>
  <c r="W12" i="81"/>
  <c r="V12" i="81"/>
  <c r="O12" i="81"/>
  <c r="AD11" i="81"/>
  <c r="AC11" i="81"/>
  <c r="AB11" i="81"/>
  <c r="Y11" i="81"/>
  <c r="X11" i="81"/>
  <c r="W11" i="81"/>
  <c r="V11" i="81"/>
  <c r="O11" i="81"/>
  <c r="AD10" i="81"/>
  <c r="AC10" i="81"/>
  <c r="AB10" i="81"/>
  <c r="Y10" i="81"/>
  <c r="X10" i="81"/>
  <c r="L4" i="81" s="1"/>
  <c r="N4" i="81" s="1"/>
  <c r="W10" i="81"/>
  <c r="V10" i="81"/>
  <c r="O10" i="81"/>
  <c r="M10" i="81"/>
  <c r="M37" i="81"/>
  <c r="K10" i="81"/>
  <c r="K37" i="81"/>
  <c r="B10" i="81"/>
  <c r="AD9" i="81"/>
  <c r="AC9" i="81"/>
  <c r="AB9" i="81"/>
  <c r="Y9" i="81"/>
  <c r="X9" i="81"/>
  <c r="W9" i="81"/>
  <c r="V9" i="81"/>
  <c r="AD8" i="81"/>
  <c r="AC8" i="81"/>
  <c r="AB8" i="81"/>
  <c r="Y8" i="81"/>
  <c r="X8" i="81"/>
  <c r="W8" i="81"/>
  <c r="V8" i="81"/>
  <c r="AD7" i="81"/>
  <c r="AC7" i="81"/>
  <c r="AB7" i="81"/>
  <c r="Y7" i="81"/>
  <c r="X7" i="81"/>
  <c r="W7" i="81"/>
  <c r="V7" i="81"/>
  <c r="AD6" i="81"/>
  <c r="AC6" i="81"/>
  <c r="AB6" i="81"/>
  <c r="Y6" i="81"/>
  <c r="X6" i="81"/>
  <c r="W6" i="81"/>
  <c r="V6" i="81"/>
  <c r="AD5" i="81"/>
  <c r="AC5" i="81"/>
  <c r="AB5" i="81"/>
  <c r="Y5" i="81"/>
  <c r="X5" i="81"/>
  <c r="W5" i="81"/>
  <c r="V5" i="81"/>
  <c r="E5" i="81"/>
  <c r="AD4" i="81"/>
  <c r="AC4" i="81"/>
  <c r="AB4" i="81"/>
  <c r="Y4" i="81"/>
  <c r="X4" i="81"/>
  <c r="W4" i="81"/>
  <c r="V4" i="81"/>
  <c r="M4" i="81"/>
  <c r="Y3" i="81"/>
  <c r="X3" i="81"/>
  <c r="W3" i="81"/>
  <c r="V3" i="81"/>
  <c r="M3" i="81"/>
  <c r="M2" i="81"/>
  <c r="J2" i="81"/>
  <c r="J3" i="81"/>
  <c r="H2" i="81"/>
  <c r="H3" i="81"/>
  <c r="I1" i="81"/>
  <c r="E1" i="81"/>
  <c r="C9" i="81"/>
  <c r="I36" i="80"/>
  <c r="I34" i="80"/>
  <c r="I47" i="80"/>
  <c r="I46" i="80"/>
  <c r="O46" i="80" s="1"/>
  <c r="I45" i="80"/>
  <c r="O45" i="80" s="1"/>
  <c r="I44" i="80"/>
  <c r="O44" i="80" s="1"/>
  <c r="I43" i="80"/>
  <c r="G33" i="80"/>
  <c r="I32" i="80"/>
  <c r="I20" i="80"/>
  <c r="G17" i="80"/>
  <c r="I16" i="80"/>
  <c r="AD21" i="80"/>
  <c r="AC21" i="80"/>
  <c r="AB21" i="80"/>
  <c r="AD20" i="80"/>
  <c r="AC20" i="80"/>
  <c r="AB20" i="80"/>
  <c r="AD18" i="80"/>
  <c r="AC18" i="80"/>
  <c r="AB18" i="80"/>
  <c r="AD17" i="80"/>
  <c r="AC17" i="80"/>
  <c r="AB17" i="80"/>
  <c r="AD16" i="80"/>
  <c r="AC16" i="80"/>
  <c r="AB16" i="80"/>
  <c r="AD15" i="80"/>
  <c r="AC15" i="80"/>
  <c r="AB15" i="80"/>
  <c r="AD14" i="80"/>
  <c r="AC14" i="80"/>
  <c r="AB14" i="80"/>
  <c r="Y14" i="80"/>
  <c r="X14" i="80"/>
  <c r="W14" i="80"/>
  <c r="V14" i="80"/>
  <c r="AD13" i="80"/>
  <c r="AC13" i="80"/>
  <c r="AB13" i="80"/>
  <c r="Y13" i="80"/>
  <c r="X13" i="80"/>
  <c r="W13" i="80"/>
  <c r="V13" i="80"/>
  <c r="AD11" i="80"/>
  <c r="AC11" i="80"/>
  <c r="AB11" i="80"/>
  <c r="Y11" i="80"/>
  <c r="X11" i="80"/>
  <c r="W11" i="80"/>
  <c r="V11" i="80"/>
  <c r="AD10" i="80"/>
  <c r="AC10" i="80"/>
  <c r="AB10" i="80"/>
  <c r="Y10" i="80"/>
  <c r="X10" i="80"/>
  <c r="W10" i="80"/>
  <c r="V10" i="80"/>
  <c r="AD9" i="80"/>
  <c r="AC9" i="80"/>
  <c r="AB9" i="80"/>
  <c r="Y9" i="80"/>
  <c r="X9" i="80"/>
  <c r="W9" i="80"/>
  <c r="V9" i="80"/>
  <c r="AD8" i="80"/>
  <c r="AC8" i="80"/>
  <c r="AB8" i="80"/>
  <c r="Y8" i="80"/>
  <c r="X8" i="80"/>
  <c r="W8" i="80"/>
  <c r="V8" i="80"/>
  <c r="AD7" i="80"/>
  <c r="AC7" i="80"/>
  <c r="AB7" i="80"/>
  <c r="Y7" i="80"/>
  <c r="X7" i="80"/>
  <c r="W7" i="80"/>
  <c r="V7" i="80"/>
  <c r="AD6" i="80"/>
  <c r="AC6" i="80"/>
  <c r="AB6" i="80"/>
  <c r="Y6" i="80"/>
  <c r="X6" i="80"/>
  <c r="W6" i="80"/>
  <c r="V6" i="80"/>
  <c r="AD5" i="80"/>
  <c r="AC5" i="80"/>
  <c r="AB5" i="80"/>
  <c r="Y5" i="80"/>
  <c r="X5" i="80"/>
  <c r="W5" i="80"/>
  <c r="V5" i="80"/>
  <c r="AD4" i="80"/>
  <c r="AC4" i="80"/>
  <c r="AB4" i="80"/>
  <c r="Y4" i="80"/>
  <c r="X4" i="80"/>
  <c r="W4" i="80"/>
  <c r="V4" i="80"/>
  <c r="Y3" i="80"/>
  <c r="X3" i="80"/>
  <c r="W3" i="80"/>
  <c r="V3" i="80"/>
  <c r="E37" i="80"/>
  <c r="K41" i="80"/>
  <c r="O41" i="80" s="1"/>
  <c r="O40" i="80"/>
  <c r="N30" i="80"/>
  <c r="M30" i="80"/>
  <c r="L30" i="80"/>
  <c r="K30" i="80"/>
  <c r="B30" i="80"/>
  <c r="B23" i="80"/>
  <c r="N14" i="80"/>
  <c r="M14" i="80"/>
  <c r="L14" i="80"/>
  <c r="K14" i="80"/>
  <c r="B14" i="80"/>
  <c r="M10" i="80"/>
  <c r="K10" i="80"/>
  <c r="K38" i="80" s="1"/>
  <c r="B10" i="80"/>
  <c r="E5" i="80"/>
  <c r="J2" i="80"/>
  <c r="J3" i="80" s="1"/>
  <c r="H2" i="80"/>
  <c r="H3" i="80" s="1"/>
  <c r="H4" i="80" s="1"/>
  <c r="I1" i="80"/>
  <c r="M4" i="80" s="1"/>
  <c r="E1" i="80"/>
  <c r="C9" i="80" s="1"/>
  <c r="I39" i="46"/>
  <c r="O39" i="46" s="1"/>
  <c r="K39" i="46"/>
  <c r="I40" i="46"/>
  <c r="K40" i="46"/>
  <c r="O40" i="46"/>
  <c r="I41" i="46"/>
  <c r="O41" i="46" s="1"/>
  <c r="K41" i="46"/>
  <c r="I42" i="46"/>
  <c r="O42" i="46" s="1"/>
  <c r="K42" i="46"/>
  <c r="O43" i="79"/>
  <c r="E34" i="79"/>
  <c r="E10" i="79"/>
  <c r="I43" i="79"/>
  <c r="I42" i="79"/>
  <c r="I41" i="79"/>
  <c r="I40" i="79"/>
  <c r="K38" i="79"/>
  <c r="O38" i="79" s="1"/>
  <c r="O37" i="79"/>
  <c r="O33" i="79"/>
  <c r="O31" i="79"/>
  <c r="I31" i="79"/>
  <c r="G30" i="79"/>
  <c r="O29" i="79"/>
  <c r="I29" i="79"/>
  <c r="N28" i="79"/>
  <c r="M28" i="79"/>
  <c r="L28" i="79"/>
  <c r="K28" i="79"/>
  <c r="O28" i="79" s="1"/>
  <c r="B28" i="79"/>
  <c r="O26" i="79"/>
  <c r="O24" i="79"/>
  <c r="I24" i="79"/>
  <c r="G23" i="79"/>
  <c r="N22" i="79"/>
  <c r="M22" i="79"/>
  <c r="L22" i="79"/>
  <c r="K22" i="79"/>
  <c r="O22" i="79" s="1"/>
  <c r="B22" i="79"/>
  <c r="AF20" i="79"/>
  <c r="AE20" i="79"/>
  <c r="AD20" i="79"/>
  <c r="AC20" i="79"/>
  <c r="AB20" i="79"/>
  <c r="AD19" i="79"/>
  <c r="AC19" i="79"/>
  <c r="AB19" i="79"/>
  <c r="O19" i="79"/>
  <c r="I19" i="79"/>
  <c r="AD18" i="79"/>
  <c r="AC18" i="79"/>
  <c r="AB18" i="79"/>
  <c r="G18" i="79"/>
  <c r="AD17" i="79"/>
  <c r="AC17" i="79"/>
  <c r="AB17" i="79"/>
  <c r="AD16" i="79"/>
  <c r="AC16" i="79"/>
  <c r="AB16" i="79"/>
  <c r="G16" i="79"/>
  <c r="AD15" i="79"/>
  <c r="AC15" i="79"/>
  <c r="AB15" i="79"/>
  <c r="O15" i="79"/>
  <c r="AD14" i="79"/>
  <c r="AC14" i="79"/>
  <c r="AB14" i="79"/>
  <c r="Y14" i="79"/>
  <c r="X14" i="79"/>
  <c r="W14" i="79"/>
  <c r="V14" i="79"/>
  <c r="AD13" i="79"/>
  <c r="AC13" i="79"/>
  <c r="AB13" i="79"/>
  <c r="Y13" i="79"/>
  <c r="X13" i="79"/>
  <c r="W13" i="79"/>
  <c r="V13" i="79"/>
  <c r="N13" i="79"/>
  <c r="M13" i="79"/>
  <c r="L13" i="79"/>
  <c r="K13" i="79"/>
  <c r="O13" i="79" s="1"/>
  <c r="B13" i="79"/>
  <c r="AD12" i="79"/>
  <c r="AC12" i="79"/>
  <c r="AB12" i="79"/>
  <c r="Y12" i="79"/>
  <c r="X12" i="79"/>
  <c r="W12" i="79"/>
  <c r="V12" i="79"/>
  <c r="AD11" i="79"/>
  <c r="AC11" i="79"/>
  <c r="AB11" i="79"/>
  <c r="Y11" i="79"/>
  <c r="X11" i="79"/>
  <c r="W11" i="79"/>
  <c r="V11" i="79"/>
  <c r="AD10" i="79"/>
  <c r="AC10" i="79"/>
  <c r="AB10" i="79"/>
  <c r="Y10" i="79"/>
  <c r="X10" i="79"/>
  <c r="W10" i="79"/>
  <c r="V10" i="79"/>
  <c r="M10" i="79"/>
  <c r="K10" i="79"/>
  <c r="O10" i="79" s="1"/>
  <c r="B10" i="79"/>
  <c r="AD9" i="79"/>
  <c r="AC9" i="79"/>
  <c r="AB9" i="79"/>
  <c r="Y9" i="79"/>
  <c r="X9" i="79"/>
  <c r="W9" i="79"/>
  <c r="V9" i="79"/>
  <c r="AD8" i="79"/>
  <c r="AC8" i="79"/>
  <c r="AB8" i="79"/>
  <c r="Y8" i="79"/>
  <c r="X8" i="79"/>
  <c r="W8" i="79"/>
  <c r="V8" i="79"/>
  <c r="AD7" i="79"/>
  <c r="AC7" i="79"/>
  <c r="AB7" i="79"/>
  <c r="Y7" i="79"/>
  <c r="X7" i="79"/>
  <c r="W7" i="79"/>
  <c r="V7" i="79"/>
  <c r="AD6" i="79"/>
  <c r="AC6" i="79"/>
  <c r="AB6" i="79"/>
  <c r="Y6" i="79"/>
  <c r="X6" i="79"/>
  <c r="W6" i="79"/>
  <c r="V6" i="79"/>
  <c r="N6" i="79"/>
  <c r="AD5" i="79"/>
  <c r="AC5" i="79"/>
  <c r="AB5" i="79"/>
  <c r="Y5" i="79"/>
  <c r="X5" i="79"/>
  <c r="W5" i="79"/>
  <c r="V5" i="79"/>
  <c r="N5" i="79"/>
  <c r="E5" i="79"/>
  <c r="AD4" i="79"/>
  <c r="AC4" i="79"/>
  <c r="AB4" i="79"/>
  <c r="Y4" i="79"/>
  <c r="X4" i="79"/>
  <c r="W4" i="79"/>
  <c r="V4" i="79"/>
  <c r="Y3" i="79"/>
  <c r="X3" i="79"/>
  <c r="W3" i="79"/>
  <c r="V3" i="79"/>
  <c r="J2" i="79"/>
  <c r="J3" i="79" s="1"/>
  <c r="J4" i="79" s="1"/>
  <c r="H2" i="79"/>
  <c r="H3" i="79"/>
  <c r="H4" i="79" s="1"/>
  <c r="H5" i="79" s="1"/>
  <c r="H6" i="79" s="1"/>
  <c r="I1" i="79"/>
  <c r="M2" i="79" s="1"/>
  <c r="E1" i="79"/>
  <c r="C9" i="79"/>
  <c r="O43" i="81"/>
  <c r="H4" i="81"/>
  <c r="J4" i="81"/>
  <c r="O43" i="80"/>
  <c r="O47" i="80"/>
  <c r="M3" i="80"/>
  <c r="O41" i="79"/>
  <c r="M35" i="79"/>
  <c r="O42" i="79"/>
  <c r="AB4" i="78"/>
  <c r="AC4" i="78"/>
  <c r="AD4" i="78"/>
  <c r="AB5" i="78"/>
  <c r="AC5" i="78"/>
  <c r="AD5" i="78"/>
  <c r="AB6" i="78"/>
  <c r="AC6" i="78"/>
  <c r="AD6" i="78"/>
  <c r="AB7" i="78"/>
  <c r="AC7" i="78"/>
  <c r="AD7" i="78"/>
  <c r="AB8" i="78"/>
  <c r="AC8" i="78"/>
  <c r="AD8" i="78"/>
  <c r="AB9" i="78"/>
  <c r="AC9" i="78"/>
  <c r="AD9" i="78"/>
  <c r="AB10" i="78"/>
  <c r="AC10" i="78"/>
  <c r="AD10" i="78"/>
  <c r="AB11" i="78"/>
  <c r="AC11" i="78"/>
  <c r="AD11" i="78"/>
  <c r="AB13" i="78"/>
  <c r="AC13" i="78"/>
  <c r="AD13" i="78"/>
  <c r="AB14" i="78"/>
  <c r="AC14" i="78"/>
  <c r="AD14" i="78"/>
  <c r="AB15" i="78"/>
  <c r="AC15" i="78"/>
  <c r="AD15" i="78"/>
  <c r="AB16" i="78"/>
  <c r="AC16" i="78"/>
  <c r="AD16" i="78"/>
  <c r="AB17" i="78"/>
  <c r="AC17" i="78"/>
  <c r="AD17" i="78"/>
  <c r="AB18" i="78"/>
  <c r="AC18" i="78"/>
  <c r="AD18" i="78"/>
  <c r="AB19" i="78"/>
  <c r="AC19" i="78"/>
  <c r="AD19" i="78"/>
  <c r="AF21" i="78"/>
  <c r="AE21" i="78"/>
  <c r="AD21" i="78"/>
  <c r="AC21" i="78"/>
  <c r="AB21" i="78"/>
  <c r="AD20" i="78"/>
  <c r="AC20" i="78"/>
  <c r="AB20" i="78"/>
  <c r="E35" i="78"/>
  <c r="E10" i="78"/>
  <c r="K44" i="78"/>
  <c r="I44" i="78"/>
  <c r="K43" i="78"/>
  <c r="I43" i="78"/>
  <c r="O43" i="78"/>
  <c r="K42" i="78"/>
  <c r="I42" i="78"/>
  <c r="O42" i="78" s="1"/>
  <c r="K41" i="78"/>
  <c r="I41" i="78"/>
  <c r="K39" i="78"/>
  <c r="O39" i="78"/>
  <c r="O38" i="78"/>
  <c r="O34" i="78"/>
  <c r="O32" i="78"/>
  <c r="I32" i="78"/>
  <c r="G31" i="78"/>
  <c r="O30" i="78"/>
  <c r="I30" i="78"/>
  <c r="N29" i="78"/>
  <c r="M29" i="78"/>
  <c r="L29" i="78"/>
  <c r="K29" i="78"/>
  <c r="O29" i="78" s="1"/>
  <c r="B29" i="78"/>
  <c r="O25" i="78"/>
  <c r="I25" i="78"/>
  <c r="G24" i="78"/>
  <c r="N23" i="78"/>
  <c r="M23" i="78"/>
  <c r="L23" i="78"/>
  <c r="K23" i="78"/>
  <c r="O23" i="78" s="1"/>
  <c r="B23" i="78"/>
  <c r="I20" i="78"/>
  <c r="O19" i="78"/>
  <c r="G19" i="78"/>
  <c r="G17" i="78"/>
  <c r="O16" i="78"/>
  <c r="I16" i="78"/>
  <c r="Y15" i="78"/>
  <c r="X15" i="78"/>
  <c r="W15" i="78"/>
  <c r="V15" i="78"/>
  <c r="Y14" i="78"/>
  <c r="X14" i="78"/>
  <c r="W14" i="78"/>
  <c r="V14" i="78"/>
  <c r="N14" i="78"/>
  <c r="M14" i="78"/>
  <c r="L14" i="78"/>
  <c r="K14" i="78"/>
  <c r="B14" i="78"/>
  <c r="Y13" i="78"/>
  <c r="X13" i="78"/>
  <c r="W13" i="78"/>
  <c r="V13" i="78"/>
  <c r="Y11" i="78"/>
  <c r="X11" i="78"/>
  <c r="W11" i="78"/>
  <c r="V11" i="78"/>
  <c r="Y10" i="78"/>
  <c r="X10" i="78"/>
  <c r="W10" i="78"/>
  <c r="V10" i="78"/>
  <c r="M10" i="78"/>
  <c r="K10" i="78"/>
  <c r="K36" i="78" s="1"/>
  <c r="B10" i="78"/>
  <c r="Y9" i="78"/>
  <c r="X9" i="78"/>
  <c r="W9" i="78"/>
  <c r="V9" i="78"/>
  <c r="Y8" i="78"/>
  <c r="X8" i="78"/>
  <c r="W8" i="78"/>
  <c r="V8" i="78"/>
  <c r="Y7" i="78"/>
  <c r="X7" i="78"/>
  <c r="W7" i="78"/>
  <c r="V7" i="78"/>
  <c r="Y6" i="78"/>
  <c r="X6" i="78"/>
  <c r="W6" i="78"/>
  <c r="V6" i="78"/>
  <c r="N6" i="78"/>
  <c r="Y5" i="78"/>
  <c r="X5" i="78"/>
  <c r="W5" i="78"/>
  <c r="V5" i="78"/>
  <c r="N5" i="78"/>
  <c r="E5" i="78"/>
  <c r="Y4" i="78"/>
  <c r="X4" i="78"/>
  <c r="W4" i="78"/>
  <c r="V4" i="78"/>
  <c r="Y3" i="78"/>
  <c r="X3" i="78"/>
  <c r="W3" i="78"/>
  <c r="V3" i="78"/>
  <c r="J2" i="78"/>
  <c r="J3" i="78"/>
  <c r="J4" i="78"/>
  <c r="H2" i="78"/>
  <c r="H3" i="78"/>
  <c r="H4" i="78" s="1"/>
  <c r="H5" i="78" s="1"/>
  <c r="H6" i="78" s="1"/>
  <c r="I1" i="78"/>
  <c r="M3" i="78" s="1"/>
  <c r="E1" i="78"/>
  <c r="C9" i="78"/>
  <c r="M36" i="78"/>
  <c r="AF20" i="75"/>
  <c r="AE20" i="75"/>
  <c r="AD20" i="75"/>
  <c r="AC20" i="75"/>
  <c r="AB20" i="75"/>
  <c r="AD19" i="75"/>
  <c r="AC19" i="75"/>
  <c r="AB19" i="75"/>
  <c r="AD18" i="75"/>
  <c r="AC18" i="75"/>
  <c r="AB18" i="75"/>
  <c r="AD17" i="75"/>
  <c r="AC17" i="75"/>
  <c r="AB17" i="75"/>
  <c r="AD16" i="75"/>
  <c r="AC16" i="75"/>
  <c r="AB16" i="75"/>
  <c r="AD15" i="75"/>
  <c r="AC15" i="75"/>
  <c r="AB15" i="75"/>
  <c r="AD14" i="75"/>
  <c r="AC14" i="75"/>
  <c r="AB14" i="75"/>
  <c r="AD13" i="75"/>
  <c r="AC13" i="75"/>
  <c r="AB13" i="75"/>
  <c r="AD12" i="75"/>
  <c r="AC12" i="75"/>
  <c r="AB12" i="75"/>
  <c r="AD11" i="75"/>
  <c r="AC11" i="75"/>
  <c r="AB11" i="75"/>
  <c r="AD10" i="75"/>
  <c r="AC10" i="75"/>
  <c r="AB10" i="75"/>
  <c r="AD9" i="75"/>
  <c r="AC9" i="75"/>
  <c r="AB9" i="75"/>
  <c r="AD8" i="75"/>
  <c r="AC8" i="75"/>
  <c r="AB8" i="75"/>
  <c r="AD7" i="75"/>
  <c r="AC7" i="75"/>
  <c r="AB7" i="75"/>
  <c r="AD6" i="75"/>
  <c r="AC6" i="75"/>
  <c r="AB6" i="75"/>
  <c r="AD5" i="75"/>
  <c r="AC5" i="75"/>
  <c r="AB5" i="75"/>
  <c r="AD4" i="75"/>
  <c r="AC4" i="75"/>
  <c r="AB4" i="75"/>
  <c r="I15" i="77"/>
  <c r="O11" i="77"/>
  <c r="O12" i="77"/>
  <c r="O14" i="77"/>
  <c r="O16" i="77"/>
  <c r="O21" i="77"/>
  <c r="O22" i="77"/>
  <c r="O24" i="77"/>
  <c r="O26" i="77"/>
  <c r="O28" i="77"/>
  <c r="O30" i="77"/>
  <c r="O32" i="77"/>
  <c r="O33" i="77"/>
  <c r="O34" i="77"/>
  <c r="O37" i="77"/>
  <c r="O40" i="77"/>
  <c r="I29" i="77"/>
  <c r="O29" i="77" s="1"/>
  <c r="G39" i="77"/>
  <c r="O39" i="77" s="1"/>
  <c r="G35" i="77"/>
  <c r="O35" i="77" s="1"/>
  <c r="I25" i="77"/>
  <c r="E40" i="77"/>
  <c r="E10" i="77"/>
  <c r="N23" i="77"/>
  <c r="M23" i="77"/>
  <c r="L23" i="77"/>
  <c r="K23" i="77"/>
  <c r="O23" i="77"/>
  <c r="O25" i="77"/>
  <c r="B23" i="77"/>
  <c r="AF20" i="77"/>
  <c r="AE20" i="77"/>
  <c r="AD20" i="77"/>
  <c r="AC20" i="77"/>
  <c r="AB20" i="77"/>
  <c r="AD19" i="77"/>
  <c r="AC19" i="77"/>
  <c r="AB19" i="77"/>
  <c r="AD18" i="77"/>
  <c r="AC18" i="77"/>
  <c r="AB18" i="77"/>
  <c r="AD17" i="77"/>
  <c r="AC17" i="77"/>
  <c r="AB17" i="77"/>
  <c r="AD16" i="77"/>
  <c r="AC16" i="77"/>
  <c r="AB16" i="77"/>
  <c r="AD15" i="77"/>
  <c r="AC15" i="77"/>
  <c r="AB15" i="77"/>
  <c r="AD14" i="77"/>
  <c r="AC14" i="77"/>
  <c r="AB14" i="77"/>
  <c r="AD13" i="77"/>
  <c r="AC13" i="77"/>
  <c r="AB13" i="77"/>
  <c r="AD12" i="77"/>
  <c r="AC12" i="77"/>
  <c r="AB12" i="77"/>
  <c r="AD11" i="77"/>
  <c r="AC11" i="77"/>
  <c r="AB11" i="77"/>
  <c r="AD10" i="77"/>
  <c r="AC10" i="77"/>
  <c r="AB10" i="77"/>
  <c r="AD9" i="77"/>
  <c r="AC9" i="77"/>
  <c r="AB9" i="77"/>
  <c r="AD8" i="77"/>
  <c r="AC8" i="77"/>
  <c r="AB8" i="77"/>
  <c r="AD7" i="77"/>
  <c r="AC7" i="77"/>
  <c r="AB7" i="77"/>
  <c r="AD6" i="77"/>
  <c r="AC6" i="77"/>
  <c r="AB6" i="77"/>
  <c r="AD5" i="77"/>
  <c r="AC5" i="77"/>
  <c r="AB5" i="77"/>
  <c r="AD4" i="77"/>
  <c r="AC4" i="77"/>
  <c r="AB4" i="77"/>
  <c r="AF20" i="72"/>
  <c r="AE20" i="72"/>
  <c r="AD20" i="72"/>
  <c r="AC20" i="72"/>
  <c r="AB20" i="72"/>
  <c r="AD19" i="72"/>
  <c r="AC19" i="72"/>
  <c r="AB19" i="72"/>
  <c r="AD18" i="72"/>
  <c r="AC18" i="72"/>
  <c r="AB18" i="72"/>
  <c r="AD17" i="72"/>
  <c r="AC17" i="72"/>
  <c r="AB17" i="72"/>
  <c r="AD16" i="72"/>
  <c r="AC16" i="72"/>
  <c r="AB16" i="72"/>
  <c r="AD15" i="72"/>
  <c r="AC15" i="72"/>
  <c r="AB15" i="72"/>
  <c r="AD14" i="72"/>
  <c r="AC14" i="72"/>
  <c r="AB14" i="72"/>
  <c r="AD13" i="72"/>
  <c r="AC13" i="72"/>
  <c r="AB13" i="72"/>
  <c r="AD12" i="72"/>
  <c r="AC12" i="72"/>
  <c r="AB12" i="72"/>
  <c r="AD11" i="72"/>
  <c r="AC11" i="72"/>
  <c r="AB11" i="72"/>
  <c r="AD10" i="72"/>
  <c r="AC10" i="72"/>
  <c r="AB10" i="72"/>
  <c r="AD9" i="72"/>
  <c r="AC9" i="72"/>
  <c r="AB9" i="72"/>
  <c r="AD8" i="72"/>
  <c r="AC8" i="72"/>
  <c r="AB8" i="72"/>
  <c r="AD7" i="72"/>
  <c r="AC7" i="72"/>
  <c r="AB7" i="72"/>
  <c r="AD6" i="72"/>
  <c r="AC6" i="72"/>
  <c r="AB6" i="72"/>
  <c r="AD5" i="72"/>
  <c r="AC5" i="72"/>
  <c r="AB5" i="72"/>
  <c r="AD4" i="72"/>
  <c r="AC4" i="72"/>
  <c r="AB4" i="72"/>
  <c r="AF20" i="50"/>
  <c r="AE20" i="50"/>
  <c r="AD20" i="50"/>
  <c r="AC20" i="50"/>
  <c r="AB20" i="50"/>
  <c r="AD19" i="50"/>
  <c r="AC19" i="50"/>
  <c r="AB19" i="50"/>
  <c r="AD18" i="50"/>
  <c r="AC18" i="50"/>
  <c r="AB18" i="50"/>
  <c r="AD17" i="50"/>
  <c r="AC17" i="50"/>
  <c r="AB17" i="50"/>
  <c r="AD16" i="50"/>
  <c r="AC16" i="50"/>
  <c r="AB16" i="50"/>
  <c r="AD15" i="50"/>
  <c r="AC15" i="50"/>
  <c r="AB15" i="50"/>
  <c r="AD14" i="50"/>
  <c r="AC14" i="50"/>
  <c r="AB14" i="50"/>
  <c r="AD13" i="50"/>
  <c r="AC13" i="50"/>
  <c r="AB13" i="50"/>
  <c r="AD12" i="50"/>
  <c r="AC12" i="50"/>
  <c r="AB12" i="50"/>
  <c r="AD11" i="50"/>
  <c r="AC11" i="50"/>
  <c r="AB11" i="50"/>
  <c r="AD10" i="50"/>
  <c r="AC10" i="50"/>
  <c r="AB10" i="50"/>
  <c r="AD9" i="50"/>
  <c r="AC9" i="50"/>
  <c r="AB9" i="50"/>
  <c r="AD8" i="50"/>
  <c r="AC8" i="50"/>
  <c r="AB8" i="50"/>
  <c r="AD7" i="50"/>
  <c r="AC7" i="50"/>
  <c r="AB7" i="50"/>
  <c r="AD6" i="50"/>
  <c r="AC6" i="50"/>
  <c r="AB6" i="50"/>
  <c r="AD5" i="50"/>
  <c r="AC5" i="50"/>
  <c r="AB5" i="50"/>
  <c r="AD4" i="50"/>
  <c r="AC4" i="50"/>
  <c r="AB4" i="50"/>
  <c r="AE20" i="42"/>
  <c r="AF20" i="42"/>
  <c r="AB5" i="42"/>
  <c r="AC5" i="42"/>
  <c r="AD5" i="42"/>
  <c r="AC6" i="42"/>
  <c r="AD6" i="42"/>
  <c r="AB7" i="42"/>
  <c r="AC7" i="42"/>
  <c r="AD7" i="42"/>
  <c r="AB8" i="42"/>
  <c r="AC8" i="42"/>
  <c r="AD8" i="42"/>
  <c r="AB9" i="42"/>
  <c r="AC9" i="42"/>
  <c r="AD9" i="42"/>
  <c r="AB10" i="42"/>
  <c r="AC10" i="42"/>
  <c r="AD10" i="42"/>
  <c r="AB11" i="42"/>
  <c r="AC11" i="42"/>
  <c r="AD11" i="42"/>
  <c r="AB12" i="42"/>
  <c r="AC12" i="42"/>
  <c r="AD12" i="42"/>
  <c r="AB13" i="42"/>
  <c r="AC13" i="42"/>
  <c r="AD13" i="42"/>
  <c r="AB14" i="42"/>
  <c r="AC14" i="42"/>
  <c r="AD14" i="42"/>
  <c r="AB15" i="42"/>
  <c r="AC15" i="42"/>
  <c r="AD15" i="42"/>
  <c r="AB16" i="42"/>
  <c r="AC16" i="42"/>
  <c r="AD16" i="42"/>
  <c r="AB17" i="42"/>
  <c r="AC17" i="42"/>
  <c r="AD17" i="42"/>
  <c r="AB18" i="42"/>
  <c r="AC18" i="42"/>
  <c r="AD18" i="42"/>
  <c r="AB19" i="42"/>
  <c r="AC19" i="42"/>
  <c r="AD19" i="42"/>
  <c r="AB20" i="42"/>
  <c r="AC20" i="42"/>
  <c r="AD20" i="42"/>
  <c r="AC4" i="42"/>
  <c r="AD4" i="42"/>
  <c r="AB4" i="42"/>
  <c r="V11" i="42"/>
  <c r="I50" i="77"/>
  <c r="I49" i="77"/>
  <c r="I48" i="77"/>
  <c r="O48" i="77" s="1"/>
  <c r="G27" i="77"/>
  <c r="O27" i="77" s="1"/>
  <c r="I47" i="77"/>
  <c r="I46" i="77"/>
  <c r="G19" i="77"/>
  <c r="O19" i="77" s="1"/>
  <c r="K44" i="77"/>
  <c r="O44" i="77"/>
  <c r="O43" i="77"/>
  <c r="O38" i="77"/>
  <c r="I38" i="77"/>
  <c r="O36" i="77"/>
  <c r="I36" i="77"/>
  <c r="N31" i="77"/>
  <c r="M31" i="77"/>
  <c r="L31" i="77"/>
  <c r="K31" i="77"/>
  <c r="K41" i="77" s="1"/>
  <c r="O31" i="77"/>
  <c r="B31" i="77"/>
  <c r="O20" i="77"/>
  <c r="I20" i="77"/>
  <c r="G18" i="77"/>
  <c r="O18" i="77" s="1"/>
  <c r="G17" i="77"/>
  <c r="Y15" i="77"/>
  <c r="X15" i="77"/>
  <c r="W15" i="77"/>
  <c r="V15" i="77"/>
  <c r="Y14" i="77"/>
  <c r="X14" i="77"/>
  <c r="W14" i="77"/>
  <c r="V14" i="77"/>
  <c r="Y13" i="77"/>
  <c r="X13" i="77"/>
  <c r="W13" i="77"/>
  <c r="V13" i="77"/>
  <c r="N13" i="77"/>
  <c r="M13" i="77"/>
  <c r="L13" i="77"/>
  <c r="K13" i="77"/>
  <c r="O13" i="77"/>
  <c r="B13" i="77"/>
  <c r="Y12" i="77"/>
  <c r="X12" i="77"/>
  <c r="W12" i="77"/>
  <c r="V12" i="77"/>
  <c r="Y11" i="77"/>
  <c r="X11" i="77"/>
  <c r="W11" i="77"/>
  <c r="V11" i="77"/>
  <c r="Y10" i="77"/>
  <c r="X10" i="77"/>
  <c r="W10" i="77"/>
  <c r="V10" i="77"/>
  <c r="M10" i="77"/>
  <c r="K10" i="77"/>
  <c r="B10" i="77"/>
  <c r="Y9" i="77"/>
  <c r="X9" i="77"/>
  <c r="W9" i="77"/>
  <c r="V9" i="77"/>
  <c r="Y8" i="77"/>
  <c r="X8" i="77"/>
  <c r="W8" i="77"/>
  <c r="V8" i="77"/>
  <c r="Y7" i="77"/>
  <c r="X7" i="77"/>
  <c r="W7" i="77"/>
  <c r="V7" i="77"/>
  <c r="Y6" i="77"/>
  <c r="X6" i="77"/>
  <c r="W6" i="77"/>
  <c r="V6" i="77"/>
  <c r="Y5" i="77"/>
  <c r="X5" i="77"/>
  <c r="L2" i="77" s="1"/>
  <c r="W5" i="77"/>
  <c r="V5" i="77"/>
  <c r="E5" i="77"/>
  <c r="Y4" i="77"/>
  <c r="X4" i="77"/>
  <c r="L4" i="77" s="1"/>
  <c r="W4" i="77"/>
  <c r="V4" i="77"/>
  <c r="Y3" i="77"/>
  <c r="X3" i="77"/>
  <c r="W3" i="77"/>
  <c r="V3" i="77"/>
  <c r="J2" i="77"/>
  <c r="J3" i="77"/>
  <c r="H2" i="77"/>
  <c r="H3" i="77"/>
  <c r="I1" i="77"/>
  <c r="M4" i="77" s="1"/>
  <c r="E1" i="77"/>
  <c r="C9" i="77"/>
  <c r="I27" i="37"/>
  <c r="K44" i="76"/>
  <c r="I44" i="76"/>
  <c r="O44" i="76"/>
  <c r="K43" i="76"/>
  <c r="I43" i="76"/>
  <c r="O43" i="76" s="1"/>
  <c r="K42" i="76"/>
  <c r="I42" i="76"/>
  <c r="O42" i="76" s="1"/>
  <c r="K41" i="76"/>
  <c r="I41" i="76"/>
  <c r="O41" i="76" s="1"/>
  <c r="O39" i="76"/>
  <c r="K39" i="76"/>
  <c r="O38" i="76"/>
  <c r="O35" i="76"/>
  <c r="E35" i="76"/>
  <c r="O34" i="76"/>
  <c r="O33" i="76"/>
  <c r="I32" i="76"/>
  <c r="O32" i="76"/>
  <c r="G31" i="76"/>
  <c r="O31" i="76" s="1"/>
  <c r="I30" i="76"/>
  <c r="O30" i="76"/>
  <c r="N29" i="76"/>
  <c r="M29" i="76"/>
  <c r="L29" i="76"/>
  <c r="K29" i="76"/>
  <c r="O29" i="76"/>
  <c r="B29" i="76"/>
  <c r="O28" i="76"/>
  <c r="O27" i="76"/>
  <c r="O26" i="76"/>
  <c r="I25" i="76"/>
  <c r="O25" i="76"/>
  <c r="G24" i="76"/>
  <c r="O24" i="76" s="1"/>
  <c r="N23" i="76"/>
  <c r="M23" i="76"/>
  <c r="L23" i="76"/>
  <c r="K23" i="76"/>
  <c r="O23" i="76"/>
  <c r="B23" i="76"/>
  <c r="O22" i="76"/>
  <c r="O21" i="76"/>
  <c r="I20" i="76"/>
  <c r="O20" i="76"/>
  <c r="G19" i="76"/>
  <c r="O19" i="76" s="1"/>
  <c r="O18" i="76"/>
  <c r="G17" i="76"/>
  <c r="O17" i="76" s="1"/>
  <c r="I16" i="76"/>
  <c r="O16" i="76"/>
  <c r="Y15" i="76"/>
  <c r="X15" i="76"/>
  <c r="W15" i="76"/>
  <c r="V15" i="76"/>
  <c r="O15" i="76"/>
  <c r="Y14" i="76"/>
  <c r="X14" i="76"/>
  <c r="W14" i="76"/>
  <c r="V14" i="76"/>
  <c r="N14" i="76"/>
  <c r="M14" i="76"/>
  <c r="L14" i="76"/>
  <c r="K14" i="76"/>
  <c r="O14" i="76"/>
  <c r="B14" i="76"/>
  <c r="Y13" i="76"/>
  <c r="X13" i="76"/>
  <c r="W13" i="76"/>
  <c r="V13" i="76"/>
  <c r="O13" i="76"/>
  <c r="Y12" i="76"/>
  <c r="X12" i="76"/>
  <c r="W12" i="76"/>
  <c r="V12" i="76"/>
  <c r="O12" i="76"/>
  <c r="I12" i="76"/>
  <c r="Y11" i="76"/>
  <c r="X11" i="76"/>
  <c r="W11" i="76"/>
  <c r="V11" i="76"/>
  <c r="O11" i="76"/>
  <c r="Y10" i="76"/>
  <c r="X10" i="76"/>
  <c r="W10" i="76"/>
  <c r="V10" i="76"/>
  <c r="M10" i="76"/>
  <c r="M36" i="76"/>
  <c r="K10" i="76"/>
  <c r="K36" i="76"/>
  <c r="E10" i="76"/>
  <c r="B10" i="76"/>
  <c r="Y9" i="76"/>
  <c r="X9" i="76"/>
  <c r="W9" i="76"/>
  <c r="V9" i="76"/>
  <c r="Y8" i="76"/>
  <c r="X8" i="76"/>
  <c r="W8" i="76"/>
  <c r="V8" i="76"/>
  <c r="Y7" i="76"/>
  <c r="X7" i="76"/>
  <c r="W7" i="76"/>
  <c r="V7" i="76"/>
  <c r="Y6" i="76"/>
  <c r="X6" i="76"/>
  <c r="W6" i="76"/>
  <c r="V6" i="76"/>
  <c r="N6" i="76"/>
  <c r="Y5" i="76"/>
  <c r="X5" i="76"/>
  <c r="W5" i="76"/>
  <c r="V5" i="76"/>
  <c r="N5" i="76"/>
  <c r="E5" i="76"/>
  <c r="Y4" i="76"/>
  <c r="X4" i="76"/>
  <c r="W4" i="76"/>
  <c r="V4" i="76"/>
  <c r="Y3" i="76"/>
  <c r="X3" i="76"/>
  <c r="W3" i="76"/>
  <c r="V3" i="76"/>
  <c r="H3" i="76"/>
  <c r="J2" i="76"/>
  <c r="J3" i="76"/>
  <c r="J4" i="76"/>
  <c r="H2" i="76"/>
  <c r="I1" i="76"/>
  <c r="M2" i="76"/>
  <c r="E1" i="76"/>
  <c r="C9" i="76"/>
  <c r="I35" i="75"/>
  <c r="G33" i="75"/>
  <c r="O33" i="75" s="1"/>
  <c r="I32" i="75"/>
  <c r="I25" i="75"/>
  <c r="I19" i="75"/>
  <c r="G17" i="75"/>
  <c r="I16" i="75"/>
  <c r="K46" i="75"/>
  <c r="I46" i="75"/>
  <c r="O46" i="75" s="1"/>
  <c r="K45" i="75"/>
  <c r="O45" i="75" s="1"/>
  <c r="I45" i="75"/>
  <c r="K44" i="75"/>
  <c r="I44" i="75"/>
  <c r="O44" i="75" s="1"/>
  <c r="K43" i="75"/>
  <c r="I43" i="75"/>
  <c r="K42" i="75"/>
  <c r="I42" i="75"/>
  <c r="K40" i="75"/>
  <c r="O40" i="75" s="1"/>
  <c r="O39" i="75"/>
  <c r="O36" i="75"/>
  <c r="E36" i="75"/>
  <c r="N30" i="75"/>
  <c r="M30" i="75"/>
  <c r="L30" i="75"/>
  <c r="K30" i="75"/>
  <c r="O30" i="75" s="1"/>
  <c r="B30" i="75"/>
  <c r="O29" i="75"/>
  <c r="O26" i="75"/>
  <c r="O23" i="75"/>
  <c r="N22" i="75"/>
  <c r="M22" i="75"/>
  <c r="L22" i="75"/>
  <c r="K22" i="75"/>
  <c r="O22" i="75" s="1"/>
  <c r="B22" i="75"/>
  <c r="O21" i="75"/>
  <c r="O20" i="75"/>
  <c r="Y16" i="75"/>
  <c r="X16" i="75"/>
  <c r="W16" i="75"/>
  <c r="V16" i="75"/>
  <c r="Y13" i="75"/>
  <c r="X13" i="75"/>
  <c r="W13" i="75"/>
  <c r="V13" i="75"/>
  <c r="N13" i="75"/>
  <c r="M13" i="75"/>
  <c r="L13" i="75"/>
  <c r="K13" i="75"/>
  <c r="O13" i="75" s="1"/>
  <c r="B13" i="75"/>
  <c r="Y12" i="75"/>
  <c r="X12" i="75"/>
  <c r="W12" i="75"/>
  <c r="V12" i="75"/>
  <c r="O12" i="75"/>
  <c r="Y11" i="75"/>
  <c r="X11" i="75"/>
  <c r="W11" i="75"/>
  <c r="V11" i="75"/>
  <c r="O11" i="75"/>
  <c r="Y10" i="75"/>
  <c r="X10" i="75"/>
  <c r="W10" i="75"/>
  <c r="V10" i="75"/>
  <c r="M10" i="75"/>
  <c r="K10" i="75"/>
  <c r="O10" i="75" s="1"/>
  <c r="E10" i="75"/>
  <c r="B10" i="75"/>
  <c r="Y9" i="75"/>
  <c r="X9" i="75"/>
  <c r="W9" i="75"/>
  <c r="V9" i="75"/>
  <c r="Y8" i="75"/>
  <c r="X8" i="75"/>
  <c r="W8" i="75"/>
  <c r="V8" i="75"/>
  <c r="Y7" i="75"/>
  <c r="X7" i="75"/>
  <c r="W7" i="75"/>
  <c r="V7" i="75"/>
  <c r="Y6" i="75"/>
  <c r="X6" i="75"/>
  <c r="W6" i="75"/>
  <c r="V6" i="75"/>
  <c r="Y5" i="75"/>
  <c r="X5" i="75"/>
  <c r="W5" i="75"/>
  <c r="V5" i="75"/>
  <c r="E5" i="75"/>
  <c r="Y4" i="75"/>
  <c r="X4" i="75"/>
  <c r="W4" i="75"/>
  <c r="V4" i="75"/>
  <c r="Y3" i="75"/>
  <c r="X3" i="75"/>
  <c r="W3" i="75"/>
  <c r="V3" i="75"/>
  <c r="J2" i="75"/>
  <c r="J3" i="75"/>
  <c r="H2" i="75"/>
  <c r="I1" i="75"/>
  <c r="M3" i="75" s="1"/>
  <c r="E1" i="75"/>
  <c r="C9" i="75"/>
  <c r="I20" i="67"/>
  <c r="O17" i="77"/>
  <c r="O15" i="77"/>
  <c r="O47" i="77"/>
  <c r="M2" i="77"/>
  <c r="M41" i="77"/>
  <c r="O46" i="77"/>
  <c r="O50" i="77"/>
  <c r="O49" i="77"/>
  <c r="J4" i="77"/>
  <c r="H4" i="77"/>
  <c r="O10" i="77"/>
  <c r="M4" i="76"/>
  <c r="H4" i="76"/>
  <c r="H5" i="76"/>
  <c r="H6" i="76"/>
  <c r="M3" i="76"/>
  <c r="O10" i="76"/>
  <c r="O35" i="75"/>
  <c r="O32" i="75"/>
  <c r="O28" i="75"/>
  <c r="O31" i="75"/>
  <c r="O17" i="75"/>
  <c r="O18" i="75"/>
  <c r="M37" i="75"/>
  <c r="H3" i="75"/>
  <c r="O16" i="75"/>
  <c r="O42" i="75"/>
  <c r="J4" i="75"/>
  <c r="O19" i="75"/>
  <c r="O25" i="75"/>
  <c r="M4" i="75"/>
  <c r="E36" i="56"/>
  <c r="E36" i="42"/>
  <c r="E37" i="50"/>
  <c r="E38" i="68"/>
  <c r="E37" i="31"/>
  <c r="B13" i="19"/>
  <c r="B10" i="19"/>
  <c r="I30" i="74"/>
  <c r="O38" i="74"/>
  <c r="K38" i="74"/>
  <c r="O37" i="74"/>
  <c r="O35" i="74"/>
  <c r="E35" i="74"/>
  <c r="O34" i="74"/>
  <c r="O33" i="74"/>
  <c r="O32" i="74"/>
  <c r="O31" i="74"/>
  <c r="N28" i="74"/>
  <c r="M28" i="74"/>
  <c r="L28" i="74"/>
  <c r="K28" i="74"/>
  <c r="O28" i="74"/>
  <c r="B28" i="74"/>
  <c r="O27" i="74"/>
  <c r="G26" i="74"/>
  <c r="I25" i="74"/>
  <c r="O24" i="74"/>
  <c r="G23" i="74"/>
  <c r="O23" i="74" s="1"/>
  <c r="G22" i="74"/>
  <c r="N21" i="74"/>
  <c r="M21" i="74"/>
  <c r="L21" i="74"/>
  <c r="K21" i="74"/>
  <c r="B21" i="74"/>
  <c r="O20" i="74"/>
  <c r="I18" i="74"/>
  <c r="O18" i="74"/>
  <c r="G17" i="74"/>
  <c r="O17" i="74"/>
  <c r="O16" i="74"/>
  <c r="Y15" i="74"/>
  <c r="X15" i="74"/>
  <c r="W15" i="74"/>
  <c r="V15" i="74"/>
  <c r="O15" i="74"/>
  <c r="Y14" i="74"/>
  <c r="X14" i="74"/>
  <c r="W14" i="74"/>
  <c r="V14" i="74"/>
  <c r="O14" i="74"/>
  <c r="Y13" i="74"/>
  <c r="X13" i="74"/>
  <c r="W13" i="74"/>
  <c r="V13" i="74"/>
  <c r="N13" i="74"/>
  <c r="M13" i="74"/>
  <c r="L13" i="74"/>
  <c r="K13" i="74"/>
  <c r="B13" i="74"/>
  <c r="Y12" i="74"/>
  <c r="X12" i="74"/>
  <c r="W12" i="74"/>
  <c r="V12" i="74"/>
  <c r="O12" i="74"/>
  <c r="Y11" i="74"/>
  <c r="X11" i="74"/>
  <c r="W11" i="74"/>
  <c r="V11" i="74"/>
  <c r="O11" i="74"/>
  <c r="Y10" i="74"/>
  <c r="X10" i="74"/>
  <c r="W10" i="74"/>
  <c r="V10" i="74"/>
  <c r="M10" i="74"/>
  <c r="K10" i="74"/>
  <c r="K36" i="74"/>
  <c r="E10" i="74"/>
  <c r="B10" i="74"/>
  <c r="Y9" i="74"/>
  <c r="X9" i="74"/>
  <c r="W9" i="74"/>
  <c r="V9" i="74"/>
  <c r="Y8" i="74"/>
  <c r="X8" i="74"/>
  <c r="W8" i="74"/>
  <c r="V8" i="74"/>
  <c r="Y7" i="74"/>
  <c r="X7" i="74"/>
  <c r="W7" i="74"/>
  <c r="V7" i="74"/>
  <c r="Y6" i="74"/>
  <c r="X6" i="74"/>
  <c r="W6" i="74"/>
  <c r="V6" i="74"/>
  <c r="Y5" i="74"/>
  <c r="X5" i="74"/>
  <c r="W5" i="74"/>
  <c r="V5" i="74"/>
  <c r="E5" i="74"/>
  <c r="Y4" i="74"/>
  <c r="X4" i="74"/>
  <c r="W4" i="74"/>
  <c r="V4" i="74"/>
  <c r="Y3" i="74"/>
  <c r="X3" i="74"/>
  <c r="W3" i="74"/>
  <c r="V3" i="74"/>
  <c r="M2" i="74"/>
  <c r="N2" i="74"/>
  <c r="J2" i="74"/>
  <c r="J3" i="74"/>
  <c r="H2" i="74"/>
  <c r="H3" i="74"/>
  <c r="H4" i="74"/>
  <c r="I1" i="74"/>
  <c r="M4" i="74"/>
  <c r="N4" i="74"/>
  <c r="E1" i="74"/>
  <c r="C9" i="74"/>
  <c r="H4" i="75"/>
  <c r="O22" i="74"/>
  <c r="O10" i="74"/>
  <c r="O13" i="74"/>
  <c r="O21" i="74"/>
  <c r="O25" i="74"/>
  <c r="O29" i="74"/>
  <c r="O30" i="74"/>
  <c r="J4" i="74"/>
  <c r="M3" i="74"/>
  <c r="N3" i="74"/>
  <c r="O2" i="74"/>
  <c r="M36" i="74"/>
  <c r="O11" i="72"/>
  <c r="O12" i="72"/>
  <c r="O13" i="72"/>
  <c r="O15" i="72"/>
  <c r="O16" i="72"/>
  <c r="O17" i="72"/>
  <c r="O18" i="72"/>
  <c r="O19" i="72"/>
  <c r="O20" i="72"/>
  <c r="O21" i="72"/>
  <c r="O25" i="72"/>
  <c r="O26" i="72"/>
  <c r="O27" i="72"/>
  <c r="O28" i="72"/>
  <c r="O29" i="72"/>
  <c r="O31" i="72"/>
  <c r="O32" i="72"/>
  <c r="O33" i="72"/>
  <c r="O34" i="72"/>
  <c r="O35" i="72"/>
  <c r="O36" i="72"/>
  <c r="O37" i="72"/>
  <c r="O38" i="72"/>
  <c r="O39" i="72"/>
  <c r="O40" i="72"/>
  <c r="O41" i="72"/>
  <c r="O43" i="72"/>
  <c r="O44" i="72"/>
  <c r="G32" i="72"/>
  <c r="G24" i="72"/>
  <c r="O24" i="72"/>
  <c r="Y22" i="72"/>
  <c r="X22" i="72"/>
  <c r="W22" i="72"/>
  <c r="V22" i="72"/>
  <c r="G16" i="72"/>
  <c r="G14" i="72"/>
  <c r="O14" i="72" s="1"/>
  <c r="M13" i="72"/>
  <c r="K13" i="72"/>
  <c r="B36" i="72"/>
  <c r="B28" i="72"/>
  <c r="B19" i="72"/>
  <c r="B13" i="72"/>
  <c r="Y14" i="72"/>
  <c r="X14" i="72"/>
  <c r="W14" i="72"/>
  <c r="V14" i="72"/>
  <c r="Y13" i="72"/>
  <c r="X13" i="72"/>
  <c r="W13" i="72"/>
  <c r="V13" i="72"/>
  <c r="K47" i="72"/>
  <c r="O47" i="72"/>
  <c r="O46" i="72"/>
  <c r="I42" i="72"/>
  <c r="O42" i="72"/>
  <c r="G41" i="72"/>
  <c r="N36" i="72"/>
  <c r="L36" i="72"/>
  <c r="K36" i="72"/>
  <c r="G30" i="72"/>
  <c r="O30" i="72" s="1"/>
  <c r="N28" i="72"/>
  <c r="M28" i="72"/>
  <c r="L28" i="72"/>
  <c r="K28" i="72"/>
  <c r="I23" i="72"/>
  <c r="O23" i="72"/>
  <c r="Y21" i="72"/>
  <c r="X21" i="72"/>
  <c r="W21" i="72"/>
  <c r="V21" i="72"/>
  <c r="Y20" i="72"/>
  <c r="X20" i="72"/>
  <c r="W20" i="72"/>
  <c r="V20" i="72"/>
  <c r="Y19" i="72"/>
  <c r="X19" i="72"/>
  <c r="W19" i="72"/>
  <c r="V19" i="72"/>
  <c r="M19" i="72"/>
  <c r="L19" i="72"/>
  <c r="K19" i="72"/>
  <c r="Y12" i="72"/>
  <c r="X12" i="72"/>
  <c r="W12" i="72"/>
  <c r="V12" i="72"/>
  <c r="Y11" i="72"/>
  <c r="X11" i="72"/>
  <c r="W11" i="72"/>
  <c r="V11" i="72"/>
  <c r="Y10" i="72"/>
  <c r="X10" i="72"/>
  <c r="W10" i="72"/>
  <c r="V10" i="72"/>
  <c r="M10" i="72"/>
  <c r="K10" i="72"/>
  <c r="B10" i="72"/>
  <c r="Y9" i="72"/>
  <c r="X9" i="72"/>
  <c r="W9" i="72"/>
  <c r="V9" i="72"/>
  <c r="Y8" i="72"/>
  <c r="X8" i="72"/>
  <c r="W8" i="72"/>
  <c r="V8" i="72"/>
  <c r="Y7" i="72"/>
  <c r="X7" i="72"/>
  <c r="W7" i="72"/>
  <c r="V7" i="72"/>
  <c r="Y6" i="72"/>
  <c r="X6" i="72"/>
  <c r="W6" i="72"/>
  <c r="V6" i="72"/>
  <c r="Y5" i="72"/>
  <c r="X5" i="72"/>
  <c r="W5" i="72"/>
  <c r="V5" i="72"/>
  <c r="E5" i="72"/>
  <c r="Y4" i="72"/>
  <c r="X4" i="72"/>
  <c r="W4" i="72"/>
  <c r="V4" i="72"/>
  <c r="Y3" i="72"/>
  <c r="X3" i="72"/>
  <c r="W3" i="72"/>
  <c r="V3" i="72"/>
  <c r="J2" i="72"/>
  <c r="J5" i="72"/>
  <c r="H2" i="72"/>
  <c r="H3" i="72"/>
  <c r="I1" i="72"/>
  <c r="M4" i="72"/>
  <c r="E1" i="72"/>
  <c r="C9" i="72"/>
  <c r="O39" i="71"/>
  <c r="O38" i="71"/>
  <c r="G37" i="71"/>
  <c r="I36" i="71"/>
  <c r="O36" i="71"/>
  <c r="E42" i="71"/>
  <c r="K45" i="71"/>
  <c r="O45" i="71"/>
  <c r="O44" i="71"/>
  <c r="O42" i="71"/>
  <c r="N35" i="71"/>
  <c r="L35" i="71"/>
  <c r="B35" i="71"/>
  <c r="O34" i="71"/>
  <c r="O33" i="71"/>
  <c r="O32" i="71"/>
  <c r="O31" i="71"/>
  <c r="G30" i="71"/>
  <c r="I29" i="71"/>
  <c r="G28" i="71"/>
  <c r="O28" i="71"/>
  <c r="B27" i="71"/>
  <c r="O26" i="71"/>
  <c r="O25" i="71"/>
  <c r="I24" i="71"/>
  <c r="O23" i="71"/>
  <c r="G22" i="71"/>
  <c r="O22" i="71" s="1"/>
  <c r="M43" i="71"/>
  <c r="B21" i="71"/>
  <c r="O20" i="71"/>
  <c r="G19" i="71"/>
  <c r="O19" i="71" s="1"/>
  <c r="I18" i="71"/>
  <c r="G17" i="71"/>
  <c r="O17" i="71" s="1"/>
  <c r="O16" i="71"/>
  <c r="Y15" i="71"/>
  <c r="X15" i="71"/>
  <c r="W15" i="71"/>
  <c r="V15" i="71"/>
  <c r="I15" i="71"/>
  <c r="Y14" i="71"/>
  <c r="X14" i="71"/>
  <c r="W14" i="71"/>
  <c r="V14" i="71"/>
  <c r="G14" i="71"/>
  <c r="O14" i="71" s="1"/>
  <c r="Y13" i="71"/>
  <c r="X13" i="71"/>
  <c r="W13" i="71"/>
  <c r="V13" i="71"/>
  <c r="O13" i="71"/>
  <c r="B13" i="71"/>
  <c r="Y12" i="71"/>
  <c r="X12" i="71"/>
  <c r="W12" i="71"/>
  <c r="V12" i="71"/>
  <c r="O12" i="71"/>
  <c r="Y11" i="71"/>
  <c r="X11" i="71"/>
  <c r="W11" i="71"/>
  <c r="V11" i="71"/>
  <c r="O11" i="71"/>
  <c r="Y10" i="71"/>
  <c r="X10" i="71"/>
  <c r="W10" i="71"/>
  <c r="V10" i="71"/>
  <c r="O10" i="71"/>
  <c r="B10" i="71"/>
  <c r="Y9" i="71"/>
  <c r="X9" i="71"/>
  <c r="W9" i="71"/>
  <c r="V9" i="71"/>
  <c r="Y8" i="71"/>
  <c r="X8" i="71"/>
  <c r="W8" i="71"/>
  <c r="V8" i="71"/>
  <c r="Y7" i="71"/>
  <c r="X7" i="71"/>
  <c r="W7" i="71"/>
  <c r="V7" i="71"/>
  <c r="Y6" i="71"/>
  <c r="X6" i="71"/>
  <c r="W6" i="71"/>
  <c r="V6" i="71"/>
  <c r="Y5" i="71"/>
  <c r="X5" i="71"/>
  <c r="W5" i="71"/>
  <c r="V5" i="71"/>
  <c r="E5" i="71"/>
  <c r="Y4" i="71"/>
  <c r="X4" i="71"/>
  <c r="W4" i="71"/>
  <c r="V4" i="71"/>
  <c r="Y3" i="71"/>
  <c r="X3" i="71"/>
  <c r="W3" i="71"/>
  <c r="V3" i="71"/>
  <c r="J2" i="71"/>
  <c r="J5" i="71"/>
  <c r="H2" i="71"/>
  <c r="H3" i="71"/>
  <c r="I1" i="71"/>
  <c r="M3" i="71"/>
  <c r="E1" i="71"/>
  <c r="C9" i="71"/>
  <c r="E40" i="45"/>
  <c r="E10" i="45"/>
  <c r="K45" i="54"/>
  <c r="O45" i="54" s="1"/>
  <c r="O44" i="54"/>
  <c r="K42" i="54"/>
  <c r="O41" i="54"/>
  <c r="H40" i="54"/>
  <c r="O40" i="54" s="1"/>
  <c r="O39" i="54"/>
  <c r="I39" i="54"/>
  <c r="G38" i="54"/>
  <c r="O38" i="54" s="1"/>
  <c r="I37" i="54"/>
  <c r="O37" i="54"/>
  <c r="O36" i="54"/>
  <c r="N35" i="54"/>
  <c r="M35" i="54"/>
  <c r="M42" i="54" s="1"/>
  <c r="L35" i="54"/>
  <c r="O35" i="54" s="1"/>
  <c r="B35" i="54"/>
  <c r="O34" i="54"/>
  <c r="O33" i="54"/>
  <c r="O28" i="54"/>
  <c r="O27" i="54"/>
  <c r="O26" i="54"/>
  <c r="N26" i="54"/>
  <c r="L26" i="54"/>
  <c r="B26" i="54"/>
  <c r="O25" i="54"/>
  <c r="O24" i="54"/>
  <c r="O23" i="54"/>
  <c r="O22" i="54"/>
  <c r="O21" i="54"/>
  <c r="O20" i="54"/>
  <c r="O19" i="54"/>
  <c r="B19" i="54"/>
  <c r="O18" i="54"/>
  <c r="O17" i="54"/>
  <c r="O16" i="54"/>
  <c r="Y15" i="54"/>
  <c r="X15" i="54"/>
  <c r="W15" i="54"/>
  <c r="V15" i="54"/>
  <c r="O15" i="54"/>
  <c r="Y14" i="54"/>
  <c r="X14" i="54"/>
  <c r="W14" i="54"/>
  <c r="V14" i="54"/>
  <c r="O14" i="54"/>
  <c r="Y13" i="54"/>
  <c r="X13" i="54"/>
  <c r="W13" i="54"/>
  <c r="V13" i="54"/>
  <c r="O13" i="54"/>
  <c r="N13" i="54"/>
  <c r="L13" i="54"/>
  <c r="B13" i="54"/>
  <c r="Y12" i="54"/>
  <c r="X12" i="54"/>
  <c r="W12" i="54"/>
  <c r="V12" i="54"/>
  <c r="O12" i="54"/>
  <c r="Y11" i="54"/>
  <c r="X11" i="54"/>
  <c r="W11" i="54"/>
  <c r="V11" i="54"/>
  <c r="O11" i="54"/>
  <c r="Y10" i="54"/>
  <c r="X10" i="54"/>
  <c r="W10" i="54"/>
  <c r="V10" i="54"/>
  <c r="O10" i="54"/>
  <c r="B10" i="54"/>
  <c r="Y9" i="54"/>
  <c r="X9" i="54"/>
  <c r="W9" i="54"/>
  <c r="V9" i="54"/>
  <c r="Y8" i="54"/>
  <c r="X8" i="54"/>
  <c r="W8" i="54"/>
  <c r="V8" i="54"/>
  <c r="Y7" i="54"/>
  <c r="X7" i="54"/>
  <c r="W7" i="54"/>
  <c r="V7" i="54"/>
  <c r="Y6" i="54"/>
  <c r="X6" i="54"/>
  <c r="W6" i="54"/>
  <c r="V6" i="54"/>
  <c r="M6" i="54"/>
  <c r="N6" i="54" s="1"/>
  <c r="H6" i="54"/>
  <c r="Y5" i="54"/>
  <c r="X5" i="54"/>
  <c r="W5" i="54"/>
  <c r="V5" i="54"/>
  <c r="N5" i="54"/>
  <c r="M5" i="54"/>
  <c r="H5" i="54"/>
  <c r="E5" i="54"/>
  <c r="Y4" i="54"/>
  <c r="X4" i="54"/>
  <c r="W4" i="54"/>
  <c r="V4" i="54"/>
  <c r="N4" i="54"/>
  <c r="M4" i="54"/>
  <c r="H4" i="54"/>
  <c r="Y3" i="54"/>
  <c r="X3" i="54"/>
  <c r="W3" i="54"/>
  <c r="V3" i="54"/>
  <c r="M3" i="54"/>
  <c r="N3" i="54" s="1"/>
  <c r="H3" i="54"/>
  <c r="H2" i="54"/>
  <c r="I1" i="54"/>
  <c r="M2" i="54" s="1"/>
  <c r="N2" i="54" s="1"/>
  <c r="E1" i="54"/>
  <c r="C9" i="54"/>
  <c r="I44" i="26"/>
  <c r="O44" i="26" s="1"/>
  <c r="O43" i="26"/>
  <c r="I43" i="26"/>
  <c r="I42" i="26"/>
  <c r="O42" i="26" s="1"/>
  <c r="O41" i="26"/>
  <c r="I41" i="26"/>
  <c r="I40" i="26"/>
  <c r="O40" i="26" s="1"/>
  <c r="K38" i="26"/>
  <c r="O38" i="26"/>
  <c r="O37" i="26"/>
  <c r="M35" i="26"/>
  <c r="O34" i="26"/>
  <c r="O33" i="26"/>
  <c r="G32" i="26"/>
  <c r="O32" i="26" s="1"/>
  <c r="O29" i="26"/>
  <c r="N28" i="26"/>
  <c r="M28" i="26"/>
  <c r="L28" i="26"/>
  <c r="K28" i="26"/>
  <c r="O28" i="26"/>
  <c r="B28" i="26"/>
  <c r="O27" i="26"/>
  <c r="O26" i="26"/>
  <c r="O25" i="26"/>
  <c r="O24" i="26"/>
  <c r="O23" i="26"/>
  <c r="O22" i="26"/>
  <c r="N21" i="26"/>
  <c r="M21" i="26"/>
  <c r="L21" i="26"/>
  <c r="K21" i="26"/>
  <c r="O21" i="26"/>
  <c r="B21" i="26"/>
  <c r="O20" i="26"/>
  <c r="O19" i="26"/>
  <c r="O18" i="26"/>
  <c r="O17" i="26"/>
  <c r="O16" i="26"/>
  <c r="I15" i="26"/>
  <c r="O14" i="26"/>
  <c r="O13" i="26"/>
  <c r="N13" i="26"/>
  <c r="M13" i="26"/>
  <c r="L13" i="26"/>
  <c r="K13" i="26"/>
  <c r="B13" i="26"/>
  <c r="O12" i="26"/>
  <c r="O11" i="26"/>
  <c r="M10" i="26"/>
  <c r="K10" i="26"/>
  <c r="K35" i="26"/>
  <c r="B10" i="26"/>
  <c r="E5" i="26"/>
  <c r="E1" i="26"/>
  <c r="C9" i="26"/>
  <c r="O43" i="65"/>
  <c r="K43" i="65"/>
  <c r="I43" i="65"/>
  <c r="O42" i="65"/>
  <c r="K42" i="65"/>
  <c r="I42" i="65"/>
  <c r="K41" i="65"/>
  <c r="I41" i="65"/>
  <c r="O41" i="65" s="1"/>
  <c r="K40" i="65"/>
  <c r="I40" i="65"/>
  <c r="O40" i="65" s="1"/>
  <c r="O39" i="65"/>
  <c r="K39" i="65"/>
  <c r="I39" i="65"/>
  <c r="O37" i="65"/>
  <c r="K37" i="65"/>
  <c r="O36" i="65"/>
  <c r="M34" i="65"/>
  <c r="K34" i="65"/>
  <c r="O33" i="65"/>
  <c r="E33" i="65"/>
  <c r="O32" i="65"/>
  <c r="G31" i="65"/>
  <c r="O31" i="65" s="1"/>
  <c r="I30" i="65"/>
  <c r="O30" i="65"/>
  <c r="O29" i="65"/>
  <c r="O28" i="65"/>
  <c r="N28" i="65"/>
  <c r="M28" i="65"/>
  <c r="L28" i="65"/>
  <c r="K28" i="65"/>
  <c r="B28" i="65"/>
  <c r="O27" i="65"/>
  <c r="O26" i="65"/>
  <c r="O25" i="65"/>
  <c r="I25" i="65"/>
  <c r="O24" i="65"/>
  <c r="O23" i="65"/>
  <c r="I22" i="65"/>
  <c r="O22" i="65"/>
  <c r="O21" i="65"/>
  <c r="G21" i="65"/>
  <c r="O20" i="65"/>
  <c r="N20" i="65"/>
  <c r="M20" i="65"/>
  <c r="L20" i="65"/>
  <c r="K20" i="65"/>
  <c r="B20" i="65"/>
  <c r="O19" i="65"/>
  <c r="O18" i="65"/>
  <c r="O17" i="65"/>
  <c r="I17" i="65"/>
  <c r="O16" i="65"/>
  <c r="Y15" i="65"/>
  <c r="X15" i="65"/>
  <c r="W15" i="65"/>
  <c r="V15" i="65"/>
  <c r="I15" i="65"/>
  <c r="O15" i="65"/>
  <c r="Y14" i="65"/>
  <c r="X14" i="65"/>
  <c r="W14" i="65"/>
  <c r="V14" i="65"/>
  <c r="O14" i="65"/>
  <c r="Y13" i="65"/>
  <c r="X13" i="65"/>
  <c r="W13" i="65"/>
  <c r="V13" i="65"/>
  <c r="O13" i="65"/>
  <c r="N13" i="65"/>
  <c r="M13" i="65"/>
  <c r="L13" i="65"/>
  <c r="K13" i="65"/>
  <c r="B13" i="65"/>
  <c r="Y12" i="65"/>
  <c r="X12" i="65"/>
  <c r="W12" i="65"/>
  <c r="V12" i="65"/>
  <c r="O12" i="65"/>
  <c r="Y11" i="65"/>
  <c r="X11" i="65"/>
  <c r="W11" i="65"/>
  <c r="V11" i="65"/>
  <c r="O11" i="65"/>
  <c r="Y10" i="65"/>
  <c r="X10" i="65"/>
  <c r="W10" i="65"/>
  <c r="V10" i="65"/>
  <c r="O10" i="65"/>
  <c r="M10" i="65"/>
  <c r="K10" i="65"/>
  <c r="E10" i="65"/>
  <c r="B10" i="65"/>
  <c r="Y9" i="65"/>
  <c r="X9" i="65"/>
  <c r="W9" i="65"/>
  <c r="V9" i="65"/>
  <c r="Y8" i="65"/>
  <c r="X8" i="65"/>
  <c r="W8" i="65"/>
  <c r="V8" i="65"/>
  <c r="Y7" i="65"/>
  <c r="X7" i="65"/>
  <c r="W7" i="65"/>
  <c r="V7" i="65"/>
  <c r="Y6" i="65"/>
  <c r="X6" i="65"/>
  <c r="W6" i="65"/>
  <c r="V6" i="65"/>
  <c r="M6" i="65"/>
  <c r="J6" i="65"/>
  <c r="Y5" i="65"/>
  <c r="X5" i="65"/>
  <c r="W5" i="65"/>
  <c r="V5" i="65"/>
  <c r="M5" i="65"/>
  <c r="J5" i="65"/>
  <c r="E5" i="65"/>
  <c r="Y4" i="65"/>
  <c r="X4" i="65"/>
  <c r="W4" i="65"/>
  <c r="V4" i="65"/>
  <c r="M4" i="65"/>
  <c r="J4" i="65"/>
  <c r="Y3" i="65"/>
  <c r="X3" i="65"/>
  <c r="L2" i="65" s="1"/>
  <c r="N2" i="65" s="1"/>
  <c r="W3" i="65"/>
  <c r="V3" i="65"/>
  <c r="M3" i="65"/>
  <c r="J3" i="65"/>
  <c r="M2" i="65"/>
  <c r="J2" i="65"/>
  <c r="H2" i="65"/>
  <c r="H3" i="65"/>
  <c r="I1" i="65"/>
  <c r="E1" i="65"/>
  <c r="C9" i="65"/>
  <c r="K43" i="52"/>
  <c r="I43" i="52"/>
  <c r="O43" i="52" s="1"/>
  <c r="K42" i="52"/>
  <c r="I42" i="52"/>
  <c r="O42" i="52" s="1"/>
  <c r="O41" i="52"/>
  <c r="K41" i="52"/>
  <c r="I41" i="52"/>
  <c r="O40" i="52"/>
  <c r="K40" i="52"/>
  <c r="I40" i="52"/>
  <c r="K39" i="52"/>
  <c r="I39" i="52"/>
  <c r="O39" i="52" s="1"/>
  <c r="O37" i="52"/>
  <c r="K37" i="52"/>
  <c r="O36" i="52"/>
  <c r="M34" i="52"/>
  <c r="K34" i="52"/>
  <c r="O33" i="52"/>
  <c r="O32" i="52"/>
  <c r="G31" i="52"/>
  <c r="O31" i="52" s="1"/>
  <c r="O30" i="52"/>
  <c r="I30" i="52"/>
  <c r="O29" i="52"/>
  <c r="O28" i="52"/>
  <c r="N28" i="52"/>
  <c r="M28" i="52"/>
  <c r="L28" i="52"/>
  <c r="K28" i="52"/>
  <c r="B28" i="52"/>
  <c r="O27" i="52"/>
  <c r="O26" i="52"/>
  <c r="O25" i="52"/>
  <c r="O24" i="52"/>
  <c r="O23" i="52"/>
  <c r="O22" i="52"/>
  <c r="O21" i="52"/>
  <c r="B21" i="52"/>
  <c r="O20" i="52"/>
  <c r="O19" i="52"/>
  <c r="O18" i="52"/>
  <c r="I18" i="52"/>
  <c r="O17" i="52"/>
  <c r="O16" i="52"/>
  <c r="Y15" i="52"/>
  <c r="X15" i="52"/>
  <c r="W15" i="52"/>
  <c r="V15" i="52"/>
  <c r="O15" i="52"/>
  <c r="I15" i="52"/>
  <c r="Y14" i="52"/>
  <c r="X14" i="52"/>
  <c r="W14" i="52"/>
  <c r="V14" i="52"/>
  <c r="O14" i="52"/>
  <c r="Y13" i="52"/>
  <c r="X13" i="52"/>
  <c r="W13" i="52"/>
  <c r="V13" i="52"/>
  <c r="O13" i="52"/>
  <c r="N13" i="52"/>
  <c r="M13" i="52"/>
  <c r="L13" i="52"/>
  <c r="K13" i="52"/>
  <c r="B13" i="52"/>
  <c r="Y12" i="52"/>
  <c r="X12" i="52"/>
  <c r="W12" i="52"/>
  <c r="V12" i="52"/>
  <c r="O12" i="52"/>
  <c r="Y11" i="52"/>
  <c r="X11" i="52"/>
  <c r="W11" i="52"/>
  <c r="V11" i="52"/>
  <c r="O11" i="52"/>
  <c r="Y10" i="52"/>
  <c r="X10" i="52"/>
  <c r="W10" i="52"/>
  <c r="V10" i="52"/>
  <c r="O10" i="52"/>
  <c r="M10" i="52"/>
  <c r="K10" i="52"/>
  <c r="B10" i="52"/>
  <c r="Y9" i="52"/>
  <c r="X9" i="52"/>
  <c r="W9" i="52"/>
  <c r="V9" i="52"/>
  <c r="C9" i="52"/>
  <c r="Y8" i="52"/>
  <c r="X8" i="52"/>
  <c r="W8" i="52"/>
  <c r="V8" i="52"/>
  <c r="Y7" i="52"/>
  <c r="X7" i="52"/>
  <c r="W7" i="52"/>
  <c r="V7" i="52"/>
  <c r="Y6" i="52"/>
  <c r="X6" i="52"/>
  <c r="W6" i="52"/>
  <c r="V6" i="52"/>
  <c r="M6" i="52"/>
  <c r="J6" i="52"/>
  <c r="Y5" i="52"/>
  <c r="X5" i="52"/>
  <c r="W5" i="52"/>
  <c r="V5" i="52"/>
  <c r="M5" i="52"/>
  <c r="J5" i="52"/>
  <c r="E5" i="52"/>
  <c r="Y4" i="52"/>
  <c r="X4" i="52"/>
  <c r="W4" i="52"/>
  <c r="V4" i="52"/>
  <c r="M4" i="52"/>
  <c r="J4" i="52"/>
  <c r="Y3" i="52"/>
  <c r="X3" i="52"/>
  <c r="W3" i="52"/>
  <c r="L3" i="52" s="1"/>
  <c r="N3" i="52" s="1"/>
  <c r="V3" i="52"/>
  <c r="M3" i="52"/>
  <c r="J3" i="52"/>
  <c r="M2" i="52"/>
  <c r="J2" i="52"/>
  <c r="H2" i="52"/>
  <c r="H3" i="52"/>
  <c r="I1" i="52"/>
  <c r="E1" i="52"/>
  <c r="O45" i="64"/>
  <c r="K45" i="64"/>
  <c r="K44" i="64"/>
  <c r="I44" i="64"/>
  <c r="O44" i="64" s="1"/>
  <c r="K43" i="64"/>
  <c r="I43" i="64"/>
  <c r="O43" i="64" s="1"/>
  <c r="O42" i="64"/>
  <c r="K42" i="64"/>
  <c r="I42" i="64"/>
  <c r="O40" i="64"/>
  <c r="K40" i="64"/>
  <c r="O39" i="64"/>
  <c r="M37" i="64"/>
  <c r="K37" i="64"/>
  <c r="O36" i="64"/>
  <c r="E36" i="64"/>
  <c r="I34" i="64"/>
  <c r="O34" i="64"/>
  <c r="O33" i="64"/>
  <c r="G32" i="64"/>
  <c r="O32" i="64" s="1"/>
  <c r="O31" i="64"/>
  <c r="I31" i="64"/>
  <c r="O30" i="64"/>
  <c r="O29" i="64"/>
  <c r="N29" i="64"/>
  <c r="M29" i="64"/>
  <c r="L29" i="64"/>
  <c r="K29" i="64"/>
  <c r="B29" i="64"/>
  <c r="O28" i="64"/>
  <c r="I26" i="64"/>
  <c r="O26" i="64"/>
  <c r="G25" i="64"/>
  <c r="O25" i="64" s="1"/>
  <c r="O24" i="64"/>
  <c r="O23" i="64"/>
  <c r="I23" i="64"/>
  <c r="G22" i="64"/>
  <c r="O22" i="64"/>
  <c r="O21" i="64"/>
  <c r="N21" i="64"/>
  <c r="M21" i="64"/>
  <c r="L21" i="64"/>
  <c r="K21" i="64"/>
  <c r="B21" i="64"/>
  <c r="O20" i="64"/>
  <c r="O19" i="64"/>
  <c r="I18" i="64"/>
  <c r="O18" i="64"/>
  <c r="O17" i="64"/>
  <c r="I16" i="64"/>
  <c r="O16" i="64"/>
  <c r="Y15" i="64"/>
  <c r="X15" i="64"/>
  <c r="W15" i="64"/>
  <c r="V15" i="64"/>
  <c r="O15" i="64"/>
  <c r="Y14" i="64"/>
  <c r="X14" i="64"/>
  <c r="W14" i="64"/>
  <c r="V14" i="64"/>
  <c r="G14" i="64"/>
  <c r="O14" i="64" s="1"/>
  <c r="Y13" i="64"/>
  <c r="X13" i="64"/>
  <c r="W13" i="64"/>
  <c r="V13" i="64"/>
  <c r="O13" i="64"/>
  <c r="N13" i="64"/>
  <c r="M13" i="64"/>
  <c r="L13" i="64"/>
  <c r="K13" i="64"/>
  <c r="B13" i="64"/>
  <c r="Y12" i="64"/>
  <c r="X12" i="64"/>
  <c r="W12" i="64"/>
  <c r="V12" i="64"/>
  <c r="O12" i="64"/>
  <c r="Y11" i="64"/>
  <c r="X11" i="64"/>
  <c r="W11" i="64"/>
  <c r="V11" i="64"/>
  <c r="O11" i="64"/>
  <c r="Y10" i="64"/>
  <c r="X10" i="64"/>
  <c r="W10" i="64"/>
  <c r="V10" i="64"/>
  <c r="O10" i="64"/>
  <c r="M10" i="64"/>
  <c r="K10" i="64"/>
  <c r="E10" i="64"/>
  <c r="B10" i="64"/>
  <c r="Y9" i="64"/>
  <c r="X9" i="64"/>
  <c r="W9" i="64"/>
  <c r="V9" i="64"/>
  <c r="Y8" i="64"/>
  <c r="X8" i="64"/>
  <c r="W8" i="64"/>
  <c r="V8" i="64"/>
  <c r="Y7" i="64"/>
  <c r="X7" i="64"/>
  <c r="W7" i="64"/>
  <c r="V7" i="64"/>
  <c r="Y6" i="64"/>
  <c r="X6" i="64"/>
  <c r="W6" i="64"/>
  <c r="V6" i="64"/>
  <c r="Y5" i="64"/>
  <c r="X5" i="64"/>
  <c r="W5" i="64"/>
  <c r="V5" i="64"/>
  <c r="E5" i="64"/>
  <c r="Y4" i="64"/>
  <c r="X4" i="64"/>
  <c r="W4" i="64"/>
  <c r="V4" i="64"/>
  <c r="M4" i="64"/>
  <c r="J4" i="64"/>
  <c r="Y3" i="64"/>
  <c r="X3" i="64"/>
  <c r="W3" i="64"/>
  <c r="V3" i="64"/>
  <c r="M3" i="64"/>
  <c r="J3" i="64"/>
  <c r="M2" i="64"/>
  <c r="J2" i="64"/>
  <c r="H2" i="64"/>
  <c r="H3" i="64"/>
  <c r="I1" i="64"/>
  <c r="E1" i="64"/>
  <c r="C9" i="64"/>
  <c r="O53" i="66"/>
  <c r="K53" i="66"/>
  <c r="I53" i="66"/>
  <c r="O52" i="66"/>
  <c r="K52" i="66"/>
  <c r="I52" i="66"/>
  <c r="K51" i="66"/>
  <c r="I51" i="66"/>
  <c r="O51" i="66" s="1"/>
  <c r="K50" i="66"/>
  <c r="I50" i="66"/>
  <c r="O50" i="66" s="1"/>
  <c r="O49" i="66"/>
  <c r="K49" i="66"/>
  <c r="I49" i="66"/>
  <c r="O47" i="66"/>
  <c r="K47" i="66"/>
  <c r="O46" i="66"/>
  <c r="O45" i="66"/>
  <c r="O44" i="66"/>
  <c r="M42" i="66"/>
  <c r="K42" i="66"/>
  <c r="O41" i="66"/>
  <c r="E41" i="66"/>
  <c r="O40" i="66"/>
  <c r="O39" i="66"/>
  <c r="O38" i="66"/>
  <c r="O37" i="66"/>
  <c r="O36" i="66"/>
  <c r="O35" i="66"/>
  <c r="N35" i="66"/>
  <c r="M35" i="66"/>
  <c r="L35" i="66"/>
  <c r="K35" i="66"/>
  <c r="B35" i="66"/>
  <c r="O34" i="66"/>
  <c r="O33" i="66"/>
  <c r="I33" i="66"/>
  <c r="O32" i="66"/>
  <c r="O31" i="66"/>
  <c r="I31" i="66"/>
  <c r="O30" i="66"/>
  <c r="O29" i="66"/>
  <c r="N29" i="66"/>
  <c r="M29" i="66"/>
  <c r="L29" i="66"/>
  <c r="K29" i="66"/>
  <c r="B29" i="66"/>
  <c r="O28" i="66"/>
  <c r="O27" i="66"/>
  <c r="O26" i="66"/>
  <c r="I26" i="66"/>
  <c r="O25" i="66"/>
  <c r="G24" i="66"/>
  <c r="O24" i="66" s="1"/>
  <c r="O23" i="66"/>
  <c r="I23" i="66"/>
  <c r="O22" i="66"/>
  <c r="O21" i="66"/>
  <c r="O20" i="66"/>
  <c r="N20" i="66"/>
  <c r="M20" i="66"/>
  <c r="L20" i="66"/>
  <c r="K20" i="66"/>
  <c r="B20" i="66"/>
  <c r="O19" i="66"/>
  <c r="O18" i="66"/>
  <c r="O17" i="66"/>
  <c r="O16" i="66"/>
  <c r="Y15" i="66"/>
  <c r="X15" i="66"/>
  <c r="W15" i="66"/>
  <c r="V15" i="66"/>
  <c r="O15" i="66"/>
  <c r="Y14" i="66"/>
  <c r="X14" i="66"/>
  <c r="W14" i="66"/>
  <c r="V14" i="66"/>
  <c r="O14" i="66"/>
  <c r="Y13" i="66"/>
  <c r="X13" i="66"/>
  <c r="W13" i="66"/>
  <c r="V13" i="66"/>
  <c r="O13" i="66"/>
  <c r="N13" i="66"/>
  <c r="L13" i="66"/>
  <c r="B13" i="66"/>
  <c r="Y12" i="66"/>
  <c r="X12" i="66"/>
  <c r="W12" i="66"/>
  <c r="V12" i="66"/>
  <c r="O12" i="66"/>
  <c r="Y11" i="66"/>
  <c r="X11" i="66"/>
  <c r="W11" i="66"/>
  <c r="V11" i="66"/>
  <c r="O11" i="66"/>
  <c r="Y10" i="66"/>
  <c r="X10" i="66"/>
  <c r="W10" i="66"/>
  <c r="V10" i="66"/>
  <c r="O10" i="66"/>
  <c r="E10" i="66"/>
  <c r="B10" i="66"/>
  <c r="Y9" i="66"/>
  <c r="X9" i="66"/>
  <c r="W9" i="66"/>
  <c r="V9" i="66"/>
  <c r="C9" i="66"/>
  <c r="Y8" i="66"/>
  <c r="X8" i="66"/>
  <c r="W8" i="66"/>
  <c r="V8" i="66"/>
  <c r="Y7" i="66"/>
  <c r="X7" i="66"/>
  <c r="W7" i="66"/>
  <c r="V7" i="66"/>
  <c r="Y6" i="66"/>
  <c r="X6" i="66"/>
  <c r="W6" i="66"/>
  <c r="V6" i="66"/>
  <c r="N6" i="66"/>
  <c r="Y5" i="66"/>
  <c r="X5" i="66"/>
  <c r="W5" i="66"/>
  <c r="V5" i="66"/>
  <c r="M5" i="66"/>
  <c r="J5" i="66"/>
  <c r="E5" i="66"/>
  <c r="Y4" i="66"/>
  <c r="X4" i="66"/>
  <c r="W4" i="66"/>
  <c r="V4" i="66"/>
  <c r="M4" i="66"/>
  <c r="J4" i="66"/>
  <c r="H4" i="66"/>
  <c r="H5" i="66"/>
  <c r="Y3" i="66"/>
  <c r="X3" i="66"/>
  <c r="W3" i="66"/>
  <c r="V3" i="66"/>
  <c r="N3" i="66"/>
  <c r="M3" i="66"/>
  <c r="H3" i="66"/>
  <c r="N2" i="66"/>
  <c r="M2" i="66"/>
  <c r="H2" i="66"/>
  <c r="I1" i="66"/>
  <c r="E1" i="66"/>
  <c r="O47" i="51"/>
  <c r="K47" i="51"/>
  <c r="O46" i="51"/>
  <c r="K46" i="51"/>
  <c r="O45" i="51"/>
  <c r="K45" i="51"/>
  <c r="K44" i="51"/>
  <c r="I44" i="51"/>
  <c r="O44" i="51" s="1"/>
  <c r="O43" i="51"/>
  <c r="K43" i="51"/>
  <c r="I43" i="51"/>
  <c r="O42" i="51"/>
  <c r="K42" i="51"/>
  <c r="I42" i="51"/>
  <c r="K41" i="51"/>
  <c r="I41" i="51"/>
  <c r="O41" i="51" s="1"/>
  <c r="K40" i="51"/>
  <c r="I40" i="51"/>
  <c r="O40" i="51" s="1"/>
  <c r="O38" i="51"/>
  <c r="K38" i="51"/>
  <c r="O37" i="51"/>
  <c r="M35" i="51"/>
  <c r="K35" i="51"/>
  <c r="O34" i="51"/>
  <c r="E34" i="51"/>
  <c r="O32" i="51"/>
  <c r="I32" i="51"/>
  <c r="G31" i="51"/>
  <c r="O31" i="51" s="1"/>
  <c r="O30" i="51"/>
  <c r="I30" i="51"/>
  <c r="G29" i="51"/>
  <c r="O29" i="51" s="1"/>
  <c r="O28" i="51"/>
  <c r="O27" i="51"/>
  <c r="N27" i="51"/>
  <c r="M27" i="51"/>
  <c r="L27" i="51"/>
  <c r="K27" i="51"/>
  <c r="B27" i="51"/>
  <c r="O20" i="51"/>
  <c r="G20" i="51"/>
  <c r="B20" i="51"/>
  <c r="I18" i="51"/>
  <c r="G17" i="51"/>
  <c r="O16" i="51"/>
  <c r="Y15" i="51"/>
  <c r="X15" i="51"/>
  <c r="W15" i="51"/>
  <c r="V15" i="51"/>
  <c r="O15" i="51"/>
  <c r="I15" i="51"/>
  <c r="Y14" i="51"/>
  <c r="X14" i="51"/>
  <c r="W14" i="51"/>
  <c r="V14" i="51"/>
  <c r="O14" i="51"/>
  <c r="Y13" i="51"/>
  <c r="X13" i="51"/>
  <c r="W13" i="51"/>
  <c r="V13" i="51"/>
  <c r="O13" i="51"/>
  <c r="N13" i="51"/>
  <c r="M13" i="51"/>
  <c r="L13" i="51"/>
  <c r="K13" i="51"/>
  <c r="B13" i="51"/>
  <c r="Y12" i="51"/>
  <c r="X12" i="51"/>
  <c r="W12" i="51"/>
  <c r="V12" i="51"/>
  <c r="O12" i="51"/>
  <c r="Y11" i="51"/>
  <c r="X11" i="51"/>
  <c r="W11" i="51"/>
  <c r="V11" i="51"/>
  <c r="O11" i="51"/>
  <c r="Y10" i="51"/>
  <c r="X10" i="51"/>
  <c r="W10" i="51"/>
  <c r="V10" i="51"/>
  <c r="O10" i="51"/>
  <c r="M10" i="51"/>
  <c r="K10" i="51"/>
  <c r="E10" i="51"/>
  <c r="B10" i="51"/>
  <c r="Y9" i="51"/>
  <c r="X9" i="51"/>
  <c r="W9" i="51"/>
  <c r="V9" i="51"/>
  <c r="C9" i="51"/>
  <c r="Y8" i="51"/>
  <c r="X8" i="51"/>
  <c r="W8" i="51"/>
  <c r="V8" i="51"/>
  <c r="Y7" i="51"/>
  <c r="X7" i="51"/>
  <c r="W7" i="51"/>
  <c r="V7" i="51"/>
  <c r="Y6" i="51"/>
  <c r="X6" i="51"/>
  <c r="W6" i="51"/>
  <c r="V6" i="51"/>
  <c r="N6" i="51"/>
  <c r="Y5" i="51"/>
  <c r="X5" i="51"/>
  <c r="W5" i="51"/>
  <c r="V5" i="51"/>
  <c r="N5" i="51"/>
  <c r="E5" i="51"/>
  <c r="Y4" i="51"/>
  <c r="X4" i="51"/>
  <c r="W4" i="51"/>
  <c r="V4" i="51"/>
  <c r="N4" i="51"/>
  <c r="M4" i="51"/>
  <c r="Y3" i="51"/>
  <c r="X3" i="51"/>
  <c r="W3" i="51"/>
  <c r="V3" i="51"/>
  <c r="M3" i="51"/>
  <c r="J3" i="51"/>
  <c r="M2" i="51"/>
  <c r="J2" i="51"/>
  <c r="H2" i="51"/>
  <c r="H3" i="51"/>
  <c r="I1" i="51"/>
  <c r="E1" i="51"/>
  <c r="O43" i="43"/>
  <c r="K43" i="43"/>
  <c r="I43" i="43"/>
  <c r="K42" i="43"/>
  <c r="I42" i="43"/>
  <c r="O42" i="43" s="1"/>
  <c r="K41" i="43"/>
  <c r="I41" i="43"/>
  <c r="O41" i="43" s="1"/>
  <c r="O40" i="43"/>
  <c r="K40" i="43"/>
  <c r="I40" i="43"/>
  <c r="O39" i="43"/>
  <c r="K39" i="43"/>
  <c r="I39" i="43"/>
  <c r="O37" i="43"/>
  <c r="K37" i="43"/>
  <c r="O36" i="43"/>
  <c r="M34" i="43"/>
  <c r="K34" i="43"/>
  <c r="O33" i="43"/>
  <c r="E33" i="43"/>
  <c r="I32" i="43"/>
  <c r="O32" i="43"/>
  <c r="O31" i="43"/>
  <c r="O30" i="43"/>
  <c r="I29" i="43"/>
  <c r="O29" i="43"/>
  <c r="O28" i="43"/>
  <c r="O27" i="43"/>
  <c r="N27" i="43"/>
  <c r="M27" i="43"/>
  <c r="L27" i="43"/>
  <c r="K27" i="43"/>
  <c r="B27" i="43"/>
  <c r="B21" i="43"/>
  <c r="O17" i="43"/>
  <c r="G17" i="43"/>
  <c r="O16" i="43"/>
  <c r="Y15" i="43"/>
  <c r="X15" i="43"/>
  <c r="W15" i="43"/>
  <c r="V15" i="43"/>
  <c r="O15" i="43"/>
  <c r="I15" i="43"/>
  <c r="Y14" i="43"/>
  <c r="X14" i="43"/>
  <c r="W14" i="43"/>
  <c r="V14" i="43"/>
  <c r="O14" i="43"/>
  <c r="Y13" i="43"/>
  <c r="X13" i="43"/>
  <c r="W13" i="43"/>
  <c r="V13" i="43"/>
  <c r="O13" i="43"/>
  <c r="N13" i="43"/>
  <c r="M13" i="43"/>
  <c r="L13" i="43"/>
  <c r="K13" i="43"/>
  <c r="B13" i="43"/>
  <c r="Y12" i="43"/>
  <c r="X12" i="43"/>
  <c r="W12" i="43"/>
  <c r="V12" i="43"/>
  <c r="O12" i="43"/>
  <c r="Y11" i="43"/>
  <c r="X11" i="43"/>
  <c r="W11" i="43"/>
  <c r="V11" i="43"/>
  <c r="O11" i="43"/>
  <c r="Y10" i="43"/>
  <c r="X10" i="43"/>
  <c r="W10" i="43"/>
  <c r="V10" i="43"/>
  <c r="O10" i="43"/>
  <c r="M10" i="43"/>
  <c r="K10" i="43"/>
  <c r="E10" i="43"/>
  <c r="B10" i="43"/>
  <c r="Y9" i="43"/>
  <c r="X9" i="43"/>
  <c r="W9" i="43"/>
  <c r="V9" i="43"/>
  <c r="Y8" i="43"/>
  <c r="X8" i="43"/>
  <c r="W8" i="43"/>
  <c r="V8" i="43"/>
  <c r="Y7" i="43"/>
  <c r="X7" i="43"/>
  <c r="W7" i="43"/>
  <c r="V7" i="43"/>
  <c r="Y6" i="43"/>
  <c r="X6" i="43"/>
  <c r="W6" i="43"/>
  <c r="V6" i="43"/>
  <c r="N6" i="43"/>
  <c r="Y5" i="43"/>
  <c r="X5" i="43"/>
  <c r="W5" i="43"/>
  <c r="V5" i="43"/>
  <c r="N5" i="43"/>
  <c r="E5" i="43"/>
  <c r="Y4" i="43"/>
  <c r="X4" i="43"/>
  <c r="W4" i="43"/>
  <c r="V4" i="43"/>
  <c r="N4" i="43"/>
  <c r="M4" i="43"/>
  <c r="Y3" i="43"/>
  <c r="X3" i="43"/>
  <c r="W3" i="43"/>
  <c r="V3" i="43"/>
  <c r="N3" i="43"/>
  <c r="M3" i="43"/>
  <c r="M2" i="43"/>
  <c r="J2" i="43"/>
  <c r="H2" i="43"/>
  <c r="H3" i="43"/>
  <c r="H4" i="43"/>
  <c r="H5" i="43"/>
  <c r="H6" i="43"/>
  <c r="I1" i="43"/>
  <c r="E1" i="43"/>
  <c r="C9" i="43"/>
  <c r="K41" i="44"/>
  <c r="I41" i="44"/>
  <c r="O41" i="44" s="1"/>
  <c r="K40" i="44"/>
  <c r="I40" i="44"/>
  <c r="O40" i="44" s="1"/>
  <c r="O39" i="44"/>
  <c r="K39" i="44"/>
  <c r="I39" i="44"/>
  <c r="O38" i="44"/>
  <c r="K38" i="44"/>
  <c r="I38" i="44"/>
  <c r="K37" i="44"/>
  <c r="I37" i="44"/>
  <c r="O37" i="44" s="1"/>
  <c r="O35" i="44"/>
  <c r="K35" i="44"/>
  <c r="O34" i="44"/>
  <c r="M32" i="44"/>
  <c r="K32" i="44"/>
  <c r="O31" i="44"/>
  <c r="E31" i="44"/>
  <c r="O30" i="44"/>
  <c r="I30" i="44"/>
  <c r="O29" i="44"/>
  <c r="O28" i="44"/>
  <c r="O27" i="44"/>
  <c r="I27" i="44"/>
  <c r="O26" i="44"/>
  <c r="O25" i="44"/>
  <c r="N25" i="44"/>
  <c r="M25" i="44"/>
  <c r="L25" i="44"/>
  <c r="K25" i="44"/>
  <c r="B25" i="44"/>
  <c r="O24" i="44"/>
  <c r="O23" i="44"/>
  <c r="O22" i="44"/>
  <c r="B22" i="44"/>
  <c r="O21" i="44"/>
  <c r="O20" i="44"/>
  <c r="O19" i="44"/>
  <c r="I19" i="44"/>
  <c r="O18" i="44"/>
  <c r="G17" i="44"/>
  <c r="O17" i="44" s="1"/>
  <c r="I16" i="44"/>
  <c r="O16" i="44"/>
  <c r="Y15" i="44"/>
  <c r="X15" i="44"/>
  <c r="W15" i="44"/>
  <c r="V15" i="44"/>
  <c r="O15" i="44"/>
  <c r="Y14" i="44"/>
  <c r="X14" i="44"/>
  <c r="W14" i="44"/>
  <c r="V14" i="44"/>
  <c r="O14" i="44"/>
  <c r="N14" i="44"/>
  <c r="M14" i="44"/>
  <c r="L14" i="44"/>
  <c r="K14" i="44"/>
  <c r="B14" i="44"/>
  <c r="Y13" i="44"/>
  <c r="X13" i="44"/>
  <c r="W13" i="44"/>
  <c r="V13" i="44"/>
  <c r="O13" i="44"/>
  <c r="Y12" i="44"/>
  <c r="X12" i="44"/>
  <c r="W12" i="44"/>
  <c r="V12" i="44"/>
  <c r="O12" i="44"/>
  <c r="Y11" i="44"/>
  <c r="X11" i="44"/>
  <c r="W11" i="44"/>
  <c r="V11" i="44"/>
  <c r="O11" i="44"/>
  <c r="Y10" i="44"/>
  <c r="X10" i="44"/>
  <c r="W10" i="44"/>
  <c r="V10" i="44"/>
  <c r="O10" i="44"/>
  <c r="M10" i="44"/>
  <c r="K10" i="44"/>
  <c r="E10" i="44"/>
  <c r="B10" i="44"/>
  <c r="Y9" i="44"/>
  <c r="X9" i="44"/>
  <c r="W9" i="44"/>
  <c r="V9" i="44"/>
  <c r="Y8" i="44"/>
  <c r="X8" i="44"/>
  <c r="W8" i="44"/>
  <c r="V8" i="44"/>
  <c r="Y7" i="44"/>
  <c r="X7" i="44"/>
  <c r="W7" i="44"/>
  <c r="V7" i="44"/>
  <c r="Y6" i="44"/>
  <c r="X6" i="44"/>
  <c r="W6" i="44"/>
  <c r="V6" i="44"/>
  <c r="N6" i="44"/>
  <c r="M6" i="44"/>
  <c r="H6" i="44"/>
  <c r="Y5" i="44"/>
  <c r="X5" i="44"/>
  <c r="W5" i="44"/>
  <c r="V5" i="44"/>
  <c r="N5" i="44"/>
  <c r="M5" i="44"/>
  <c r="H5" i="44"/>
  <c r="E5" i="44"/>
  <c r="Y4" i="44"/>
  <c r="X4" i="44"/>
  <c r="W4" i="44"/>
  <c r="V4" i="44"/>
  <c r="N4" i="44"/>
  <c r="M4" i="44"/>
  <c r="L4" i="44"/>
  <c r="H4" i="44"/>
  <c r="Y3" i="44"/>
  <c r="X3" i="44"/>
  <c r="W3" i="44"/>
  <c r="V3" i="44"/>
  <c r="N3" i="44"/>
  <c r="M3" i="44"/>
  <c r="L3" i="44"/>
  <c r="H3" i="44"/>
  <c r="O2" i="44"/>
  <c r="N2" i="44"/>
  <c r="M2" i="44"/>
  <c r="L2" i="44"/>
  <c r="H2" i="44"/>
  <c r="I1" i="44"/>
  <c r="E1" i="44"/>
  <c r="C9" i="44"/>
  <c r="K41" i="53"/>
  <c r="I41" i="53"/>
  <c r="O41" i="53" s="1"/>
  <c r="K40" i="53"/>
  <c r="I40" i="53"/>
  <c r="O40" i="53" s="1"/>
  <c r="O39" i="53"/>
  <c r="K39" i="53"/>
  <c r="I39" i="53"/>
  <c r="O38" i="53"/>
  <c r="K38" i="53"/>
  <c r="I38" i="53"/>
  <c r="K37" i="53"/>
  <c r="I37" i="53"/>
  <c r="O37" i="53" s="1"/>
  <c r="O35" i="53"/>
  <c r="K35" i="53"/>
  <c r="O34" i="53"/>
  <c r="M32" i="53"/>
  <c r="K32" i="53"/>
  <c r="O31" i="53"/>
  <c r="I30" i="53"/>
  <c r="O30" i="53"/>
  <c r="O29" i="53"/>
  <c r="G28" i="53"/>
  <c r="O28" i="53" s="1"/>
  <c r="I27" i="53"/>
  <c r="O27" i="53"/>
  <c r="O26" i="53"/>
  <c r="O25" i="53"/>
  <c r="N25" i="53"/>
  <c r="M25" i="53"/>
  <c r="L25" i="53"/>
  <c r="K25" i="53"/>
  <c r="B25" i="53"/>
  <c r="O24" i="53"/>
  <c r="O23" i="53"/>
  <c r="I23" i="53"/>
  <c r="O22" i="53"/>
  <c r="O21" i="53"/>
  <c r="I20" i="53"/>
  <c r="O20" i="53"/>
  <c r="G19" i="53"/>
  <c r="O18" i="53"/>
  <c r="O17" i="53"/>
  <c r="N17" i="53"/>
  <c r="M17" i="53"/>
  <c r="L17" i="53"/>
  <c r="K17" i="53"/>
  <c r="B17" i="53"/>
  <c r="O16" i="53"/>
  <c r="Y15" i="53"/>
  <c r="X15" i="53"/>
  <c r="W15" i="53"/>
  <c r="V15" i="53"/>
  <c r="O15" i="53"/>
  <c r="Y14" i="53"/>
  <c r="X14" i="53"/>
  <c r="W14" i="53"/>
  <c r="V14" i="53"/>
  <c r="O14" i="53"/>
  <c r="I14" i="53"/>
  <c r="Y13" i="53"/>
  <c r="X13" i="53"/>
  <c r="W13" i="53"/>
  <c r="V13" i="53"/>
  <c r="O13" i="53"/>
  <c r="G13" i="53"/>
  <c r="Y12" i="53"/>
  <c r="X12" i="53"/>
  <c r="W12" i="53"/>
  <c r="V12" i="53"/>
  <c r="O12" i="53"/>
  <c r="Y11" i="53"/>
  <c r="X11" i="53"/>
  <c r="W11" i="53"/>
  <c r="V11" i="53"/>
  <c r="O11" i="53"/>
  <c r="Y10" i="53"/>
  <c r="X10" i="53"/>
  <c r="W10" i="53"/>
  <c r="V10" i="53"/>
  <c r="O10" i="53"/>
  <c r="B10" i="53"/>
  <c r="Y9" i="53"/>
  <c r="X9" i="53"/>
  <c r="W9" i="53"/>
  <c r="V9" i="53"/>
  <c r="Y8" i="53"/>
  <c r="X8" i="53"/>
  <c r="W8" i="53"/>
  <c r="V8" i="53"/>
  <c r="Y7" i="53"/>
  <c r="X7" i="53"/>
  <c r="W7" i="53"/>
  <c r="V7" i="53"/>
  <c r="Y6" i="53"/>
  <c r="X6" i="53"/>
  <c r="W6" i="53"/>
  <c r="V6" i="53"/>
  <c r="N6" i="53"/>
  <c r="Y5" i="53"/>
  <c r="X5" i="53"/>
  <c r="W5" i="53"/>
  <c r="V5" i="53"/>
  <c r="N5" i="53"/>
  <c r="E5" i="53"/>
  <c r="Y4" i="53"/>
  <c r="X4" i="53"/>
  <c r="W4" i="53"/>
  <c r="V4" i="53"/>
  <c r="N4" i="53"/>
  <c r="Y3" i="53"/>
  <c r="X3" i="53"/>
  <c r="W3" i="53"/>
  <c r="V3" i="53"/>
  <c r="M3" i="53"/>
  <c r="J3" i="53"/>
  <c r="H3" i="53"/>
  <c r="M2" i="53"/>
  <c r="J2" i="53"/>
  <c r="H2" i="53"/>
  <c r="E1" i="53"/>
  <c r="C9" i="53"/>
  <c r="K46" i="59"/>
  <c r="I46" i="59"/>
  <c r="O46" i="59" s="1"/>
  <c r="K45" i="59"/>
  <c r="I45" i="59"/>
  <c r="O45" i="59" s="1"/>
  <c r="O44" i="59"/>
  <c r="K44" i="59"/>
  <c r="I44" i="59"/>
  <c r="O43" i="59"/>
  <c r="K43" i="59"/>
  <c r="I43" i="59"/>
  <c r="K42" i="59"/>
  <c r="I42" i="59"/>
  <c r="O42" i="59" s="1"/>
  <c r="O40" i="59"/>
  <c r="K40" i="59"/>
  <c r="O39" i="59"/>
  <c r="M37" i="59"/>
  <c r="K37" i="59"/>
  <c r="O36" i="59"/>
  <c r="E36" i="59"/>
  <c r="O35" i="59"/>
  <c r="I35" i="59"/>
  <c r="O34" i="59"/>
  <c r="I34" i="59"/>
  <c r="G33" i="59"/>
  <c r="O33" i="59" s="1"/>
  <c r="O32" i="59"/>
  <c r="I31" i="59"/>
  <c r="O31" i="59"/>
  <c r="O30" i="59"/>
  <c r="O29" i="59"/>
  <c r="N29" i="59"/>
  <c r="M29" i="59"/>
  <c r="L29" i="59"/>
  <c r="K29" i="59"/>
  <c r="B29" i="59"/>
  <c r="O28" i="59"/>
  <c r="O27" i="59"/>
  <c r="O26" i="59"/>
  <c r="O25" i="59"/>
  <c r="O24" i="59"/>
  <c r="O23" i="59"/>
  <c r="O22" i="59"/>
  <c r="B22" i="59"/>
  <c r="O21" i="59"/>
  <c r="O20" i="59"/>
  <c r="I19" i="59"/>
  <c r="O19" i="59"/>
  <c r="G18" i="59"/>
  <c r="O18" i="59" s="1"/>
  <c r="O17" i="59"/>
  <c r="G16" i="59"/>
  <c r="O16" i="59" s="1"/>
  <c r="Y15" i="59"/>
  <c r="X15" i="59"/>
  <c r="W15" i="59"/>
  <c r="V15" i="59"/>
  <c r="O15" i="59"/>
  <c r="I15" i="59"/>
  <c r="Y14" i="59"/>
  <c r="X14" i="59"/>
  <c r="W14" i="59"/>
  <c r="V14" i="59"/>
  <c r="O14" i="59"/>
  <c r="Y13" i="59"/>
  <c r="X13" i="59"/>
  <c r="W13" i="59"/>
  <c r="V13" i="59"/>
  <c r="O13" i="59"/>
  <c r="N13" i="59"/>
  <c r="M13" i="59"/>
  <c r="L13" i="59"/>
  <c r="K13" i="59"/>
  <c r="B13" i="59"/>
  <c r="Y12" i="59"/>
  <c r="X12" i="59"/>
  <c r="W12" i="59"/>
  <c r="V12" i="59"/>
  <c r="O12" i="59"/>
  <c r="Y11" i="59"/>
  <c r="X11" i="59"/>
  <c r="W11" i="59"/>
  <c r="V11" i="59"/>
  <c r="O11" i="59"/>
  <c r="Y10" i="59"/>
  <c r="X10" i="59"/>
  <c r="W10" i="59"/>
  <c r="V10" i="59"/>
  <c r="O10" i="59"/>
  <c r="M10" i="59"/>
  <c r="K10" i="59"/>
  <c r="E10" i="59"/>
  <c r="B10" i="59"/>
  <c r="Y9" i="59"/>
  <c r="X9" i="59"/>
  <c r="W9" i="59"/>
  <c r="V9" i="59"/>
  <c r="Y8" i="59"/>
  <c r="X8" i="59"/>
  <c r="W8" i="59"/>
  <c r="V8" i="59"/>
  <c r="Y7" i="59"/>
  <c r="X7" i="59"/>
  <c r="W7" i="59"/>
  <c r="V7" i="59"/>
  <c r="Y6" i="59"/>
  <c r="X6" i="59"/>
  <c r="W6" i="59"/>
  <c r="V6" i="59"/>
  <c r="N6" i="59"/>
  <c r="Y5" i="59"/>
  <c r="X5" i="59"/>
  <c r="W5" i="59"/>
  <c r="V5" i="59"/>
  <c r="N5" i="59"/>
  <c r="E5" i="59"/>
  <c r="Y4" i="59"/>
  <c r="X4" i="59"/>
  <c r="W4" i="59"/>
  <c r="V4" i="59"/>
  <c r="N4" i="59"/>
  <c r="H4" i="59"/>
  <c r="H5" i="59"/>
  <c r="H6" i="59"/>
  <c r="Y3" i="59"/>
  <c r="X3" i="59"/>
  <c r="W3" i="59"/>
  <c r="V3" i="59"/>
  <c r="M3" i="59"/>
  <c r="J3" i="59"/>
  <c r="H3" i="59"/>
  <c r="M2" i="59"/>
  <c r="J2" i="59"/>
  <c r="H2" i="59"/>
  <c r="I1" i="59"/>
  <c r="E1" i="59"/>
  <c r="C9" i="59"/>
  <c r="O44" i="58"/>
  <c r="I44" i="58"/>
  <c r="I43" i="58"/>
  <c r="O43" i="58" s="1"/>
  <c r="O42" i="58"/>
  <c r="I42" i="58"/>
  <c r="I41" i="58"/>
  <c r="O41" i="58" s="1"/>
  <c r="O40" i="58"/>
  <c r="I40" i="58"/>
  <c r="O38" i="58"/>
  <c r="K38" i="58"/>
  <c r="O37" i="58"/>
  <c r="M35" i="58"/>
  <c r="K35" i="58"/>
  <c r="O34" i="58"/>
  <c r="E34" i="58"/>
  <c r="I33" i="58"/>
  <c r="O33" i="58"/>
  <c r="O32" i="58"/>
  <c r="O31" i="58"/>
  <c r="O30" i="58"/>
  <c r="O29" i="58"/>
  <c r="O28" i="58"/>
  <c r="N28" i="58"/>
  <c r="M28" i="58"/>
  <c r="L28" i="58"/>
  <c r="K28" i="58"/>
  <c r="B28" i="58"/>
  <c r="O27" i="58"/>
  <c r="O26" i="58"/>
  <c r="O25" i="58"/>
  <c r="O24" i="58"/>
  <c r="O23" i="58"/>
  <c r="I23" i="58"/>
  <c r="O22" i="58"/>
  <c r="O21" i="58"/>
  <c r="N21" i="58"/>
  <c r="M21" i="58"/>
  <c r="L21" i="58"/>
  <c r="K21" i="58"/>
  <c r="B21" i="58"/>
  <c r="O20" i="58"/>
  <c r="O19" i="58"/>
  <c r="O18" i="58"/>
  <c r="I18" i="58"/>
  <c r="O17" i="58"/>
  <c r="G16" i="58"/>
  <c r="O16" i="58" s="1"/>
  <c r="O15" i="58"/>
  <c r="O14" i="58"/>
  <c r="O13" i="58"/>
  <c r="N13" i="58"/>
  <c r="M13" i="58"/>
  <c r="L13" i="58"/>
  <c r="K13" i="58"/>
  <c r="B13" i="58"/>
  <c r="O12" i="58"/>
  <c r="O11" i="58"/>
  <c r="O10" i="58"/>
  <c r="M10" i="58"/>
  <c r="K10" i="58"/>
  <c r="E10" i="58"/>
  <c r="B10" i="58"/>
  <c r="C9" i="58"/>
  <c r="N6" i="58"/>
  <c r="N5" i="58"/>
  <c r="E5" i="58"/>
  <c r="M4" i="58"/>
  <c r="M3" i="58"/>
  <c r="H3" i="58"/>
  <c r="M2" i="58"/>
  <c r="J2" i="58"/>
  <c r="J4" i="58"/>
  <c r="H2" i="58"/>
  <c r="I1" i="58"/>
  <c r="E1" i="58"/>
  <c r="O44" i="47"/>
  <c r="K44" i="47"/>
  <c r="I44" i="47"/>
  <c r="K43" i="47"/>
  <c r="I43" i="47"/>
  <c r="O43" i="47" s="1"/>
  <c r="K42" i="47"/>
  <c r="I42" i="47"/>
  <c r="O42" i="47" s="1"/>
  <c r="O41" i="47"/>
  <c r="K41" i="47"/>
  <c r="I41" i="47"/>
  <c r="O40" i="47"/>
  <c r="K40" i="47"/>
  <c r="I40" i="47"/>
  <c r="O38" i="47"/>
  <c r="K38" i="47"/>
  <c r="O37" i="47"/>
  <c r="M35" i="47"/>
  <c r="K35" i="47"/>
  <c r="O34" i="47"/>
  <c r="O33" i="47"/>
  <c r="I33" i="47"/>
  <c r="O32" i="47"/>
  <c r="O31" i="47"/>
  <c r="I31" i="47"/>
  <c r="G30" i="47"/>
  <c r="O30" i="47" s="1"/>
  <c r="O29" i="47"/>
  <c r="N29" i="47"/>
  <c r="M29" i="47"/>
  <c r="L29" i="47"/>
  <c r="K29" i="47"/>
  <c r="B29" i="47"/>
  <c r="O28" i="47"/>
  <c r="O27" i="47"/>
  <c r="I27" i="47"/>
  <c r="O26" i="47"/>
  <c r="G26" i="47"/>
  <c r="G25" i="47"/>
  <c r="O25" i="47" s="1"/>
  <c r="I24" i="47"/>
  <c r="O24" i="47"/>
  <c r="O23" i="47"/>
  <c r="O22" i="47"/>
  <c r="N22" i="47"/>
  <c r="M22" i="47"/>
  <c r="L22" i="47"/>
  <c r="K22" i="47"/>
  <c r="B22" i="47"/>
  <c r="O21" i="47"/>
  <c r="O20" i="47"/>
  <c r="I19" i="47"/>
  <c r="O19" i="47"/>
  <c r="G18" i="47"/>
  <c r="O18" i="47"/>
  <c r="O17" i="47"/>
  <c r="O16" i="47"/>
  <c r="I16" i="47"/>
  <c r="Y15" i="47"/>
  <c r="X15" i="47"/>
  <c r="W15" i="47"/>
  <c r="V15" i="47"/>
  <c r="O15" i="47"/>
  <c r="Y14" i="47"/>
  <c r="X14" i="47"/>
  <c r="W14" i="47"/>
  <c r="V14" i="47"/>
  <c r="O14" i="47"/>
  <c r="Y13" i="47"/>
  <c r="X13" i="47"/>
  <c r="W13" i="47"/>
  <c r="V13" i="47"/>
  <c r="O13" i="47"/>
  <c r="N13" i="47"/>
  <c r="M13" i="47"/>
  <c r="L13" i="47"/>
  <c r="K13" i="47"/>
  <c r="B13" i="47"/>
  <c r="Y12" i="47"/>
  <c r="X12" i="47"/>
  <c r="W12" i="47"/>
  <c r="V12" i="47"/>
  <c r="O12" i="47"/>
  <c r="Y11" i="47"/>
  <c r="X11" i="47"/>
  <c r="W11" i="47"/>
  <c r="V11" i="47"/>
  <c r="O11" i="47"/>
  <c r="Y10" i="47"/>
  <c r="X10" i="47"/>
  <c r="W10" i="47"/>
  <c r="V10" i="47"/>
  <c r="O10" i="47"/>
  <c r="M10" i="47"/>
  <c r="K10" i="47"/>
  <c r="B10" i="47"/>
  <c r="Y9" i="47"/>
  <c r="X9" i="47"/>
  <c r="W9" i="47"/>
  <c r="V9" i="47"/>
  <c r="Y8" i="47"/>
  <c r="X8" i="47"/>
  <c r="W8" i="47"/>
  <c r="V8" i="47"/>
  <c r="Y7" i="47"/>
  <c r="X7" i="47"/>
  <c r="W7" i="47"/>
  <c r="V7" i="47"/>
  <c r="Y6" i="47"/>
  <c r="X6" i="47"/>
  <c r="W6" i="47"/>
  <c r="V6" i="47"/>
  <c r="N6" i="47"/>
  <c r="Y5" i="47"/>
  <c r="X5" i="47"/>
  <c r="W5" i="47"/>
  <c r="V5" i="47"/>
  <c r="N5" i="47"/>
  <c r="E5" i="47"/>
  <c r="Y4" i="47"/>
  <c r="X4" i="47"/>
  <c r="W4" i="47"/>
  <c r="V4" i="47"/>
  <c r="M4" i="47"/>
  <c r="J4" i="47"/>
  <c r="Y3" i="47"/>
  <c r="X3" i="47"/>
  <c r="W3" i="47"/>
  <c r="L2" i="47" s="1"/>
  <c r="N2" i="47" s="1"/>
  <c r="V3" i="47"/>
  <c r="M3" i="47"/>
  <c r="J3" i="47"/>
  <c r="M2" i="47"/>
  <c r="J2" i="47"/>
  <c r="H2" i="47"/>
  <c r="H3" i="47"/>
  <c r="I1" i="47"/>
  <c r="E1" i="47"/>
  <c r="C9" i="47"/>
  <c r="O44" i="38"/>
  <c r="K44" i="38"/>
  <c r="I44" i="38"/>
  <c r="O43" i="38"/>
  <c r="K43" i="38"/>
  <c r="I43" i="38"/>
  <c r="K42" i="38"/>
  <c r="I42" i="38"/>
  <c r="O42" i="38" s="1"/>
  <c r="K41" i="38"/>
  <c r="I41" i="38"/>
  <c r="O41" i="38" s="1"/>
  <c r="O40" i="38"/>
  <c r="K40" i="38"/>
  <c r="I40" i="38"/>
  <c r="O38" i="38"/>
  <c r="K38" i="38"/>
  <c r="O37" i="38"/>
  <c r="M35" i="38"/>
  <c r="K35" i="38"/>
  <c r="O34" i="38"/>
  <c r="E34" i="38"/>
  <c r="I33" i="38"/>
  <c r="O33" i="38"/>
  <c r="O32" i="38"/>
  <c r="O31" i="38"/>
  <c r="O30" i="38"/>
  <c r="I30" i="38"/>
  <c r="O29" i="38"/>
  <c r="O28" i="38"/>
  <c r="N28" i="38"/>
  <c r="M28" i="38"/>
  <c r="L28" i="38"/>
  <c r="K28" i="38"/>
  <c r="B28" i="38"/>
  <c r="O27" i="38"/>
  <c r="O26" i="38"/>
  <c r="O25" i="38"/>
  <c r="O24" i="38"/>
  <c r="O23" i="38"/>
  <c r="O22" i="38"/>
  <c r="O21" i="38"/>
  <c r="B21" i="38"/>
  <c r="O20" i="38"/>
  <c r="O19" i="38"/>
  <c r="O18" i="38"/>
  <c r="I18" i="38"/>
  <c r="O17" i="38"/>
  <c r="G16" i="38"/>
  <c r="O16" i="38" s="1"/>
  <c r="Y15" i="38"/>
  <c r="X15" i="38"/>
  <c r="W15" i="38"/>
  <c r="V15" i="38"/>
  <c r="O15" i="38"/>
  <c r="I15" i="38"/>
  <c r="Y14" i="38"/>
  <c r="X14" i="38"/>
  <c r="W14" i="38"/>
  <c r="V14" i="38"/>
  <c r="O14" i="38"/>
  <c r="Y13" i="38"/>
  <c r="X13" i="38"/>
  <c r="W13" i="38"/>
  <c r="V13" i="38"/>
  <c r="O13" i="38"/>
  <c r="N13" i="38"/>
  <c r="M13" i="38"/>
  <c r="L13" i="38"/>
  <c r="K13" i="38"/>
  <c r="B13" i="38"/>
  <c r="Y12" i="38"/>
  <c r="X12" i="38"/>
  <c r="W12" i="38"/>
  <c r="V12" i="38"/>
  <c r="O12" i="38"/>
  <c r="Y11" i="38"/>
  <c r="X11" i="38"/>
  <c r="W11" i="38"/>
  <c r="V11" i="38"/>
  <c r="O11" i="38"/>
  <c r="Y10" i="38"/>
  <c r="X10" i="38"/>
  <c r="W10" i="38"/>
  <c r="V10" i="38"/>
  <c r="O10" i="38"/>
  <c r="M10" i="38"/>
  <c r="K10" i="38"/>
  <c r="E10" i="38"/>
  <c r="B10" i="38"/>
  <c r="Y9" i="38"/>
  <c r="X9" i="38"/>
  <c r="W9" i="38"/>
  <c r="V9" i="38"/>
  <c r="C9" i="38"/>
  <c r="Y8" i="38"/>
  <c r="X8" i="38"/>
  <c r="W8" i="38"/>
  <c r="V8" i="38"/>
  <c r="Y7" i="38"/>
  <c r="X7" i="38"/>
  <c r="W7" i="38"/>
  <c r="V7" i="38"/>
  <c r="Y6" i="38"/>
  <c r="X6" i="38"/>
  <c r="W6" i="38"/>
  <c r="V6" i="38"/>
  <c r="N6" i="38"/>
  <c r="Y5" i="38"/>
  <c r="X5" i="38"/>
  <c r="W5" i="38"/>
  <c r="V5" i="38"/>
  <c r="N5" i="38"/>
  <c r="E5" i="38"/>
  <c r="Y4" i="38"/>
  <c r="X4" i="38"/>
  <c r="W4" i="38"/>
  <c r="V4" i="38"/>
  <c r="M4" i="38"/>
  <c r="J4" i="38"/>
  <c r="Y3" i="38"/>
  <c r="X3" i="38"/>
  <c r="W3" i="38"/>
  <c r="V3" i="38"/>
  <c r="M3" i="38"/>
  <c r="J3" i="38"/>
  <c r="M2" i="38"/>
  <c r="J2" i="38"/>
  <c r="H2" i="38"/>
  <c r="H3" i="38"/>
  <c r="I1" i="38"/>
  <c r="E1" i="38"/>
  <c r="O38" i="32"/>
  <c r="K38" i="32"/>
  <c r="I38" i="32"/>
  <c r="O37" i="32"/>
  <c r="K37" i="32"/>
  <c r="I37" i="32"/>
  <c r="K36" i="32"/>
  <c r="I36" i="32"/>
  <c r="O36" i="32" s="1"/>
  <c r="K35" i="32"/>
  <c r="I35" i="32"/>
  <c r="O35" i="32" s="1"/>
  <c r="O34" i="32"/>
  <c r="K34" i="32"/>
  <c r="I34" i="32"/>
  <c r="O32" i="32"/>
  <c r="K32" i="32"/>
  <c r="O31" i="32"/>
  <c r="M29" i="32"/>
  <c r="K29" i="32"/>
  <c r="O28" i="32"/>
  <c r="O27" i="32"/>
  <c r="I27" i="32"/>
  <c r="O26" i="32"/>
  <c r="G25" i="32"/>
  <c r="O25" i="32" s="1"/>
  <c r="I24" i="32"/>
  <c r="O24" i="32"/>
  <c r="O23" i="32"/>
  <c r="N23" i="32"/>
  <c r="M23" i="32"/>
  <c r="L23" i="32"/>
  <c r="K23" i="32"/>
  <c r="B23" i="32"/>
  <c r="O22" i="32"/>
  <c r="O21" i="32"/>
  <c r="I21" i="32"/>
  <c r="O20" i="32"/>
  <c r="G19" i="32"/>
  <c r="O19" i="32" s="1"/>
  <c r="O18" i="32"/>
  <c r="I18" i="32"/>
  <c r="O17" i="32"/>
  <c r="O16" i="32"/>
  <c r="N16" i="32"/>
  <c r="M16" i="32"/>
  <c r="L16" i="32"/>
  <c r="K16" i="32"/>
  <c r="B16" i="32"/>
  <c r="Y15" i="32"/>
  <c r="X15" i="32"/>
  <c r="W15" i="32"/>
  <c r="V15" i="32"/>
  <c r="O15" i="32"/>
  <c r="Y14" i="32"/>
  <c r="X14" i="32"/>
  <c r="W14" i="32"/>
  <c r="V14" i="32"/>
  <c r="O14" i="32"/>
  <c r="Y13" i="32"/>
  <c r="X13" i="32"/>
  <c r="W13" i="32"/>
  <c r="V13" i="32"/>
  <c r="O13" i="32"/>
  <c r="I13" i="32"/>
  <c r="Y12" i="32"/>
  <c r="X12" i="32"/>
  <c r="W12" i="32"/>
  <c r="V12" i="32"/>
  <c r="O12" i="32"/>
  <c r="Y11" i="32"/>
  <c r="X11" i="32"/>
  <c r="W11" i="32"/>
  <c r="V11" i="32"/>
  <c r="O11" i="32"/>
  <c r="Y10" i="32"/>
  <c r="X10" i="32"/>
  <c r="W10" i="32"/>
  <c r="V10" i="32"/>
  <c r="O10" i="32"/>
  <c r="M10" i="32"/>
  <c r="K10" i="32"/>
  <c r="B10" i="32"/>
  <c r="Y9" i="32"/>
  <c r="X9" i="32"/>
  <c r="W9" i="32"/>
  <c r="V9" i="32"/>
  <c r="Y8" i="32"/>
  <c r="X8" i="32"/>
  <c r="W8" i="32"/>
  <c r="V8" i="32"/>
  <c r="Y7" i="32"/>
  <c r="X7" i="32"/>
  <c r="W7" i="32"/>
  <c r="V7" i="32"/>
  <c r="Y6" i="32"/>
  <c r="X6" i="32"/>
  <c r="W6" i="32"/>
  <c r="V6" i="32"/>
  <c r="N6" i="32"/>
  <c r="M6" i="32"/>
  <c r="H6" i="32"/>
  <c r="Y5" i="32"/>
  <c r="X5" i="32"/>
  <c r="W5" i="32"/>
  <c r="V5" i="32"/>
  <c r="N5" i="32"/>
  <c r="M5" i="32"/>
  <c r="H5" i="32"/>
  <c r="E5" i="32"/>
  <c r="Y4" i="32"/>
  <c r="X4" i="32"/>
  <c r="W4" i="32"/>
  <c r="V4" i="32"/>
  <c r="N4" i="32"/>
  <c r="M4" i="32"/>
  <c r="L4" i="32"/>
  <c r="H4" i="32"/>
  <c r="Y3" i="32"/>
  <c r="X3" i="32"/>
  <c r="W3" i="32"/>
  <c r="V3" i="32"/>
  <c r="N3" i="32"/>
  <c r="M3" i="32"/>
  <c r="L3" i="32"/>
  <c r="H3" i="32"/>
  <c r="O2" i="32"/>
  <c r="N2" i="32"/>
  <c r="M2" i="32"/>
  <c r="L2" i="32"/>
  <c r="H2" i="32"/>
  <c r="I1" i="32"/>
  <c r="E1" i="32"/>
  <c r="C9" i="32"/>
  <c r="K43" i="48"/>
  <c r="O43" i="48" s="1"/>
  <c r="I43" i="48"/>
  <c r="K42" i="48"/>
  <c r="I42" i="48"/>
  <c r="O42" i="48" s="1"/>
  <c r="K41" i="48"/>
  <c r="I41" i="48"/>
  <c r="K40" i="48"/>
  <c r="O40" i="48" s="1"/>
  <c r="I40" i="48"/>
  <c r="O38" i="48"/>
  <c r="K38" i="48"/>
  <c r="O37" i="48"/>
  <c r="M35" i="48"/>
  <c r="O34" i="48"/>
  <c r="E34" i="48"/>
  <c r="O33" i="48"/>
  <c r="I33" i="48"/>
  <c r="O32" i="48"/>
  <c r="O31" i="48"/>
  <c r="I31" i="48"/>
  <c r="G30" i="48"/>
  <c r="O30" i="48" s="1"/>
  <c r="I29" i="48"/>
  <c r="O29" i="48"/>
  <c r="N28" i="48"/>
  <c r="M28" i="48"/>
  <c r="L28" i="48"/>
  <c r="K28" i="48"/>
  <c r="O28" i="48" s="1"/>
  <c r="B28" i="48"/>
  <c r="O27" i="48"/>
  <c r="O26" i="48"/>
  <c r="O25" i="48"/>
  <c r="I24" i="48"/>
  <c r="O24" i="48"/>
  <c r="G23" i="48"/>
  <c r="O23" i="48" s="1"/>
  <c r="N22" i="48"/>
  <c r="M22" i="48"/>
  <c r="L22" i="48"/>
  <c r="K22" i="48"/>
  <c r="O22" i="48" s="1"/>
  <c r="B22" i="48"/>
  <c r="O21" i="48"/>
  <c r="O20" i="48"/>
  <c r="O19" i="48"/>
  <c r="I19" i="48"/>
  <c r="G18" i="48"/>
  <c r="O18" i="48" s="1"/>
  <c r="O17" i="48"/>
  <c r="G16" i="48"/>
  <c r="O16" i="48" s="1"/>
  <c r="Y15" i="48"/>
  <c r="X15" i="48"/>
  <c r="W15" i="48"/>
  <c r="V15" i="48"/>
  <c r="I15" i="48"/>
  <c r="O15" i="48" s="1"/>
  <c r="Y14" i="48"/>
  <c r="X14" i="48"/>
  <c r="W14" i="48"/>
  <c r="V14" i="48"/>
  <c r="O14" i="48"/>
  <c r="Y13" i="48"/>
  <c r="X13" i="48"/>
  <c r="W13" i="48"/>
  <c r="V13" i="48"/>
  <c r="N13" i="48"/>
  <c r="M13" i="48"/>
  <c r="L13" i="48"/>
  <c r="K13" i="48"/>
  <c r="O13" i="48" s="1"/>
  <c r="B13" i="48"/>
  <c r="Y12" i="48"/>
  <c r="X12" i="48"/>
  <c r="W12" i="48"/>
  <c r="V12" i="48"/>
  <c r="O12" i="48"/>
  <c r="Y11" i="48"/>
  <c r="X11" i="48"/>
  <c r="W11" i="48"/>
  <c r="V11" i="48"/>
  <c r="O11" i="48"/>
  <c r="Y10" i="48"/>
  <c r="X10" i="48"/>
  <c r="W10" i="48"/>
  <c r="V10" i="48"/>
  <c r="O10" i="48"/>
  <c r="M10" i="48"/>
  <c r="K10" i="48"/>
  <c r="K35" i="48" s="1"/>
  <c r="E10" i="48"/>
  <c r="B10" i="48"/>
  <c r="Y9" i="48"/>
  <c r="X9" i="48"/>
  <c r="W9" i="48"/>
  <c r="V9" i="48"/>
  <c r="Y8" i="48"/>
  <c r="X8" i="48"/>
  <c r="W8" i="48"/>
  <c r="V8" i="48"/>
  <c r="Y7" i="48"/>
  <c r="X7" i="48"/>
  <c r="W7" i="48"/>
  <c r="V7" i="48"/>
  <c r="Y6" i="48"/>
  <c r="X6" i="48"/>
  <c r="W6" i="48"/>
  <c r="V6" i="48"/>
  <c r="Y5" i="48"/>
  <c r="X5" i="48"/>
  <c r="W5" i="48"/>
  <c r="V5" i="48"/>
  <c r="E5" i="48"/>
  <c r="Y4" i="48"/>
  <c r="X4" i="48"/>
  <c r="W4" i="48"/>
  <c r="V4" i="48"/>
  <c r="J4" i="48"/>
  <c r="Y3" i="48"/>
  <c r="X3" i="48"/>
  <c r="W3" i="48"/>
  <c r="V3" i="48"/>
  <c r="J3" i="48"/>
  <c r="H3" i="48"/>
  <c r="J2" i="48"/>
  <c r="H2" i="48"/>
  <c r="I1" i="48"/>
  <c r="M3" i="48" s="1"/>
  <c r="E1" i="48"/>
  <c r="C9" i="48"/>
  <c r="K47" i="24"/>
  <c r="I47" i="24"/>
  <c r="O47" i="24" s="1"/>
  <c r="K46" i="24"/>
  <c r="I46" i="24"/>
  <c r="O46" i="24" s="1"/>
  <c r="O45" i="24"/>
  <c r="K45" i="24"/>
  <c r="I45" i="24"/>
  <c r="O44" i="24"/>
  <c r="K44" i="24"/>
  <c r="I44" i="24"/>
  <c r="K43" i="24"/>
  <c r="I43" i="24"/>
  <c r="O43" i="24" s="1"/>
  <c r="O41" i="24"/>
  <c r="K41" i="24"/>
  <c r="O40" i="24"/>
  <c r="M38" i="24"/>
  <c r="K38" i="24"/>
  <c r="O37" i="24"/>
  <c r="O36" i="24"/>
  <c r="I36" i="24"/>
  <c r="O35" i="24"/>
  <c r="G34" i="24"/>
  <c r="O34" i="24" s="1"/>
  <c r="O33" i="24"/>
  <c r="I33" i="24"/>
  <c r="O32" i="24"/>
  <c r="O31" i="24"/>
  <c r="N31" i="24"/>
  <c r="M31" i="24"/>
  <c r="L31" i="24"/>
  <c r="K31" i="24"/>
  <c r="B31" i="24"/>
  <c r="O30" i="24"/>
  <c r="O29" i="24"/>
  <c r="I29" i="24"/>
  <c r="O28" i="24"/>
  <c r="O27" i="24"/>
  <c r="O26" i="24"/>
  <c r="I26" i="24"/>
  <c r="G25" i="24"/>
  <c r="O25" i="24"/>
  <c r="O24" i="24"/>
  <c r="N24" i="24"/>
  <c r="M24" i="24"/>
  <c r="L24" i="24"/>
  <c r="K24" i="24"/>
  <c r="B24" i="24"/>
  <c r="O23" i="24"/>
  <c r="O22" i="24"/>
  <c r="I22" i="24"/>
  <c r="O21" i="24"/>
  <c r="I21" i="24"/>
  <c r="O20" i="24"/>
  <c r="O19" i="24"/>
  <c r="I19" i="24"/>
  <c r="O18" i="24"/>
  <c r="O17" i="24"/>
  <c r="N17" i="24"/>
  <c r="M17" i="24"/>
  <c r="L17" i="24"/>
  <c r="K17" i="24"/>
  <c r="B17" i="24"/>
  <c r="O16" i="24"/>
  <c r="Y15" i="24"/>
  <c r="X15" i="24"/>
  <c r="W15" i="24"/>
  <c r="V15" i="24"/>
  <c r="O15" i="24"/>
  <c r="Y14" i="24"/>
  <c r="X14" i="24"/>
  <c r="W14" i="24"/>
  <c r="V14" i="24"/>
  <c r="O14" i="24"/>
  <c r="I14" i="24"/>
  <c r="Y13" i="24"/>
  <c r="X13" i="24"/>
  <c r="W13" i="24"/>
  <c r="V13" i="24"/>
  <c r="G13" i="24"/>
  <c r="O13" i="24" s="1"/>
  <c r="Y12" i="24"/>
  <c r="X12" i="24"/>
  <c r="W12" i="24"/>
  <c r="V12" i="24"/>
  <c r="O12" i="24"/>
  <c r="Y11" i="24"/>
  <c r="X11" i="24"/>
  <c r="W11" i="24"/>
  <c r="V11" i="24"/>
  <c r="O11" i="24"/>
  <c r="Y10" i="24"/>
  <c r="X10" i="24"/>
  <c r="W10" i="24"/>
  <c r="V10" i="24"/>
  <c r="O10" i="24"/>
  <c r="M10" i="24"/>
  <c r="K10" i="24"/>
  <c r="B10" i="24"/>
  <c r="Y9" i="24"/>
  <c r="X9" i="24"/>
  <c r="W9" i="24"/>
  <c r="V9" i="24"/>
  <c r="Y8" i="24"/>
  <c r="X8" i="24"/>
  <c r="W8" i="24"/>
  <c r="V8" i="24"/>
  <c r="Y7" i="24"/>
  <c r="X7" i="24"/>
  <c r="W7" i="24"/>
  <c r="V7" i="24"/>
  <c r="Y6" i="24"/>
  <c r="X6" i="24"/>
  <c r="W6" i="24"/>
  <c r="V6" i="24"/>
  <c r="Y5" i="24"/>
  <c r="X5" i="24"/>
  <c r="W5" i="24"/>
  <c r="V5" i="24"/>
  <c r="E5" i="24"/>
  <c r="Y4" i="24"/>
  <c r="X4" i="24"/>
  <c r="W4" i="24"/>
  <c r="V4" i="24"/>
  <c r="M4" i="24"/>
  <c r="J4" i="24"/>
  <c r="Y3" i="24"/>
  <c r="X3" i="24"/>
  <c r="W3" i="24"/>
  <c r="V3" i="24"/>
  <c r="M3" i="24"/>
  <c r="J3" i="24"/>
  <c r="M2" i="24"/>
  <c r="J2" i="24"/>
  <c r="H2" i="24"/>
  <c r="H3" i="24"/>
  <c r="I1" i="24"/>
  <c r="E1" i="24"/>
  <c r="C9" i="24"/>
  <c r="O45" i="37"/>
  <c r="K45" i="37"/>
  <c r="I45" i="37"/>
  <c r="K44" i="37"/>
  <c r="I44" i="37"/>
  <c r="O44" i="37" s="1"/>
  <c r="K43" i="37"/>
  <c r="I43" i="37"/>
  <c r="O43" i="37" s="1"/>
  <c r="O42" i="37"/>
  <c r="K42" i="37"/>
  <c r="I42" i="37"/>
  <c r="O41" i="37"/>
  <c r="K41" i="37"/>
  <c r="I41" i="37"/>
  <c r="O39" i="37"/>
  <c r="K39" i="37"/>
  <c r="O38" i="37"/>
  <c r="M36" i="37"/>
  <c r="K36" i="37"/>
  <c r="O35" i="37"/>
  <c r="E35" i="37"/>
  <c r="O34" i="37"/>
  <c r="I34" i="37"/>
  <c r="O33" i="37"/>
  <c r="O32" i="37"/>
  <c r="I32" i="37"/>
  <c r="O31" i="37"/>
  <c r="I31" i="37"/>
  <c r="O30" i="37"/>
  <c r="O29" i="37"/>
  <c r="N29" i="37"/>
  <c r="M29" i="37"/>
  <c r="L29" i="37"/>
  <c r="K29" i="37"/>
  <c r="B29" i="37"/>
  <c r="O28" i="37"/>
  <c r="O27" i="37"/>
  <c r="O26" i="37"/>
  <c r="O25" i="37"/>
  <c r="G25" i="37"/>
  <c r="O24" i="37"/>
  <c r="I24" i="37"/>
  <c r="O23" i="37"/>
  <c r="O22" i="37"/>
  <c r="N22" i="37"/>
  <c r="M22" i="37"/>
  <c r="L22" i="37"/>
  <c r="K22" i="37"/>
  <c r="B22" i="37"/>
  <c r="O21" i="37"/>
  <c r="O20" i="37"/>
  <c r="I19" i="37"/>
  <c r="O19" i="37"/>
  <c r="G18" i="37"/>
  <c r="O18" i="37" s="1"/>
  <c r="O17" i="37"/>
  <c r="O16" i="37"/>
  <c r="I16" i="37"/>
  <c r="Y15" i="37"/>
  <c r="X15" i="37"/>
  <c r="W15" i="37"/>
  <c r="V15" i="37"/>
  <c r="O15" i="37"/>
  <c r="G15" i="37"/>
  <c r="Y14" i="37"/>
  <c r="X14" i="37"/>
  <c r="W14" i="37"/>
  <c r="V14" i="37"/>
  <c r="O14" i="37"/>
  <c r="Y13" i="37"/>
  <c r="X13" i="37"/>
  <c r="W13" i="37"/>
  <c r="V13" i="37"/>
  <c r="O13" i="37"/>
  <c r="N13" i="37"/>
  <c r="M13" i="37"/>
  <c r="L13" i="37"/>
  <c r="K13" i="37"/>
  <c r="B13" i="37"/>
  <c r="Y12" i="37"/>
  <c r="X12" i="37"/>
  <c r="W12" i="37"/>
  <c r="V12" i="37"/>
  <c r="O12" i="37"/>
  <c r="Y11" i="37"/>
  <c r="X11" i="37"/>
  <c r="W11" i="37"/>
  <c r="V11" i="37"/>
  <c r="O11" i="37"/>
  <c r="Y10" i="37"/>
  <c r="X10" i="37"/>
  <c r="W10" i="37"/>
  <c r="V10" i="37"/>
  <c r="O10" i="37"/>
  <c r="M10" i="37"/>
  <c r="K10" i="37"/>
  <c r="E10" i="37"/>
  <c r="B10" i="37"/>
  <c r="Y9" i="37"/>
  <c r="X9" i="37"/>
  <c r="W9" i="37"/>
  <c r="V9" i="37"/>
  <c r="Y8" i="37"/>
  <c r="X8" i="37"/>
  <c r="W8" i="37"/>
  <c r="V8" i="37"/>
  <c r="Y7" i="37"/>
  <c r="X7" i="37"/>
  <c r="W7" i="37"/>
  <c r="V7" i="37"/>
  <c r="Y6" i="37"/>
  <c r="X6" i="37"/>
  <c r="W6" i="37"/>
  <c r="V6" i="37"/>
  <c r="Y5" i="37"/>
  <c r="X5" i="37"/>
  <c r="W5" i="37"/>
  <c r="V5" i="37"/>
  <c r="E5" i="37"/>
  <c r="Y4" i="37"/>
  <c r="X4" i="37"/>
  <c r="W4" i="37"/>
  <c r="V4" i="37"/>
  <c r="M4" i="37"/>
  <c r="J4" i="37"/>
  <c r="Y3" i="37"/>
  <c r="X3" i="37"/>
  <c r="W3" i="37"/>
  <c r="V3" i="37"/>
  <c r="M3" i="37"/>
  <c r="J3" i="37"/>
  <c r="M2" i="37"/>
  <c r="J2" i="37"/>
  <c r="H2" i="37"/>
  <c r="H3" i="37"/>
  <c r="I1" i="37"/>
  <c r="E1" i="37"/>
  <c r="C9" i="37"/>
  <c r="K44" i="49"/>
  <c r="I44" i="49"/>
  <c r="O44" i="49" s="1"/>
  <c r="K43" i="49"/>
  <c r="I43" i="49"/>
  <c r="K42" i="49"/>
  <c r="O42" i="49" s="1"/>
  <c r="K41" i="49"/>
  <c r="I41" i="49"/>
  <c r="O41" i="49" s="1"/>
  <c r="K40" i="49"/>
  <c r="O40" i="49" s="1"/>
  <c r="I40" i="49"/>
  <c r="K39" i="49"/>
  <c r="I39" i="49"/>
  <c r="O39" i="49" s="1"/>
  <c r="K37" i="49"/>
  <c r="O37" i="49" s="1"/>
  <c r="O36" i="49"/>
  <c r="O33" i="49"/>
  <c r="I32" i="49"/>
  <c r="O32" i="49" s="1"/>
  <c r="O31" i="49"/>
  <c r="O30" i="49"/>
  <c r="I30" i="49"/>
  <c r="G29" i="49"/>
  <c r="O29" i="49" s="1"/>
  <c r="I28" i="49"/>
  <c r="O28" i="49" s="1"/>
  <c r="N27" i="49"/>
  <c r="M27" i="49"/>
  <c r="L27" i="49"/>
  <c r="K27" i="49"/>
  <c r="O27" i="49" s="1"/>
  <c r="B27" i="49"/>
  <c r="O26" i="49"/>
  <c r="O25" i="49"/>
  <c r="O24" i="49"/>
  <c r="B24" i="49"/>
  <c r="O23" i="49"/>
  <c r="O22" i="49"/>
  <c r="I21" i="49"/>
  <c r="O21" i="49" s="1"/>
  <c r="O20" i="49"/>
  <c r="G19" i="49"/>
  <c r="O19" i="49" s="1"/>
  <c r="O18" i="49"/>
  <c r="I16" i="49"/>
  <c r="O16" i="49"/>
  <c r="Y15" i="49"/>
  <c r="X15" i="49"/>
  <c r="W15" i="49"/>
  <c r="V15" i="49"/>
  <c r="O15" i="49"/>
  <c r="Y14" i="49"/>
  <c r="X14" i="49"/>
  <c r="W14" i="49"/>
  <c r="V14" i="49"/>
  <c r="N14" i="49"/>
  <c r="M14" i="49"/>
  <c r="L14" i="49"/>
  <c r="K14" i="49"/>
  <c r="O14" i="49" s="1"/>
  <c r="B14" i="49"/>
  <c r="Y13" i="49"/>
  <c r="X13" i="49"/>
  <c r="W13" i="49"/>
  <c r="V13" i="49"/>
  <c r="O13" i="49"/>
  <c r="Y12" i="49"/>
  <c r="X12" i="49"/>
  <c r="W12" i="49"/>
  <c r="V12" i="49"/>
  <c r="O12" i="49"/>
  <c r="I12" i="49"/>
  <c r="Y11" i="49"/>
  <c r="X11" i="49"/>
  <c r="W11" i="49"/>
  <c r="V11" i="49"/>
  <c r="O11" i="49"/>
  <c r="Y10" i="49"/>
  <c r="X10" i="49"/>
  <c r="W10" i="49"/>
  <c r="V10" i="49"/>
  <c r="M10" i="49"/>
  <c r="M34" i="49" s="1"/>
  <c r="K10" i="49"/>
  <c r="K34" i="49" s="1"/>
  <c r="B10" i="49"/>
  <c r="Y9" i="49"/>
  <c r="X9" i="49"/>
  <c r="W9" i="49"/>
  <c r="V9" i="49"/>
  <c r="Y8" i="49"/>
  <c r="X8" i="49"/>
  <c r="W8" i="49"/>
  <c r="V8" i="49"/>
  <c r="Y7" i="49"/>
  <c r="X7" i="49"/>
  <c r="W7" i="49"/>
  <c r="V7" i="49"/>
  <c r="Y6" i="49"/>
  <c r="X6" i="49"/>
  <c r="W6" i="49"/>
  <c r="V6" i="49"/>
  <c r="N6" i="49"/>
  <c r="Y5" i="49"/>
  <c r="X5" i="49"/>
  <c r="W5" i="49"/>
  <c r="V5" i="49"/>
  <c r="N5" i="49"/>
  <c r="E5" i="49"/>
  <c r="Y4" i="49"/>
  <c r="X4" i="49"/>
  <c r="W4" i="49"/>
  <c r="V4" i="49"/>
  <c r="Y3" i="49"/>
  <c r="X3" i="49"/>
  <c r="W3" i="49"/>
  <c r="V3" i="49"/>
  <c r="J2" i="49"/>
  <c r="J3" i="49" s="1"/>
  <c r="H2" i="49"/>
  <c r="H3" i="49" s="1"/>
  <c r="I1" i="49"/>
  <c r="M3" i="49" s="1"/>
  <c r="E1" i="49"/>
  <c r="C9" i="49"/>
  <c r="K49" i="39"/>
  <c r="I49" i="39"/>
  <c r="O49" i="39" s="1"/>
  <c r="K48" i="39"/>
  <c r="I48" i="39"/>
  <c r="K47" i="39"/>
  <c r="I47" i="39"/>
  <c r="K46" i="39"/>
  <c r="I46" i="39"/>
  <c r="O46" i="39" s="1"/>
  <c r="K45" i="39"/>
  <c r="I45" i="39"/>
  <c r="O45" i="39" s="1"/>
  <c r="K43" i="39"/>
  <c r="O43" i="39" s="1"/>
  <c r="O42" i="39"/>
  <c r="O39" i="39"/>
  <c r="E39" i="39"/>
  <c r="O38" i="39"/>
  <c r="I37" i="39"/>
  <c r="O37" i="39" s="1"/>
  <c r="O36" i="39"/>
  <c r="I35" i="39"/>
  <c r="O35" i="39" s="1"/>
  <c r="O33" i="39"/>
  <c r="I32" i="39"/>
  <c r="O32" i="39" s="1"/>
  <c r="N29" i="39"/>
  <c r="M29" i="39"/>
  <c r="L29" i="39"/>
  <c r="K29" i="39"/>
  <c r="B29" i="39"/>
  <c r="O28" i="39"/>
  <c r="O27" i="39"/>
  <c r="O26" i="39"/>
  <c r="O25" i="39"/>
  <c r="O24" i="39"/>
  <c r="O23" i="39"/>
  <c r="O22" i="39"/>
  <c r="B22" i="39"/>
  <c r="O21" i="39"/>
  <c r="O20" i="39"/>
  <c r="O19" i="39"/>
  <c r="O17" i="39"/>
  <c r="O16" i="39"/>
  <c r="O14" i="39"/>
  <c r="N13" i="39"/>
  <c r="M13" i="39"/>
  <c r="L13" i="39"/>
  <c r="K13" i="39"/>
  <c r="B13" i="39"/>
  <c r="O12" i="39"/>
  <c r="O11" i="39"/>
  <c r="M10" i="39"/>
  <c r="K10" i="39"/>
  <c r="E10" i="39"/>
  <c r="B10" i="39"/>
  <c r="E5" i="39"/>
  <c r="J2" i="39"/>
  <c r="J3" i="39" s="1"/>
  <c r="H2" i="39"/>
  <c r="L2" i="39" s="1"/>
  <c r="I1" i="39"/>
  <c r="M4" i="39" s="1"/>
  <c r="N4" i="39" s="1"/>
  <c r="E1" i="39"/>
  <c r="C9" i="39" s="1"/>
  <c r="K46" i="36"/>
  <c r="I46" i="36"/>
  <c r="K45" i="36"/>
  <c r="O45" i="36" s="1"/>
  <c r="I45" i="36"/>
  <c r="K44" i="36"/>
  <c r="I44" i="36"/>
  <c r="K43" i="36"/>
  <c r="O43" i="36" s="1"/>
  <c r="I43" i="36"/>
  <c r="O42" i="36"/>
  <c r="K42" i="36"/>
  <c r="I42" i="36"/>
  <c r="O40" i="36"/>
  <c r="K40" i="36"/>
  <c r="O39" i="36"/>
  <c r="M37" i="36"/>
  <c r="O36" i="36"/>
  <c r="E36" i="36"/>
  <c r="O35" i="36"/>
  <c r="I35" i="36"/>
  <c r="O34" i="36"/>
  <c r="O33" i="36"/>
  <c r="I33" i="36"/>
  <c r="G32" i="36"/>
  <c r="O31" i="36"/>
  <c r="I31" i="36"/>
  <c r="O30" i="36"/>
  <c r="N29" i="36"/>
  <c r="M29" i="36"/>
  <c r="L29" i="36"/>
  <c r="K29" i="36"/>
  <c r="O29" i="36" s="1"/>
  <c r="B29" i="36"/>
  <c r="O28" i="36"/>
  <c r="O27" i="36"/>
  <c r="O26" i="36"/>
  <c r="O25" i="36"/>
  <c r="O24" i="36"/>
  <c r="O23" i="36"/>
  <c r="O22" i="36"/>
  <c r="B22" i="36"/>
  <c r="O21" i="36"/>
  <c r="O20" i="36"/>
  <c r="I19" i="36"/>
  <c r="O19" i="36"/>
  <c r="O18" i="36"/>
  <c r="O17" i="36"/>
  <c r="G16" i="36"/>
  <c r="Y15" i="36"/>
  <c r="X15" i="36"/>
  <c r="W15" i="36"/>
  <c r="V15" i="36"/>
  <c r="I15" i="36"/>
  <c r="O15" i="36" s="1"/>
  <c r="Y14" i="36"/>
  <c r="X14" i="36"/>
  <c r="W14" i="36"/>
  <c r="V14" i="36"/>
  <c r="O14" i="36"/>
  <c r="Y13" i="36"/>
  <c r="X13" i="36"/>
  <c r="W13" i="36"/>
  <c r="V13" i="36"/>
  <c r="N13" i="36"/>
  <c r="M13" i="36"/>
  <c r="L13" i="36"/>
  <c r="K13" i="36"/>
  <c r="O13" i="36" s="1"/>
  <c r="B13" i="36"/>
  <c r="Y12" i="36"/>
  <c r="X12" i="36"/>
  <c r="W12" i="36"/>
  <c r="V12" i="36"/>
  <c r="O12" i="36"/>
  <c r="Y11" i="36"/>
  <c r="X11" i="36"/>
  <c r="W11" i="36"/>
  <c r="V11" i="36"/>
  <c r="O11" i="36"/>
  <c r="Y10" i="36"/>
  <c r="X10" i="36"/>
  <c r="W10" i="36"/>
  <c r="V10" i="36"/>
  <c r="O10" i="36"/>
  <c r="M10" i="36"/>
  <c r="K10" i="36"/>
  <c r="K37" i="36" s="1"/>
  <c r="E10" i="36"/>
  <c r="B10" i="36"/>
  <c r="Y9" i="36"/>
  <c r="X9" i="36"/>
  <c r="W9" i="36"/>
  <c r="V9" i="36"/>
  <c r="C9" i="36"/>
  <c r="Y8" i="36"/>
  <c r="X8" i="36"/>
  <c r="W8" i="36"/>
  <c r="V8" i="36"/>
  <c r="Y7" i="36"/>
  <c r="X7" i="36"/>
  <c r="W7" i="36"/>
  <c r="V7" i="36"/>
  <c r="Y6" i="36"/>
  <c r="X6" i="36"/>
  <c r="W6" i="36"/>
  <c r="V6" i="36"/>
  <c r="Y5" i="36"/>
  <c r="X5" i="36"/>
  <c r="W5" i="36"/>
  <c r="V5" i="36"/>
  <c r="E5" i="36"/>
  <c r="Y4" i="36"/>
  <c r="X4" i="36"/>
  <c r="W4" i="36"/>
  <c r="V4" i="36"/>
  <c r="J4" i="36"/>
  <c r="Y3" i="36"/>
  <c r="X3" i="36"/>
  <c r="W3" i="36"/>
  <c r="V3" i="36"/>
  <c r="J3" i="36"/>
  <c r="H3" i="36"/>
  <c r="M2" i="36"/>
  <c r="J2" i="36"/>
  <c r="H2" i="36"/>
  <c r="I1" i="36"/>
  <c r="M3" i="36" s="1"/>
  <c r="E1" i="36"/>
  <c r="K42" i="40"/>
  <c r="I42" i="40"/>
  <c r="O42" i="40" s="1"/>
  <c r="K41" i="40"/>
  <c r="I41" i="40"/>
  <c r="O41" i="40" s="1"/>
  <c r="O40" i="40"/>
  <c r="K40" i="40"/>
  <c r="I40" i="40"/>
  <c r="O39" i="40"/>
  <c r="K39" i="40"/>
  <c r="I39" i="40"/>
  <c r="O37" i="40"/>
  <c r="K37" i="40"/>
  <c r="O36" i="40"/>
  <c r="M34" i="40"/>
  <c r="K34" i="40"/>
  <c r="O33" i="40"/>
  <c r="I32" i="40"/>
  <c r="O32" i="40"/>
  <c r="O31" i="40"/>
  <c r="O30" i="40"/>
  <c r="I29" i="40"/>
  <c r="O29" i="40"/>
  <c r="O28" i="40"/>
  <c r="O27" i="40"/>
  <c r="N27" i="40"/>
  <c r="M27" i="40"/>
  <c r="L27" i="40"/>
  <c r="K27" i="40"/>
  <c r="B27" i="40"/>
  <c r="O26" i="40"/>
  <c r="O25" i="40"/>
  <c r="O24" i="40"/>
  <c r="O23" i="40"/>
  <c r="O22" i="40"/>
  <c r="G22" i="40"/>
  <c r="O21" i="40"/>
  <c r="N21" i="40"/>
  <c r="M21" i="40"/>
  <c r="L21" i="40"/>
  <c r="K21" i="40"/>
  <c r="B21" i="40"/>
  <c r="O20" i="40"/>
  <c r="O19" i="40"/>
  <c r="O18" i="40"/>
  <c r="I18" i="40"/>
  <c r="O17" i="40"/>
  <c r="G16" i="40"/>
  <c r="O16" i="40" s="1"/>
  <c r="Y15" i="40"/>
  <c r="X15" i="40"/>
  <c r="W15" i="40"/>
  <c r="V15" i="40"/>
  <c r="O15" i="40"/>
  <c r="I15" i="40"/>
  <c r="Y14" i="40"/>
  <c r="X14" i="40"/>
  <c r="W14" i="40"/>
  <c r="V14" i="40"/>
  <c r="O14" i="40"/>
  <c r="Y13" i="40"/>
  <c r="X13" i="40"/>
  <c r="W13" i="40"/>
  <c r="V13" i="40"/>
  <c r="O13" i="40"/>
  <c r="N13" i="40"/>
  <c r="M13" i="40"/>
  <c r="L13" i="40"/>
  <c r="K13" i="40"/>
  <c r="B13" i="40"/>
  <c r="Y12" i="40"/>
  <c r="X12" i="40"/>
  <c r="W12" i="40"/>
  <c r="V12" i="40"/>
  <c r="O12" i="40"/>
  <c r="Y11" i="40"/>
  <c r="X11" i="40"/>
  <c r="W11" i="40"/>
  <c r="V11" i="40"/>
  <c r="O11" i="40"/>
  <c r="Y10" i="40"/>
  <c r="X10" i="40"/>
  <c r="W10" i="40"/>
  <c r="V10" i="40"/>
  <c r="O10" i="40"/>
  <c r="M10" i="40"/>
  <c r="K10" i="40"/>
  <c r="B10" i="40"/>
  <c r="Y9" i="40"/>
  <c r="X9" i="40"/>
  <c r="W9" i="40"/>
  <c r="V9" i="40"/>
  <c r="Y8" i="40"/>
  <c r="X8" i="40"/>
  <c r="W8" i="40"/>
  <c r="V8" i="40"/>
  <c r="Y7" i="40"/>
  <c r="X7" i="40"/>
  <c r="W7" i="40"/>
  <c r="V7" i="40"/>
  <c r="Y6" i="40"/>
  <c r="X6" i="40"/>
  <c r="W6" i="40"/>
  <c r="V6" i="40"/>
  <c r="N6" i="40"/>
  <c r="Y5" i="40"/>
  <c r="X5" i="40"/>
  <c r="W5" i="40"/>
  <c r="V5" i="40"/>
  <c r="N5" i="40"/>
  <c r="E5" i="40"/>
  <c r="Y4" i="40"/>
  <c r="X4" i="40"/>
  <c r="W4" i="40"/>
  <c r="V4" i="40"/>
  <c r="M4" i="40"/>
  <c r="J4" i="40"/>
  <c r="Y3" i="40"/>
  <c r="X3" i="40"/>
  <c r="W3" i="40"/>
  <c r="V3" i="40"/>
  <c r="M3" i="40"/>
  <c r="J3" i="40"/>
  <c r="H3" i="40"/>
  <c r="M2" i="40"/>
  <c r="J2" i="40"/>
  <c r="H2" i="40"/>
  <c r="I1" i="40"/>
  <c r="E1" i="40"/>
  <c r="C9" i="40"/>
  <c r="O44" i="63"/>
  <c r="K44" i="63"/>
  <c r="I44" i="63"/>
  <c r="K43" i="63"/>
  <c r="I43" i="63"/>
  <c r="O43" i="63" s="1"/>
  <c r="K42" i="63"/>
  <c r="I42" i="63"/>
  <c r="O42" i="63" s="1"/>
  <c r="O41" i="63"/>
  <c r="K41" i="63"/>
  <c r="I41" i="63"/>
  <c r="O40" i="63"/>
  <c r="K40" i="63"/>
  <c r="I40" i="63"/>
  <c r="O38" i="63"/>
  <c r="K38" i="63"/>
  <c r="O37" i="63"/>
  <c r="M35" i="63"/>
  <c r="K35" i="63"/>
  <c r="O34" i="63"/>
  <c r="E34" i="63"/>
  <c r="O33" i="63"/>
  <c r="I33" i="63"/>
  <c r="O32" i="63"/>
  <c r="O31" i="63"/>
  <c r="I30" i="63"/>
  <c r="O30" i="63"/>
  <c r="O29" i="63"/>
  <c r="O28" i="63"/>
  <c r="N28" i="63"/>
  <c r="M28" i="63"/>
  <c r="L28" i="63"/>
  <c r="K28" i="63"/>
  <c r="B28" i="63"/>
  <c r="O27" i="63"/>
  <c r="O26" i="63"/>
  <c r="O25" i="63"/>
  <c r="O24" i="63"/>
  <c r="O23" i="63"/>
  <c r="O22" i="63"/>
  <c r="O21" i="63"/>
  <c r="B21" i="63"/>
  <c r="O20" i="63"/>
  <c r="O19" i="63"/>
  <c r="O18" i="63"/>
  <c r="O17" i="63"/>
  <c r="G16" i="63"/>
  <c r="O16" i="63" s="1"/>
  <c r="Y15" i="63"/>
  <c r="X15" i="63"/>
  <c r="W15" i="63"/>
  <c r="V15" i="63"/>
  <c r="O15" i="63"/>
  <c r="I15" i="63"/>
  <c r="Y14" i="63"/>
  <c r="X14" i="63"/>
  <c r="W14" i="63"/>
  <c r="V14" i="63"/>
  <c r="O14" i="63"/>
  <c r="Y13" i="63"/>
  <c r="X13" i="63"/>
  <c r="W13" i="63"/>
  <c r="V13" i="63"/>
  <c r="O13" i="63"/>
  <c r="N13" i="63"/>
  <c r="M13" i="63"/>
  <c r="L13" i="63"/>
  <c r="K13" i="63"/>
  <c r="B13" i="63"/>
  <c r="Y12" i="63"/>
  <c r="X12" i="63"/>
  <c r="W12" i="63"/>
  <c r="V12" i="63"/>
  <c r="O12" i="63"/>
  <c r="Y11" i="63"/>
  <c r="X11" i="63"/>
  <c r="W11" i="63"/>
  <c r="V11" i="63"/>
  <c r="O11" i="63"/>
  <c r="Y10" i="63"/>
  <c r="X10" i="63"/>
  <c r="W10" i="63"/>
  <c r="V10" i="63"/>
  <c r="O10" i="63"/>
  <c r="M10" i="63"/>
  <c r="K10" i="63"/>
  <c r="E10" i="63"/>
  <c r="B10" i="63"/>
  <c r="Y9" i="63"/>
  <c r="X9" i="63"/>
  <c r="W9" i="63"/>
  <c r="V9" i="63"/>
  <c r="Y8" i="63"/>
  <c r="X8" i="63"/>
  <c r="W8" i="63"/>
  <c r="V8" i="63"/>
  <c r="Y7" i="63"/>
  <c r="X7" i="63"/>
  <c r="W7" i="63"/>
  <c r="V7" i="63"/>
  <c r="Y6" i="63"/>
  <c r="X6" i="63"/>
  <c r="W6" i="63"/>
  <c r="V6" i="63"/>
  <c r="Y5" i="63"/>
  <c r="X5" i="63"/>
  <c r="W5" i="63"/>
  <c r="V5" i="63"/>
  <c r="E5" i="63"/>
  <c r="Y4" i="63"/>
  <c r="X4" i="63"/>
  <c r="W4" i="63"/>
  <c r="V4" i="63"/>
  <c r="M4" i="63"/>
  <c r="J4" i="63"/>
  <c r="Y3" i="63"/>
  <c r="X3" i="63"/>
  <c r="L3" i="63" s="1"/>
  <c r="N3" i="63" s="1"/>
  <c r="W3" i="63"/>
  <c r="V3" i="63"/>
  <c r="M3" i="63"/>
  <c r="J3" i="63"/>
  <c r="M2" i="63"/>
  <c r="J2" i="63"/>
  <c r="H2" i="63"/>
  <c r="H3" i="63"/>
  <c r="I1" i="63"/>
  <c r="E1" i="63"/>
  <c r="C9" i="63"/>
  <c r="O43" i="62"/>
  <c r="I43" i="62"/>
  <c r="O42" i="62"/>
  <c r="I42" i="62"/>
  <c r="I41" i="62"/>
  <c r="O41" i="62" s="1"/>
  <c r="I40" i="62"/>
  <c r="O40" i="62" s="1"/>
  <c r="O39" i="62"/>
  <c r="I39" i="62"/>
  <c r="O37" i="62"/>
  <c r="K37" i="62"/>
  <c r="O36" i="62"/>
  <c r="M34" i="62"/>
  <c r="O33" i="62"/>
  <c r="E33" i="62"/>
  <c r="O32" i="62"/>
  <c r="O31" i="62"/>
  <c r="O30" i="62"/>
  <c r="I29" i="62"/>
  <c r="O29" i="62"/>
  <c r="O28" i="62"/>
  <c r="N27" i="62"/>
  <c r="M27" i="62"/>
  <c r="L27" i="62"/>
  <c r="K27" i="62"/>
  <c r="O27" i="62" s="1"/>
  <c r="B27" i="62"/>
  <c r="O26" i="62"/>
  <c r="O25" i="62"/>
  <c r="O24" i="62"/>
  <c r="O23" i="62"/>
  <c r="I23" i="62"/>
  <c r="O22" i="62"/>
  <c r="M21" i="62"/>
  <c r="K21" i="62"/>
  <c r="O21" i="62" s="1"/>
  <c r="B21" i="62"/>
  <c r="O20" i="62"/>
  <c r="O19" i="62"/>
  <c r="I18" i="62"/>
  <c r="O18" i="62"/>
  <c r="O17" i="62"/>
  <c r="G16" i="62"/>
  <c r="O16" i="62" s="1"/>
  <c r="Y15" i="62"/>
  <c r="X15" i="62"/>
  <c r="W15" i="62"/>
  <c r="V15" i="62"/>
  <c r="I15" i="62"/>
  <c r="O15" i="62"/>
  <c r="Y14" i="62"/>
  <c r="X14" i="62"/>
  <c r="W14" i="62"/>
  <c r="V14" i="62"/>
  <c r="O14" i="62"/>
  <c r="Y13" i="62"/>
  <c r="X13" i="62"/>
  <c r="W13" i="62"/>
  <c r="V13" i="62"/>
  <c r="N13" i="62"/>
  <c r="M13" i="62"/>
  <c r="L13" i="62"/>
  <c r="K13" i="62"/>
  <c r="O13" i="62" s="1"/>
  <c r="B13" i="62"/>
  <c r="Y12" i="62"/>
  <c r="X12" i="62"/>
  <c r="W12" i="62"/>
  <c r="V12" i="62"/>
  <c r="O12" i="62"/>
  <c r="Y11" i="62"/>
  <c r="X11" i="62"/>
  <c r="W11" i="62"/>
  <c r="V11" i="62"/>
  <c r="O11" i="62"/>
  <c r="Y10" i="62"/>
  <c r="X10" i="62"/>
  <c r="W10" i="62"/>
  <c r="V10" i="62"/>
  <c r="M10" i="62"/>
  <c r="K10" i="62"/>
  <c r="K34" i="62" s="1"/>
  <c r="E10" i="62"/>
  <c r="B10" i="62"/>
  <c r="Y9" i="62"/>
  <c r="X9" i="62"/>
  <c r="W9" i="62"/>
  <c r="V9" i="62"/>
  <c r="Y8" i="62"/>
  <c r="X8" i="62"/>
  <c r="W8" i="62"/>
  <c r="V8" i="62"/>
  <c r="Y7" i="62"/>
  <c r="X7" i="62"/>
  <c r="W7" i="62"/>
  <c r="V7" i="62"/>
  <c r="Y6" i="62"/>
  <c r="X6" i="62"/>
  <c r="W6" i="62"/>
  <c r="V6" i="62"/>
  <c r="Y5" i="62"/>
  <c r="X5" i="62"/>
  <c r="W5" i="62"/>
  <c r="V5" i="62"/>
  <c r="E5" i="62"/>
  <c r="Y4" i="62"/>
  <c r="X4" i="62"/>
  <c r="W4" i="62"/>
  <c r="V4" i="62"/>
  <c r="M4" i="62"/>
  <c r="J4" i="62"/>
  <c r="Y3" i="62"/>
  <c r="X3" i="62"/>
  <c r="W3" i="62"/>
  <c r="V3" i="62"/>
  <c r="M3" i="62"/>
  <c r="J3" i="62"/>
  <c r="M2" i="62"/>
  <c r="J2" i="62"/>
  <c r="H2" i="62"/>
  <c r="H3" i="62"/>
  <c r="I1" i="62"/>
  <c r="E1" i="62"/>
  <c r="C9" i="62"/>
  <c r="O43" i="61"/>
  <c r="I43" i="61"/>
  <c r="I42" i="61"/>
  <c r="O42" i="61" s="1"/>
  <c r="O41" i="61"/>
  <c r="I41" i="61"/>
  <c r="I40" i="61"/>
  <c r="O40" i="61" s="1"/>
  <c r="O39" i="61"/>
  <c r="I39" i="61"/>
  <c r="O37" i="61"/>
  <c r="K37" i="61"/>
  <c r="O36" i="61"/>
  <c r="M34" i="61"/>
  <c r="O33" i="61"/>
  <c r="E33" i="61"/>
  <c r="O32" i="61"/>
  <c r="I32" i="61"/>
  <c r="O31" i="61"/>
  <c r="O30" i="61"/>
  <c r="I29" i="61"/>
  <c r="O28" i="61"/>
  <c r="O27" i="61"/>
  <c r="N27" i="61"/>
  <c r="M27" i="61"/>
  <c r="L27" i="61"/>
  <c r="K27" i="61"/>
  <c r="B27" i="61"/>
  <c r="O26" i="61"/>
  <c r="O25" i="61"/>
  <c r="O24" i="61"/>
  <c r="O23" i="61"/>
  <c r="O22" i="61"/>
  <c r="O21" i="61"/>
  <c r="B21" i="61"/>
  <c r="O20" i="61"/>
  <c r="O19" i="61"/>
  <c r="O18" i="61"/>
  <c r="I18" i="61"/>
  <c r="O17" i="61"/>
  <c r="O16" i="61"/>
  <c r="G16" i="61"/>
  <c r="Y15" i="61"/>
  <c r="X15" i="61"/>
  <c r="W15" i="61"/>
  <c r="V15" i="61"/>
  <c r="O15" i="61"/>
  <c r="I15" i="61"/>
  <c r="Y14" i="61"/>
  <c r="X14" i="61"/>
  <c r="W14" i="61"/>
  <c r="V14" i="61"/>
  <c r="O14" i="61"/>
  <c r="Y13" i="61"/>
  <c r="X13" i="61"/>
  <c r="W13" i="61"/>
  <c r="V13" i="61"/>
  <c r="N13" i="61"/>
  <c r="M13" i="61"/>
  <c r="L13" i="61"/>
  <c r="K13" i="61"/>
  <c r="O13" i="61"/>
  <c r="B13" i="61"/>
  <c r="Y12" i="61"/>
  <c r="X12" i="61"/>
  <c r="W12" i="61"/>
  <c r="V12" i="61"/>
  <c r="O12" i="61"/>
  <c r="Y11" i="61"/>
  <c r="X11" i="61"/>
  <c r="W11" i="61"/>
  <c r="V11" i="61"/>
  <c r="O11" i="61"/>
  <c r="Y10" i="61"/>
  <c r="X10" i="61"/>
  <c r="W10" i="61"/>
  <c r="V10" i="61"/>
  <c r="O10" i="61"/>
  <c r="M10" i="61"/>
  <c r="K10" i="61"/>
  <c r="K34" i="61"/>
  <c r="E10" i="61"/>
  <c r="B10" i="61"/>
  <c r="Y9" i="61"/>
  <c r="X9" i="61"/>
  <c r="W9" i="61"/>
  <c r="V9" i="61"/>
  <c r="Y8" i="61"/>
  <c r="X8" i="61"/>
  <c r="W8" i="61"/>
  <c r="V8" i="61"/>
  <c r="Y7" i="61"/>
  <c r="X7" i="61"/>
  <c r="W7" i="61"/>
  <c r="V7" i="61"/>
  <c r="Y6" i="61"/>
  <c r="X6" i="61"/>
  <c r="W6" i="61"/>
  <c r="V6" i="61"/>
  <c r="Y5" i="61"/>
  <c r="X5" i="61"/>
  <c r="W5" i="61"/>
  <c r="V5" i="61"/>
  <c r="E5" i="61"/>
  <c r="Y4" i="61"/>
  <c r="X4" i="61"/>
  <c r="W4" i="61"/>
  <c r="V4" i="61"/>
  <c r="H4" i="61"/>
  <c r="Y3" i="61"/>
  <c r="X3" i="61"/>
  <c r="W3" i="61"/>
  <c r="V3" i="61"/>
  <c r="M3" i="61"/>
  <c r="J3" i="61"/>
  <c r="H3" i="61"/>
  <c r="M2" i="61"/>
  <c r="J2" i="61"/>
  <c r="H2" i="61"/>
  <c r="I1" i="61"/>
  <c r="E1" i="61"/>
  <c r="C9" i="61"/>
  <c r="K42" i="19"/>
  <c r="I42" i="19"/>
  <c r="K41" i="19"/>
  <c r="O41" i="19" s="1"/>
  <c r="I41" i="19"/>
  <c r="K40" i="19"/>
  <c r="I40" i="19"/>
  <c r="K39" i="19"/>
  <c r="O39" i="19" s="1"/>
  <c r="I39" i="19"/>
  <c r="K38" i="19"/>
  <c r="I38" i="19"/>
  <c r="K36" i="19"/>
  <c r="O36" i="19" s="1"/>
  <c r="O35" i="19"/>
  <c r="M33" i="19"/>
  <c r="O32" i="19"/>
  <c r="E32" i="19"/>
  <c r="O31" i="19"/>
  <c r="I31" i="19"/>
  <c r="O30" i="19"/>
  <c r="O29" i="19"/>
  <c r="I29" i="19"/>
  <c r="O28" i="19"/>
  <c r="G28" i="19"/>
  <c r="N27" i="19"/>
  <c r="M27" i="19"/>
  <c r="L27" i="19"/>
  <c r="K27" i="19"/>
  <c r="O27" i="19" s="1"/>
  <c r="B27" i="19"/>
  <c r="O26" i="19"/>
  <c r="O25" i="19"/>
  <c r="I25" i="19"/>
  <c r="O24" i="19"/>
  <c r="O23" i="19"/>
  <c r="I23" i="19"/>
  <c r="O22" i="19"/>
  <c r="N21" i="19"/>
  <c r="M21" i="19"/>
  <c r="L21" i="19"/>
  <c r="K21" i="19"/>
  <c r="O21" i="19" s="1"/>
  <c r="B21" i="19"/>
  <c r="O20" i="19"/>
  <c r="O19" i="19"/>
  <c r="O18" i="19"/>
  <c r="I18" i="19"/>
  <c r="O16" i="19"/>
  <c r="Y15" i="19"/>
  <c r="X15" i="19"/>
  <c r="W15" i="19"/>
  <c r="V15" i="19"/>
  <c r="I15" i="19"/>
  <c r="Y14" i="19"/>
  <c r="X14" i="19"/>
  <c r="W14" i="19"/>
  <c r="V14" i="19"/>
  <c r="O14" i="19"/>
  <c r="G14" i="19"/>
  <c r="Y13" i="19"/>
  <c r="X13" i="19"/>
  <c r="W13" i="19"/>
  <c r="V13" i="19"/>
  <c r="N13" i="19"/>
  <c r="M13" i="19"/>
  <c r="L13" i="19"/>
  <c r="K13" i="19"/>
  <c r="O13" i="19" s="1"/>
  <c r="Y12" i="19"/>
  <c r="X12" i="19"/>
  <c r="W12" i="19"/>
  <c r="V12" i="19"/>
  <c r="O12" i="19"/>
  <c r="Y11" i="19"/>
  <c r="X11" i="19"/>
  <c r="W11" i="19"/>
  <c r="V11" i="19"/>
  <c r="O11" i="19"/>
  <c r="Y10" i="19"/>
  <c r="X10" i="19"/>
  <c r="W10" i="19"/>
  <c r="V10" i="19"/>
  <c r="M10" i="19"/>
  <c r="K10" i="19"/>
  <c r="E10" i="19"/>
  <c r="Y9" i="19"/>
  <c r="X9" i="19"/>
  <c r="W9" i="19"/>
  <c r="V9" i="19"/>
  <c r="Y8" i="19"/>
  <c r="X8" i="19"/>
  <c r="W8" i="19"/>
  <c r="V8" i="19"/>
  <c r="Y7" i="19"/>
  <c r="X7" i="19"/>
  <c r="W7" i="19"/>
  <c r="V7" i="19"/>
  <c r="Y6" i="19"/>
  <c r="X6" i="19"/>
  <c r="W6" i="19"/>
  <c r="V6" i="19"/>
  <c r="Y5" i="19"/>
  <c r="X5" i="19"/>
  <c r="W5" i="19"/>
  <c r="V5" i="19"/>
  <c r="E5" i="19"/>
  <c r="Y4" i="19"/>
  <c r="X4" i="19"/>
  <c r="L3" i="19" s="1"/>
  <c r="W4" i="19"/>
  <c r="V4" i="19"/>
  <c r="J4" i="19"/>
  <c r="Y3" i="19"/>
  <c r="X3" i="19"/>
  <c r="W3" i="19"/>
  <c r="V3" i="19"/>
  <c r="J3" i="19"/>
  <c r="J2" i="19"/>
  <c r="H2" i="19"/>
  <c r="H3" i="19"/>
  <c r="I1" i="19"/>
  <c r="M3" i="19" s="1"/>
  <c r="E1" i="19"/>
  <c r="C9" i="19"/>
  <c r="K49" i="45"/>
  <c r="O49" i="45" s="1"/>
  <c r="I49" i="45"/>
  <c r="K48" i="45"/>
  <c r="I48" i="45"/>
  <c r="K47" i="45"/>
  <c r="O47" i="45" s="1"/>
  <c r="I47" i="45"/>
  <c r="K46" i="45"/>
  <c r="I46" i="45"/>
  <c r="K44" i="45"/>
  <c r="O44" i="45" s="1"/>
  <c r="O43" i="45"/>
  <c r="M41" i="45"/>
  <c r="O40" i="45"/>
  <c r="O39" i="45"/>
  <c r="I39" i="45"/>
  <c r="O38" i="45"/>
  <c r="O37" i="45"/>
  <c r="I37" i="45"/>
  <c r="O36" i="45"/>
  <c r="G36" i="45"/>
  <c r="O35" i="45"/>
  <c r="I35" i="45"/>
  <c r="N34" i="45"/>
  <c r="M34" i="45"/>
  <c r="L34" i="45"/>
  <c r="K34" i="45"/>
  <c r="O34" i="45" s="1"/>
  <c r="B34" i="45"/>
  <c r="O33" i="45"/>
  <c r="G32" i="45"/>
  <c r="O31" i="45"/>
  <c r="G30" i="45"/>
  <c r="O29" i="45"/>
  <c r="N28" i="45"/>
  <c r="M28" i="45"/>
  <c r="L28" i="45"/>
  <c r="K28" i="45"/>
  <c r="O28" i="45" s="1"/>
  <c r="B28" i="45"/>
  <c r="O27" i="45"/>
  <c r="O26" i="45"/>
  <c r="O25" i="45"/>
  <c r="O24" i="45"/>
  <c r="I24" i="45"/>
  <c r="G23" i="45"/>
  <c r="M22" i="45"/>
  <c r="K22" i="45"/>
  <c r="O22" i="45" s="1"/>
  <c r="B22" i="45"/>
  <c r="O21" i="45"/>
  <c r="O20" i="45"/>
  <c r="I19" i="45"/>
  <c r="O19" i="45"/>
  <c r="G18" i="45"/>
  <c r="O17" i="45"/>
  <c r="O16" i="45"/>
  <c r="Y15" i="45"/>
  <c r="X15" i="45"/>
  <c r="W15" i="45"/>
  <c r="V15" i="45"/>
  <c r="O15" i="45"/>
  <c r="I15" i="45"/>
  <c r="Y14" i="45"/>
  <c r="X14" i="45"/>
  <c r="W14" i="45"/>
  <c r="V14" i="45"/>
  <c r="O14" i="45"/>
  <c r="Y13" i="45"/>
  <c r="X13" i="45"/>
  <c r="W13" i="45"/>
  <c r="V13" i="45"/>
  <c r="N13" i="45"/>
  <c r="M13" i="45"/>
  <c r="L13" i="45"/>
  <c r="K13" i="45"/>
  <c r="O13" i="45" s="1"/>
  <c r="B13" i="45"/>
  <c r="Y12" i="45"/>
  <c r="X12" i="45"/>
  <c r="W12" i="45"/>
  <c r="V12" i="45"/>
  <c r="O12" i="45"/>
  <c r="Y11" i="45"/>
  <c r="X11" i="45"/>
  <c r="W11" i="45"/>
  <c r="V11" i="45"/>
  <c r="O11" i="45"/>
  <c r="Y10" i="45"/>
  <c r="X10" i="45"/>
  <c r="W10" i="45"/>
  <c r="V10" i="45"/>
  <c r="O10" i="45"/>
  <c r="M10" i="45"/>
  <c r="K10" i="45"/>
  <c r="B10" i="45"/>
  <c r="Y9" i="45"/>
  <c r="X9" i="45"/>
  <c r="W9" i="45"/>
  <c r="V9" i="45"/>
  <c r="Y8" i="45"/>
  <c r="X8" i="45"/>
  <c r="W8" i="45"/>
  <c r="V8" i="45"/>
  <c r="Y7" i="45"/>
  <c r="X7" i="45"/>
  <c r="W7" i="45"/>
  <c r="V7" i="45"/>
  <c r="Y6" i="45"/>
  <c r="X6" i="45"/>
  <c r="W6" i="45"/>
  <c r="V6" i="45"/>
  <c r="N6" i="45"/>
  <c r="Y5" i="45"/>
  <c r="X5" i="45"/>
  <c r="W5" i="45"/>
  <c r="V5" i="45"/>
  <c r="M5" i="45"/>
  <c r="J5" i="45"/>
  <c r="E5" i="45"/>
  <c r="Y4" i="45"/>
  <c r="X4" i="45"/>
  <c r="W4" i="45"/>
  <c r="V4" i="45"/>
  <c r="J4" i="45"/>
  <c r="Y3" i="45"/>
  <c r="X3" i="45"/>
  <c r="W3" i="45"/>
  <c r="L4" i="45" s="1"/>
  <c r="V3" i="45"/>
  <c r="J3" i="45"/>
  <c r="H3" i="45"/>
  <c r="M2" i="45"/>
  <c r="J2" i="45"/>
  <c r="H2" i="45"/>
  <c r="I1" i="45"/>
  <c r="M3" i="45" s="1"/>
  <c r="E1" i="45"/>
  <c r="C9" i="45"/>
  <c r="O44" i="67"/>
  <c r="I44" i="67"/>
  <c r="I43" i="67"/>
  <c r="O43" i="67" s="1"/>
  <c r="O42" i="67"/>
  <c r="I42" i="67"/>
  <c r="I41" i="67"/>
  <c r="O41" i="67" s="1"/>
  <c r="K39" i="67"/>
  <c r="O39" i="67"/>
  <c r="O38" i="67"/>
  <c r="M36" i="67"/>
  <c r="O35" i="67"/>
  <c r="O34" i="67"/>
  <c r="O33" i="67"/>
  <c r="I32" i="67"/>
  <c r="O31" i="67"/>
  <c r="G31" i="67"/>
  <c r="I30" i="67"/>
  <c r="N29" i="67"/>
  <c r="M29" i="67"/>
  <c r="L29" i="67"/>
  <c r="K29" i="67"/>
  <c r="O29" i="67"/>
  <c r="B29" i="67"/>
  <c r="O28" i="67"/>
  <c r="O27" i="67"/>
  <c r="O26" i="67"/>
  <c r="O25" i="67"/>
  <c r="I25" i="67"/>
  <c r="G24" i="67"/>
  <c r="N23" i="67"/>
  <c r="M23" i="67"/>
  <c r="L23" i="67"/>
  <c r="K23" i="67"/>
  <c r="O23" i="67"/>
  <c r="B23" i="67"/>
  <c r="O22" i="67"/>
  <c r="O21" i="67"/>
  <c r="O20" i="67"/>
  <c r="G19" i="67"/>
  <c r="O18" i="67"/>
  <c r="G17" i="67"/>
  <c r="O17" i="67" s="1"/>
  <c r="I16" i="67"/>
  <c r="O16" i="67"/>
  <c r="O15" i="67"/>
  <c r="N14" i="67"/>
  <c r="M14" i="67"/>
  <c r="L14" i="67"/>
  <c r="K14" i="67"/>
  <c r="O14" i="67"/>
  <c r="B14" i="67"/>
  <c r="O13" i="67"/>
  <c r="I12" i="67"/>
  <c r="O11" i="67"/>
  <c r="M10" i="67"/>
  <c r="K10" i="67"/>
  <c r="B10" i="67"/>
  <c r="N6" i="67"/>
  <c r="N5" i="67"/>
  <c r="E5" i="67"/>
  <c r="J2" i="67"/>
  <c r="J3" i="67"/>
  <c r="J4" i="67"/>
  <c r="H2" i="67"/>
  <c r="I1" i="67"/>
  <c r="E1" i="67"/>
  <c r="C9" i="67"/>
  <c r="K45" i="56"/>
  <c r="I45" i="56"/>
  <c r="K44" i="56"/>
  <c r="O44" i="56" s="1"/>
  <c r="I44" i="56"/>
  <c r="K43" i="56"/>
  <c r="I43" i="56"/>
  <c r="K42" i="56"/>
  <c r="O42" i="56" s="1"/>
  <c r="I42" i="56"/>
  <c r="K40" i="56"/>
  <c r="O40" i="56" s="1"/>
  <c r="O39" i="56"/>
  <c r="M37" i="56"/>
  <c r="O36" i="56"/>
  <c r="O35" i="56"/>
  <c r="I35" i="56"/>
  <c r="O34" i="56"/>
  <c r="O33" i="56"/>
  <c r="I33" i="56"/>
  <c r="O32" i="56"/>
  <c r="O31" i="56"/>
  <c r="I31" i="56"/>
  <c r="G30" i="56"/>
  <c r="N29" i="56"/>
  <c r="M29" i="56"/>
  <c r="L29" i="56"/>
  <c r="K29" i="56"/>
  <c r="O29" i="56" s="1"/>
  <c r="B29" i="56"/>
  <c r="O28" i="56"/>
  <c r="G27" i="56"/>
  <c r="O26" i="56"/>
  <c r="O25" i="56"/>
  <c r="O24" i="56"/>
  <c r="G23" i="56"/>
  <c r="O22" i="56"/>
  <c r="G22" i="56"/>
  <c r="N21" i="56"/>
  <c r="M21" i="56"/>
  <c r="L21" i="56"/>
  <c r="K21" i="56"/>
  <c r="O21" i="56" s="1"/>
  <c r="B21" i="56"/>
  <c r="O20" i="56"/>
  <c r="O19" i="56"/>
  <c r="O18" i="56"/>
  <c r="I18" i="56"/>
  <c r="O17" i="56"/>
  <c r="O16" i="56"/>
  <c r="G16" i="56"/>
  <c r="Y15" i="56"/>
  <c r="X15" i="56"/>
  <c r="W15" i="56"/>
  <c r="V15" i="56"/>
  <c r="I15" i="56"/>
  <c r="Y14" i="56"/>
  <c r="X14" i="56"/>
  <c r="W14" i="56"/>
  <c r="V14" i="56"/>
  <c r="O14" i="56"/>
  <c r="Y13" i="56"/>
  <c r="X13" i="56"/>
  <c r="W13" i="56"/>
  <c r="V13" i="56"/>
  <c r="N13" i="56"/>
  <c r="M13" i="56"/>
  <c r="L13" i="56"/>
  <c r="K13" i="56"/>
  <c r="O13" i="56" s="1"/>
  <c r="B13" i="56"/>
  <c r="Y12" i="56"/>
  <c r="X12" i="56"/>
  <c r="W12" i="56"/>
  <c r="V12" i="56"/>
  <c r="O12" i="56"/>
  <c r="Y11" i="56"/>
  <c r="X11" i="56"/>
  <c r="W11" i="56"/>
  <c r="V11" i="56"/>
  <c r="O11" i="56"/>
  <c r="Y10" i="56"/>
  <c r="X10" i="56"/>
  <c r="W10" i="56"/>
  <c r="V10" i="56"/>
  <c r="M10" i="56"/>
  <c r="K10" i="56"/>
  <c r="O10" i="56" s="1"/>
  <c r="E10" i="56"/>
  <c r="B10" i="56"/>
  <c r="Y9" i="56"/>
  <c r="X9" i="56"/>
  <c r="W9" i="56"/>
  <c r="V9" i="56"/>
  <c r="Y8" i="56"/>
  <c r="X8" i="56"/>
  <c r="W8" i="56"/>
  <c r="V8" i="56"/>
  <c r="Y7" i="56"/>
  <c r="X7" i="56"/>
  <c r="W7" i="56"/>
  <c r="V7" i="56"/>
  <c r="Y6" i="56"/>
  <c r="X6" i="56"/>
  <c r="W6" i="56"/>
  <c r="V6" i="56"/>
  <c r="N6" i="56"/>
  <c r="Y5" i="56"/>
  <c r="X5" i="56"/>
  <c r="W5" i="56"/>
  <c r="V5" i="56"/>
  <c r="N5" i="56"/>
  <c r="E5" i="56"/>
  <c r="Y4" i="56"/>
  <c r="X4" i="56"/>
  <c r="W4" i="56"/>
  <c r="V4" i="56"/>
  <c r="J4" i="56"/>
  <c r="Y3" i="56"/>
  <c r="X3" i="56"/>
  <c r="W3" i="56"/>
  <c r="L4" i="56" s="1"/>
  <c r="V3" i="56"/>
  <c r="J3" i="56"/>
  <c r="J2" i="56"/>
  <c r="H2" i="56"/>
  <c r="H3" i="56"/>
  <c r="I1" i="56"/>
  <c r="M3" i="56" s="1"/>
  <c r="E1" i="56"/>
  <c r="C9" i="56"/>
  <c r="K37" i="46"/>
  <c r="O37" i="46" s="1"/>
  <c r="O36" i="46"/>
  <c r="O33" i="46"/>
  <c r="E33" i="46"/>
  <c r="O32" i="46"/>
  <c r="O31" i="46"/>
  <c r="I30" i="46"/>
  <c r="G29" i="46"/>
  <c r="O29" i="46" s="1"/>
  <c r="O28" i="46"/>
  <c r="I28" i="46"/>
  <c r="N27" i="46"/>
  <c r="M27" i="46"/>
  <c r="L27" i="46"/>
  <c r="K27" i="46"/>
  <c r="O27" i="46" s="1"/>
  <c r="B27" i="46"/>
  <c r="O26" i="46"/>
  <c r="O25" i="46"/>
  <c r="O24" i="46"/>
  <c r="I23" i="46"/>
  <c r="O23" i="46"/>
  <c r="G22" i="46"/>
  <c r="N21" i="46"/>
  <c r="M21" i="46"/>
  <c r="L21" i="46"/>
  <c r="K21" i="46"/>
  <c r="O21" i="46" s="1"/>
  <c r="B21" i="46"/>
  <c r="O20" i="46"/>
  <c r="O19" i="46"/>
  <c r="O18" i="46"/>
  <c r="O17" i="46"/>
  <c r="G17" i="46"/>
  <c r="G16" i="46"/>
  <c r="O16" i="46" s="1"/>
  <c r="O15" i="46"/>
  <c r="O14" i="46"/>
  <c r="O13" i="46"/>
  <c r="N13" i="46"/>
  <c r="M13" i="46"/>
  <c r="L13" i="46"/>
  <c r="K13" i="46"/>
  <c r="B13" i="46"/>
  <c r="O12" i="46"/>
  <c r="O11" i="46"/>
  <c r="M10" i="46"/>
  <c r="M34" i="46" s="1"/>
  <c r="K10" i="46"/>
  <c r="K34" i="46" s="1"/>
  <c r="E10" i="46"/>
  <c r="B10" i="46"/>
  <c r="N6" i="46"/>
  <c r="N5" i="46"/>
  <c r="E5" i="46"/>
  <c r="H3" i="46"/>
  <c r="L3" i="46" s="1"/>
  <c r="J2" i="46"/>
  <c r="J4" i="46" s="1"/>
  <c r="H2" i="46"/>
  <c r="L2" i="46"/>
  <c r="I1" i="46"/>
  <c r="M2" i="46" s="1"/>
  <c r="E1" i="46"/>
  <c r="C9" i="46"/>
  <c r="O41" i="68"/>
  <c r="K41" i="68"/>
  <c r="O40" i="68"/>
  <c r="M39" i="68"/>
  <c r="K39" i="68"/>
  <c r="O38" i="68"/>
  <c r="O37" i="68"/>
  <c r="O36" i="68"/>
  <c r="I36" i="68"/>
  <c r="O35" i="68"/>
  <c r="G34" i="68"/>
  <c r="O34" i="68" s="1"/>
  <c r="O33" i="68"/>
  <c r="G33" i="68"/>
  <c r="O32" i="68"/>
  <c r="O31" i="68"/>
  <c r="O30" i="68"/>
  <c r="N30" i="68"/>
  <c r="M30" i="68"/>
  <c r="L30" i="68"/>
  <c r="K30" i="68"/>
  <c r="B30" i="68"/>
  <c r="O29" i="68"/>
  <c r="O28" i="68"/>
  <c r="I27" i="68"/>
  <c r="O27" i="68"/>
  <c r="O26" i="68"/>
  <c r="G26" i="68"/>
  <c r="O25" i="68"/>
  <c r="O24" i="68"/>
  <c r="O23" i="68"/>
  <c r="I23" i="68"/>
  <c r="O21" i="68"/>
  <c r="N21" i="68"/>
  <c r="M21" i="68"/>
  <c r="L21" i="68"/>
  <c r="K21" i="68"/>
  <c r="B21" i="68"/>
  <c r="O20" i="68"/>
  <c r="I19" i="68"/>
  <c r="O19" i="68"/>
  <c r="O18" i="68"/>
  <c r="G17" i="68"/>
  <c r="O17" i="68" s="1"/>
  <c r="O16" i="68"/>
  <c r="Y15" i="68"/>
  <c r="X15" i="68"/>
  <c r="W15" i="68"/>
  <c r="V15" i="68"/>
  <c r="O15" i="68"/>
  <c r="Y14" i="68"/>
  <c r="X14" i="68"/>
  <c r="W14" i="68"/>
  <c r="V14" i="68"/>
  <c r="G14" i="68"/>
  <c r="O14" i="68" s="1"/>
  <c r="Y13" i="68"/>
  <c r="X13" i="68"/>
  <c r="W13" i="68"/>
  <c r="V13" i="68"/>
  <c r="O13" i="68"/>
  <c r="N13" i="68"/>
  <c r="M13" i="68"/>
  <c r="L13" i="68"/>
  <c r="K13" i="68"/>
  <c r="B13" i="68"/>
  <c r="Y12" i="68"/>
  <c r="X12" i="68"/>
  <c r="W12" i="68"/>
  <c r="V12" i="68"/>
  <c r="O12" i="68"/>
  <c r="Y11" i="68"/>
  <c r="X11" i="68"/>
  <c r="W11" i="68"/>
  <c r="V11" i="68"/>
  <c r="O11" i="68"/>
  <c r="Y10" i="68"/>
  <c r="X10" i="68"/>
  <c r="W10" i="68"/>
  <c r="V10" i="68"/>
  <c r="O10" i="68"/>
  <c r="M10" i="68"/>
  <c r="K10" i="68"/>
  <c r="B10" i="68"/>
  <c r="Y9" i="68"/>
  <c r="X9" i="68"/>
  <c r="W9" i="68"/>
  <c r="V9" i="68"/>
  <c r="Y8" i="68"/>
  <c r="X8" i="68"/>
  <c r="W8" i="68"/>
  <c r="V8" i="68"/>
  <c r="Y7" i="68"/>
  <c r="X7" i="68"/>
  <c r="W7" i="68"/>
  <c r="V7" i="68"/>
  <c r="Y6" i="68"/>
  <c r="X6" i="68"/>
  <c r="W6" i="68"/>
  <c r="V6" i="68"/>
  <c r="Y5" i="68"/>
  <c r="X5" i="68"/>
  <c r="W5" i="68"/>
  <c r="V5" i="68"/>
  <c r="E5" i="68"/>
  <c r="Y4" i="68"/>
  <c r="X4" i="68"/>
  <c r="W4" i="68"/>
  <c r="L2" i="68" s="1"/>
  <c r="N2" i="68" s="1"/>
  <c r="V4" i="68"/>
  <c r="M4" i="68"/>
  <c r="J4" i="68"/>
  <c r="Y3" i="68"/>
  <c r="X3" i="68"/>
  <c r="W3" i="68"/>
  <c r="V3" i="68"/>
  <c r="M3" i="68"/>
  <c r="J3" i="68"/>
  <c r="M2" i="68"/>
  <c r="J2" i="68"/>
  <c r="H2" i="68"/>
  <c r="E1" i="68"/>
  <c r="C9" i="68"/>
  <c r="O40" i="31"/>
  <c r="K40" i="31"/>
  <c r="O39" i="31"/>
  <c r="M38" i="31"/>
  <c r="O37" i="31"/>
  <c r="O36" i="31"/>
  <c r="I34" i="31"/>
  <c r="O33" i="31"/>
  <c r="I32" i="31"/>
  <c r="N30" i="31"/>
  <c r="M30" i="31"/>
  <c r="L30" i="31"/>
  <c r="K30" i="31"/>
  <c r="O30" i="31"/>
  <c r="B30" i="31"/>
  <c r="O29" i="31"/>
  <c r="O28" i="31"/>
  <c r="I27" i="31"/>
  <c r="O26" i="31"/>
  <c r="O25" i="31"/>
  <c r="G24" i="31"/>
  <c r="O24" i="31" s="1"/>
  <c r="O23" i="31"/>
  <c r="N22" i="31"/>
  <c r="M22" i="31"/>
  <c r="L22" i="31"/>
  <c r="K22" i="31"/>
  <c r="O22" i="31"/>
  <c r="B22" i="31"/>
  <c r="O21" i="31"/>
  <c r="O20" i="31"/>
  <c r="O19" i="31"/>
  <c r="I19" i="31"/>
  <c r="O18" i="31"/>
  <c r="G18" i="31"/>
  <c r="O17" i="31"/>
  <c r="O16" i="31"/>
  <c r="Y15" i="31"/>
  <c r="X15" i="31"/>
  <c r="W15" i="31"/>
  <c r="V15" i="31"/>
  <c r="O15" i="31"/>
  <c r="Y14" i="31"/>
  <c r="X14" i="31"/>
  <c r="W14" i="31"/>
  <c r="V14" i="31"/>
  <c r="O14" i="31"/>
  <c r="Y13" i="31"/>
  <c r="X13" i="31"/>
  <c r="W13" i="31"/>
  <c r="V13" i="31"/>
  <c r="N13" i="31"/>
  <c r="M13" i="31"/>
  <c r="L13" i="31"/>
  <c r="K13" i="31"/>
  <c r="O13" i="31"/>
  <c r="B13" i="31"/>
  <c r="Y12" i="31"/>
  <c r="X12" i="31"/>
  <c r="W12" i="31"/>
  <c r="V12" i="31"/>
  <c r="O12" i="31"/>
  <c r="Y11" i="31"/>
  <c r="X11" i="31"/>
  <c r="W11" i="31"/>
  <c r="V11" i="31"/>
  <c r="O11" i="31"/>
  <c r="Y10" i="31"/>
  <c r="X10" i="31"/>
  <c r="W10" i="31"/>
  <c r="V10" i="31"/>
  <c r="M10" i="31"/>
  <c r="K10" i="31"/>
  <c r="B10" i="31"/>
  <c r="Y9" i="31"/>
  <c r="X9" i="31"/>
  <c r="W9" i="31"/>
  <c r="V9" i="31"/>
  <c r="Y8" i="31"/>
  <c r="X8" i="31"/>
  <c r="W8" i="31"/>
  <c r="V8" i="31"/>
  <c r="Y7" i="31"/>
  <c r="X7" i="31"/>
  <c r="W7" i="31"/>
  <c r="V7" i="31"/>
  <c r="Y6" i="31"/>
  <c r="X6" i="31"/>
  <c r="W6" i="31"/>
  <c r="V6" i="31"/>
  <c r="Y5" i="31"/>
  <c r="X5" i="31"/>
  <c r="W5" i="31"/>
  <c r="V5" i="31"/>
  <c r="E5" i="31"/>
  <c r="Y4" i="31"/>
  <c r="X4" i="31"/>
  <c r="W4" i="31"/>
  <c r="V4" i="31"/>
  <c r="J4" i="31"/>
  <c r="Y3" i="31"/>
  <c r="X3" i="31"/>
  <c r="W3" i="31"/>
  <c r="V3" i="31"/>
  <c r="J3" i="31"/>
  <c r="H3" i="31"/>
  <c r="J2" i="31"/>
  <c r="H2" i="31"/>
  <c r="I1" i="31"/>
  <c r="M2" i="31"/>
  <c r="E1" i="31"/>
  <c r="C9" i="31"/>
  <c r="O40" i="30"/>
  <c r="K40" i="30"/>
  <c r="O39" i="30"/>
  <c r="M38" i="30"/>
  <c r="K38" i="30"/>
  <c r="O37" i="30"/>
  <c r="E37" i="30"/>
  <c r="O36" i="30"/>
  <c r="O35" i="30"/>
  <c r="O34" i="30"/>
  <c r="I34" i="30"/>
  <c r="O33" i="30"/>
  <c r="O32" i="30"/>
  <c r="I32" i="30"/>
  <c r="O30" i="30"/>
  <c r="N30" i="30"/>
  <c r="M30" i="30"/>
  <c r="L30" i="30"/>
  <c r="K30" i="30"/>
  <c r="B30" i="30"/>
  <c r="O29" i="30"/>
  <c r="O28" i="30"/>
  <c r="G28" i="30"/>
  <c r="O27" i="30"/>
  <c r="I27" i="30"/>
  <c r="O26" i="30"/>
  <c r="O25" i="30"/>
  <c r="G24" i="30"/>
  <c r="O24" i="30" s="1"/>
  <c r="O23" i="30"/>
  <c r="O22" i="30"/>
  <c r="N22" i="30"/>
  <c r="M22" i="30"/>
  <c r="L22" i="30"/>
  <c r="K22" i="30"/>
  <c r="B22" i="30"/>
  <c r="O21" i="30"/>
  <c r="O20" i="30"/>
  <c r="I19" i="30"/>
  <c r="O19" i="30"/>
  <c r="O18" i="30"/>
  <c r="G18" i="30"/>
  <c r="O17" i="30"/>
  <c r="O16" i="30"/>
  <c r="Y15" i="30"/>
  <c r="X15" i="30"/>
  <c r="W15" i="30"/>
  <c r="V15" i="30"/>
  <c r="O15" i="30"/>
  <c r="Y14" i="30"/>
  <c r="X14" i="30"/>
  <c r="W14" i="30"/>
  <c r="V14" i="30"/>
  <c r="O14" i="30"/>
  <c r="Y13" i="30"/>
  <c r="X13" i="30"/>
  <c r="W13" i="30"/>
  <c r="V13" i="30"/>
  <c r="O13" i="30"/>
  <c r="N13" i="30"/>
  <c r="M13" i="30"/>
  <c r="L13" i="30"/>
  <c r="K13" i="30"/>
  <c r="B13" i="30"/>
  <c r="Y12" i="30"/>
  <c r="X12" i="30"/>
  <c r="W12" i="30"/>
  <c r="V12" i="30"/>
  <c r="O12" i="30"/>
  <c r="Y11" i="30"/>
  <c r="X11" i="30"/>
  <c r="W11" i="30"/>
  <c r="V11" i="30"/>
  <c r="O11" i="30"/>
  <c r="Y10" i="30"/>
  <c r="X10" i="30"/>
  <c r="W10" i="30"/>
  <c r="V10" i="30"/>
  <c r="O10" i="30"/>
  <c r="M10" i="30"/>
  <c r="K10" i="30"/>
  <c r="E10" i="30"/>
  <c r="B10" i="30"/>
  <c r="Y9" i="30"/>
  <c r="X9" i="30"/>
  <c r="W9" i="30"/>
  <c r="V9" i="30"/>
  <c r="Y8" i="30"/>
  <c r="X8" i="30"/>
  <c r="W8" i="30"/>
  <c r="V8" i="30"/>
  <c r="Y7" i="30"/>
  <c r="X7" i="30"/>
  <c r="W7" i="30"/>
  <c r="V7" i="30"/>
  <c r="Y6" i="30"/>
  <c r="X6" i="30"/>
  <c r="W6" i="30"/>
  <c r="V6" i="30"/>
  <c r="Y5" i="30"/>
  <c r="X5" i="30"/>
  <c r="W5" i="30"/>
  <c r="V5" i="30"/>
  <c r="E5" i="30"/>
  <c r="Y4" i="30"/>
  <c r="X4" i="30"/>
  <c r="W4" i="30"/>
  <c r="V4" i="30"/>
  <c r="M4" i="30"/>
  <c r="J4" i="30"/>
  <c r="Y3" i="30"/>
  <c r="X3" i="30"/>
  <c r="W3" i="30"/>
  <c r="V3" i="30"/>
  <c r="M3" i="30"/>
  <c r="J3" i="30"/>
  <c r="M2" i="30"/>
  <c r="J2" i="30"/>
  <c r="H2" i="30"/>
  <c r="H3" i="30"/>
  <c r="I1" i="30"/>
  <c r="E1" i="30"/>
  <c r="C9" i="30"/>
  <c r="O40" i="50"/>
  <c r="K40" i="50"/>
  <c r="O39" i="50"/>
  <c r="M38" i="50"/>
  <c r="K38" i="50"/>
  <c r="O37" i="50"/>
  <c r="O36" i="50"/>
  <c r="I36" i="50"/>
  <c r="G35" i="50"/>
  <c r="O35" i="50" s="1"/>
  <c r="G34" i="50"/>
  <c r="O34" i="50" s="1"/>
  <c r="O33" i="50"/>
  <c r="I33" i="50"/>
  <c r="O32" i="50"/>
  <c r="O31" i="50"/>
  <c r="O30" i="50"/>
  <c r="N30" i="50"/>
  <c r="L30" i="50"/>
  <c r="K30" i="50"/>
  <c r="B30" i="50"/>
  <c r="O29" i="50"/>
  <c r="O28" i="50"/>
  <c r="G27" i="50"/>
  <c r="O27" i="50" s="1"/>
  <c r="O26" i="50"/>
  <c r="O25" i="50"/>
  <c r="G24" i="50"/>
  <c r="O24" i="50" s="1"/>
  <c r="O23" i="50"/>
  <c r="N23" i="50"/>
  <c r="M23" i="50"/>
  <c r="L23" i="50"/>
  <c r="K23" i="50"/>
  <c r="B23" i="50"/>
  <c r="O22" i="50"/>
  <c r="O21" i="50"/>
  <c r="O20" i="50"/>
  <c r="O19" i="50"/>
  <c r="O18" i="50"/>
  <c r="O17" i="50"/>
  <c r="O16" i="50"/>
  <c r="I16" i="50"/>
  <c r="Y15" i="50"/>
  <c r="X15" i="50"/>
  <c r="W15" i="50"/>
  <c r="V15" i="50"/>
  <c r="Y14" i="50"/>
  <c r="X14" i="50"/>
  <c r="W14" i="50"/>
  <c r="V14" i="50"/>
  <c r="O14" i="50"/>
  <c r="Y13" i="50"/>
  <c r="X13" i="50"/>
  <c r="W13" i="50"/>
  <c r="V13" i="50"/>
  <c r="O13" i="50"/>
  <c r="M13" i="50"/>
  <c r="L13" i="50"/>
  <c r="K13" i="50"/>
  <c r="B13" i="50"/>
  <c r="Y12" i="50"/>
  <c r="X12" i="50"/>
  <c r="W12" i="50"/>
  <c r="V12" i="50"/>
  <c r="O12" i="50"/>
  <c r="Y11" i="50"/>
  <c r="X11" i="50"/>
  <c r="W11" i="50"/>
  <c r="V11" i="50"/>
  <c r="O11" i="50"/>
  <c r="Y10" i="50"/>
  <c r="X10" i="50"/>
  <c r="W10" i="50"/>
  <c r="V10" i="50"/>
  <c r="O10" i="50"/>
  <c r="M10" i="50"/>
  <c r="K10" i="50"/>
  <c r="E10" i="50"/>
  <c r="B10" i="50"/>
  <c r="Y9" i="50"/>
  <c r="X9" i="50"/>
  <c r="W9" i="50"/>
  <c r="V9" i="50"/>
  <c r="C9" i="50"/>
  <c r="Y8" i="50"/>
  <c r="X8" i="50"/>
  <c r="W8" i="50"/>
  <c r="V8" i="50"/>
  <c r="Y7" i="50"/>
  <c r="X7" i="50"/>
  <c r="W7" i="50"/>
  <c r="V7" i="50"/>
  <c r="Y6" i="50"/>
  <c r="X6" i="50"/>
  <c r="W6" i="50"/>
  <c r="V6" i="50"/>
  <c r="Y5" i="50"/>
  <c r="X5" i="50"/>
  <c r="W5" i="50"/>
  <c r="V5" i="50"/>
  <c r="E5" i="50"/>
  <c r="Y4" i="50"/>
  <c r="X4" i="50"/>
  <c r="W4" i="50"/>
  <c r="V4" i="50"/>
  <c r="M4" i="50"/>
  <c r="J4" i="50"/>
  <c r="Y3" i="50"/>
  <c r="X3" i="50"/>
  <c r="W3" i="50"/>
  <c r="V3" i="50"/>
  <c r="M3" i="50"/>
  <c r="J3" i="50"/>
  <c r="M2" i="50"/>
  <c r="J2" i="50"/>
  <c r="H2" i="50"/>
  <c r="H3" i="50"/>
  <c r="I1" i="50"/>
  <c r="E1" i="50"/>
  <c r="O39" i="42"/>
  <c r="K39" i="42"/>
  <c r="O38" i="42"/>
  <c r="M37" i="42"/>
  <c r="K37" i="42"/>
  <c r="O36" i="42"/>
  <c r="N35" i="42"/>
  <c r="M35" i="42"/>
  <c r="L35" i="42"/>
  <c r="K35" i="42"/>
  <c r="B35" i="42"/>
  <c r="O34" i="42"/>
  <c r="O33" i="42"/>
  <c r="O32" i="42"/>
  <c r="O31" i="42"/>
  <c r="G30" i="42"/>
  <c r="O30" i="42" s="1"/>
  <c r="O29" i="42"/>
  <c r="I29" i="42"/>
  <c r="G28" i="42"/>
  <c r="O28" i="42" s="1"/>
  <c r="N27" i="42"/>
  <c r="M27" i="42"/>
  <c r="L27" i="42"/>
  <c r="K27" i="42"/>
  <c r="B27" i="42"/>
  <c r="O26" i="42"/>
  <c r="O25" i="42"/>
  <c r="I24" i="42"/>
  <c r="O24" i="42"/>
  <c r="O23" i="42"/>
  <c r="G22" i="42"/>
  <c r="O22" i="42" s="1"/>
  <c r="N21" i="42"/>
  <c r="O21" i="42"/>
  <c r="M21" i="42"/>
  <c r="L21" i="42"/>
  <c r="K21" i="42"/>
  <c r="B21" i="42"/>
  <c r="O20" i="42"/>
  <c r="O19" i="42"/>
  <c r="G19" i="42"/>
  <c r="I18" i="42"/>
  <c r="O18" i="42"/>
  <c r="O17" i="42"/>
  <c r="O16" i="42"/>
  <c r="Y15" i="42"/>
  <c r="X15" i="42"/>
  <c r="W15" i="42"/>
  <c r="V15" i="42"/>
  <c r="O15" i="42"/>
  <c r="I15" i="42"/>
  <c r="Y14" i="42"/>
  <c r="X14" i="42"/>
  <c r="W14" i="42"/>
  <c r="V14" i="42"/>
  <c r="G14" i="42"/>
  <c r="O14" i="42" s="1"/>
  <c r="Y13" i="42"/>
  <c r="X13" i="42"/>
  <c r="W13" i="42"/>
  <c r="V13" i="42"/>
  <c r="M13" i="42"/>
  <c r="L13" i="42"/>
  <c r="O13" i="42"/>
  <c r="K13" i="42"/>
  <c r="B13" i="42"/>
  <c r="Y12" i="42"/>
  <c r="X12" i="42"/>
  <c r="W12" i="42"/>
  <c r="V12" i="42"/>
  <c r="O12" i="42"/>
  <c r="Y11" i="42"/>
  <c r="X11" i="42"/>
  <c r="W11" i="42"/>
  <c r="O11" i="42"/>
  <c r="Y10" i="42"/>
  <c r="X10" i="42"/>
  <c r="W10" i="42"/>
  <c r="V10" i="42"/>
  <c r="O10" i="42"/>
  <c r="M10" i="42"/>
  <c r="K10" i="42"/>
  <c r="E10" i="42"/>
  <c r="B10" i="42"/>
  <c r="Y9" i="42"/>
  <c r="X9" i="42"/>
  <c r="W9" i="42"/>
  <c r="V9" i="42"/>
  <c r="Y8" i="42"/>
  <c r="X8" i="42"/>
  <c r="W8" i="42"/>
  <c r="V8" i="42"/>
  <c r="Y7" i="42"/>
  <c r="X7" i="42"/>
  <c r="W7" i="42"/>
  <c r="V7" i="42"/>
  <c r="Y6" i="42"/>
  <c r="X6" i="42"/>
  <c r="W6" i="42"/>
  <c r="V6" i="42"/>
  <c r="Y5" i="42"/>
  <c r="X5" i="42"/>
  <c r="W5" i="42"/>
  <c r="V5" i="42"/>
  <c r="M5" i="42"/>
  <c r="J5" i="42"/>
  <c r="E5" i="42"/>
  <c r="Y4" i="42"/>
  <c r="X4" i="42"/>
  <c r="W4" i="42"/>
  <c r="V4" i="42"/>
  <c r="M4" i="42"/>
  <c r="J4" i="42"/>
  <c r="Y3" i="42"/>
  <c r="X3" i="42"/>
  <c r="W3" i="42"/>
  <c r="V3" i="42"/>
  <c r="M3" i="42"/>
  <c r="J3" i="42"/>
  <c r="M2" i="42"/>
  <c r="J2" i="42"/>
  <c r="H2" i="42"/>
  <c r="H3" i="42" s="1"/>
  <c r="H4" i="42" s="1"/>
  <c r="H5" i="42" s="1"/>
  <c r="I1" i="42"/>
  <c r="E1" i="42"/>
  <c r="C9" i="42"/>
  <c r="J42" i="3"/>
  <c r="L40" i="3"/>
  <c r="K40" i="3"/>
  <c r="H39" i="3"/>
  <c r="G39" i="3"/>
  <c r="F39" i="3"/>
  <c r="E39" i="3"/>
  <c r="G17" i="49" s="1"/>
  <c r="O17" i="49" s="1"/>
  <c r="G16" i="45"/>
  <c r="I5" i="14"/>
  <c r="H15" i="4"/>
  <c r="C15" i="4"/>
  <c r="H12" i="4"/>
  <c r="K7" i="4"/>
  <c r="J7" i="4"/>
  <c r="I7" i="4"/>
  <c r="H7" i="4"/>
  <c r="G7" i="4"/>
  <c r="C7" i="4"/>
  <c r="G6" i="4"/>
  <c r="O19" i="67"/>
  <c r="O15" i="26"/>
  <c r="O31" i="26"/>
  <c r="O10" i="26"/>
  <c r="O22" i="46"/>
  <c r="M4" i="46"/>
  <c r="O10" i="46"/>
  <c r="O30" i="46"/>
  <c r="G31" i="30"/>
  <c r="O31" i="30" s="1"/>
  <c r="G22" i="72"/>
  <c r="O22" i="72"/>
  <c r="J3" i="58"/>
  <c r="K36" i="67"/>
  <c r="O15" i="19"/>
  <c r="O30" i="67"/>
  <c r="O32" i="31"/>
  <c r="O34" i="31"/>
  <c r="O12" i="67"/>
  <c r="O27" i="31"/>
  <c r="O35" i="31"/>
  <c r="O32" i="67"/>
  <c r="O29" i="61"/>
  <c r="O27" i="42"/>
  <c r="O35" i="42"/>
  <c r="M2" i="67"/>
  <c r="M4" i="67"/>
  <c r="M3" i="67"/>
  <c r="O24" i="67"/>
  <c r="O10" i="67"/>
  <c r="K38" i="31"/>
  <c r="M4" i="31"/>
  <c r="O10" i="31"/>
  <c r="M3" i="31"/>
  <c r="O10" i="72"/>
  <c r="M45" i="72"/>
  <c r="J4" i="72"/>
  <c r="M2" i="72"/>
  <c r="J3" i="72"/>
  <c r="M5" i="72"/>
  <c r="K45" i="72"/>
  <c r="H4" i="72"/>
  <c r="M3" i="72"/>
  <c r="O24" i="71"/>
  <c r="O37" i="71"/>
  <c r="J3" i="71"/>
  <c r="J4" i="71"/>
  <c r="O30" i="71"/>
  <c r="O15" i="71"/>
  <c r="O29" i="71"/>
  <c r="O21" i="71"/>
  <c r="O27" i="71"/>
  <c r="O35" i="71"/>
  <c r="O18" i="71"/>
  <c r="M2" i="71"/>
  <c r="M4" i="71"/>
  <c r="M5" i="71"/>
  <c r="K43" i="71"/>
  <c r="H4" i="71"/>
  <c r="H4" i="65"/>
  <c r="H4" i="52"/>
  <c r="H4" i="64"/>
  <c r="H4" i="51"/>
  <c r="H5" i="51"/>
  <c r="H6" i="51"/>
  <c r="H4" i="53"/>
  <c r="H5" i="53"/>
  <c r="H6" i="53"/>
  <c r="H4" i="58"/>
  <c r="H4" i="47"/>
  <c r="L3" i="47"/>
  <c r="N3" i="47" s="1"/>
  <c r="H4" i="38"/>
  <c r="H4" i="48"/>
  <c r="H4" i="24"/>
  <c r="H4" i="37"/>
  <c r="H3" i="39"/>
  <c r="H4" i="39" s="1"/>
  <c r="H4" i="36"/>
  <c r="H4" i="40"/>
  <c r="H4" i="63"/>
  <c r="H4" i="62"/>
  <c r="H4" i="19"/>
  <c r="H3" i="68"/>
  <c r="H4" i="31"/>
  <c r="H4" i="30"/>
  <c r="H4" i="50"/>
  <c r="H4" i="45"/>
  <c r="H3" i="67"/>
  <c r="H4" i="56"/>
  <c r="L2" i="56"/>
  <c r="H5" i="72"/>
  <c r="H5" i="71"/>
  <c r="H5" i="65"/>
  <c r="H5" i="52"/>
  <c r="H5" i="58"/>
  <c r="H6" i="58"/>
  <c r="H5" i="47"/>
  <c r="H6" i="47"/>
  <c r="H5" i="38"/>
  <c r="H6" i="38"/>
  <c r="H4" i="68"/>
  <c r="H5" i="45"/>
  <c r="H6" i="45"/>
  <c r="H4" i="67"/>
  <c r="H5" i="67"/>
  <c r="H6" i="67"/>
  <c r="H5" i="56"/>
  <c r="H6" i="56"/>
  <c r="H6" i="65"/>
  <c r="H6" i="52"/>
  <c r="N2" i="77" l="1"/>
  <c r="N4" i="77"/>
  <c r="M3" i="77"/>
  <c r="M3" i="46"/>
  <c r="N3" i="46" s="1"/>
  <c r="H4" i="46"/>
  <c r="N2" i="46"/>
  <c r="L3" i="51"/>
  <c r="N3" i="51" s="1"/>
  <c r="L2" i="76"/>
  <c r="N2" i="76" s="1"/>
  <c r="L2" i="81"/>
  <c r="N2" i="81" s="1"/>
  <c r="L2" i="26"/>
  <c r="N2" i="26" s="1"/>
  <c r="O2" i="26" s="1"/>
  <c r="C6" i="26" s="1"/>
  <c r="E6" i="26" s="1"/>
  <c r="L3" i="67"/>
  <c r="N3" i="67" s="1"/>
  <c r="L4" i="50"/>
  <c r="N4" i="50" s="1"/>
  <c r="L4" i="40"/>
  <c r="N4" i="40" s="1"/>
  <c r="L4" i="37"/>
  <c r="N4" i="37" s="1"/>
  <c r="L2" i="43"/>
  <c r="N2" i="43" s="1"/>
  <c r="O2" i="43" s="1"/>
  <c r="L3" i="62"/>
  <c r="L2" i="62"/>
  <c r="N2" i="62" s="1"/>
  <c r="L4" i="62"/>
  <c r="L2" i="75"/>
  <c r="N2" i="75" s="1"/>
  <c r="L4" i="75"/>
  <c r="N4" i="75" s="1"/>
  <c r="L3" i="75"/>
  <c r="L4" i="76"/>
  <c r="N4" i="76" s="1"/>
  <c r="L2" i="45"/>
  <c r="L2" i="36"/>
  <c r="L2" i="38"/>
  <c r="N2" i="38" s="1"/>
  <c r="L4" i="30"/>
  <c r="N4" i="30" s="1"/>
  <c r="L2" i="31"/>
  <c r="N2" i="31" s="1"/>
  <c r="L4" i="36"/>
  <c r="L4" i="24"/>
  <c r="N4" i="24" s="1"/>
  <c r="L3" i="53"/>
  <c r="N3" i="53" s="1"/>
  <c r="L4" i="66"/>
  <c r="N4" i="66" s="1"/>
  <c r="L4" i="52"/>
  <c r="N4" i="52" s="1"/>
  <c r="L2" i="79"/>
  <c r="L3" i="81"/>
  <c r="N3" i="81" s="1"/>
  <c r="L2" i="61"/>
  <c r="N2" i="61" s="1"/>
  <c r="L3" i="36"/>
  <c r="N3" i="36" s="1"/>
  <c r="L4" i="64"/>
  <c r="N4" i="64" s="1"/>
  <c r="L3" i="50"/>
  <c r="N3" i="50" s="1"/>
  <c r="L2" i="40"/>
  <c r="N2" i="40" s="1"/>
  <c r="L2" i="37"/>
  <c r="N2" i="37" s="1"/>
  <c r="L3" i="48"/>
  <c r="L3" i="71"/>
  <c r="N3" i="71" s="1"/>
  <c r="L4" i="72"/>
  <c r="N4" i="72" s="1"/>
  <c r="L3" i="77"/>
  <c r="N3" i="77" s="1"/>
  <c r="O2" i="77" s="1"/>
  <c r="C6" i="77" s="1"/>
  <c r="E6" i="77" s="1"/>
  <c r="L3" i="79"/>
  <c r="L3" i="26"/>
  <c r="N3" i="26" s="1"/>
  <c r="L2" i="67"/>
  <c r="N2" i="67" s="1"/>
  <c r="L2" i="30"/>
  <c r="N2" i="30" s="1"/>
  <c r="L3" i="56"/>
  <c r="N3" i="56" s="1"/>
  <c r="L4" i="19"/>
  <c r="L2" i="53"/>
  <c r="N2" i="53" s="1"/>
  <c r="O2" i="53" s="1"/>
  <c r="C6" i="53" s="1"/>
  <c r="E6" i="53" s="1"/>
  <c r="L4" i="47"/>
  <c r="N4" i="47" s="1"/>
  <c r="O2" i="47" s="1"/>
  <c r="C6" i="47" s="1"/>
  <c r="E6" i="47" s="1"/>
  <c r="L2" i="50"/>
  <c r="N2" i="50" s="1"/>
  <c r="L4" i="48"/>
  <c r="L2" i="59"/>
  <c r="N2" i="59" s="1"/>
  <c r="L2" i="64"/>
  <c r="N2" i="64" s="1"/>
  <c r="L2" i="52"/>
  <c r="N2" i="52" s="1"/>
  <c r="L4" i="58"/>
  <c r="N4" i="58" s="1"/>
  <c r="L4" i="68"/>
  <c r="N4" i="68" s="1"/>
  <c r="L3" i="68"/>
  <c r="N3" i="68" s="1"/>
  <c r="O2" i="68" s="1"/>
  <c r="L3" i="40"/>
  <c r="N3" i="40" s="1"/>
  <c r="M38" i="80"/>
  <c r="J4" i="80"/>
  <c r="L2" i="80"/>
  <c r="N2" i="80" s="1"/>
  <c r="O10" i="62"/>
  <c r="N3" i="62"/>
  <c r="K37" i="75"/>
  <c r="M2" i="75"/>
  <c r="O43" i="75"/>
  <c r="O2" i="54"/>
  <c r="C6" i="54"/>
  <c r="E6" i="54" s="1"/>
  <c r="O29" i="39"/>
  <c r="O10" i="39"/>
  <c r="O48" i="39"/>
  <c r="M40" i="39"/>
  <c r="O13" i="39"/>
  <c r="K40" i="39"/>
  <c r="M2" i="39"/>
  <c r="N2" i="39" s="1"/>
  <c r="M3" i="39"/>
  <c r="O47" i="39"/>
  <c r="M2" i="80"/>
  <c r="O10" i="80"/>
  <c r="L3" i="78"/>
  <c r="N3" i="78" s="1"/>
  <c r="L4" i="78"/>
  <c r="N3" i="48"/>
  <c r="M2" i="48"/>
  <c r="M4" i="48"/>
  <c r="N4" i="48" s="1"/>
  <c r="O41" i="48"/>
  <c r="N3" i="42"/>
  <c r="C6" i="32"/>
  <c r="E6" i="32" s="1"/>
  <c r="C6" i="44"/>
  <c r="E6" i="44" s="1"/>
  <c r="C6" i="43"/>
  <c r="E6" i="43" s="1"/>
  <c r="O38" i="19"/>
  <c r="O42" i="19"/>
  <c r="O44" i="36"/>
  <c r="O43" i="49"/>
  <c r="O30" i="56"/>
  <c r="O43" i="56"/>
  <c r="O30" i="45"/>
  <c r="O46" i="45"/>
  <c r="G27" i="64"/>
  <c r="O27" i="64" s="1"/>
  <c r="O16" i="79"/>
  <c r="O18" i="79"/>
  <c r="O30" i="79"/>
  <c r="O24" i="78"/>
  <c r="O18" i="45"/>
  <c r="O45" i="56"/>
  <c r="O48" i="45"/>
  <c r="O32" i="36"/>
  <c r="O41" i="78"/>
  <c r="O44" i="78"/>
  <c r="O23" i="79"/>
  <c r="O40" i="79"/>
  <c r="O23" i="56"/>
  <c r="O23" i="45"/>
  <c r="O32" i="45"/>
  <c r="O17" i="19"/>
  <c r="O40" i="19"/>
  <c r="O46" i="36"/>
  <c r="O31" i="78"/>
  <c r="G35" i="64"/>
  <c r="O35" i="64" s="1"/>
  <c r="C6" i="74"/>
  <c r="E6" i="74" s="1"/>
  <c r="O2" i="81"/>
  <c r="C6" i="81" s="1"/>
  <c r="E6" i="81" s="1"/>
  <c r="O2" i="67"/>
  <c r="C6" i="67" s="1"/>
  <c r="E6" i="67" s="1"/>
  <c r="O2" i="40"/>
  <c r="C6" i="40" s="1"/>
  <c r="E6" i="40" s="1"/>
  <c r="L4" i="71"/>
  <c r="N4" i="71" s="1"/>
  <c r="L5" i="72"/>
  <c r="N5" i="72" s="1"/>
  <c r="L3" i="30"/>
  <c r="N3" i="30" s="1"/>
  <c r="L4" i="63"/>
  <c r="N4" i="63" s="1"/>
  <c r="L2" i="72"/>
  <c r="N2" i="72" s="1"/>
  <c r="L2" i="58"/>
  <c r="N2" i="58" s="1"/>
  <c r="O2" i="58" s="1"/>
  <c r="C6" i="58" s="1"/>
  <c r="E6" i="58" s="1"/>
  <c r="L5" i="66"/>
  <c r="N5" i="66" s="1"/>
  <c r="O2" i="66" s="1"/>
  <c r="C6" i="66" s="1"/>
  <c r="E6" i="66" s="1"/>
  <c r="L3" i="80"/>
  <c r="N3" i="80" s="1"/>
  <c r="L2" i="51"/>
  <c r="N2" i="51" s="1"/>
  <c r="O2" i="51" s="1"/>
  <c r="C6" i="51" s="1"/>
  <c r="E6" i="51" s="1"/>
  <c r="N3" i="19"/>
  <c r="L3" i="61"/>
  <c r="N3" i="61" s="1"/>
  <c r="L5" i="52"/>
  <c r="N5" i="52" s="1"/>
  <c r="L4" i="38"/>
  <c r="N4" i="38" s="1"/>
  <c r="N4" i="62"/>
  <c r="L3" i="37"/>
  <c r="N3" i="37" s="1"/>
  <c r="O2" i="37" s="1"/>
  <c r="C6" i="37" s="1"/>
  <c r="E6" i="37" s="1"/>
  <c r="L3" i="24"/>
  <c r="N3" i="24" s="1"/>
  <c r="L3" i="38"/>
  <c r="N3" i="38" s="1"/>
  <c r="L3" i="65"/>
  <c r="N3" i="65" s="1"/>
  <c r="L2" i="71"/>
  <c r="N2" i="71" s="1"/>
  <c r="L3" i="31"/>
  <c r="N3" i="31" s="1"/>
  <c r="N2" i="36"/>
  <c r="L3" i="59"/>
  <c r="N3" i="59" s="1"/>
  <c r="O2" i="59" s="1"/>
  <c r="C6" i="59" s="1"/>
  <c r="E6" i="59" s="1"/>
  <c r="N4" i="42"/>
  <c r="L3" i="39"/>
  <c r="N3" i="39" s="1"/>
  <c r="L4" i="65"/>
  <c r="N4" i="65" s="1"/>
  <c r="L5" i="71"/>
  <c r="N5" i="71" s="1"/>
  <c r="L4" i="31"/>
  <c r="N4" i="31" s="1"/>
  <c r="L3" i="64"/>
  <c r="N3" i="64" s="1"/>
  <c r="O2" i="64" s="1"/>
  <c r="C6" i="64" s="1"/>
  <c r="E6" i="64" s="1"/>
  <c r="N2" i="45"/>
  <c r="L2" i="48"/>
  <c r="N2" i="48" s="1"/>
  <c r="N3" i="75"/>
  <c r="L4" i="80"/>
  <c r="N4" i="80" s="1"/>
  <c r="L3" i="45"/>
  <c r="N3" i="45" s="1"/>
  <c r="L3" i="76"/>
  <c r="N3" i="76" s="1"/>
  <c r="O2" i="76" s="1"/>
  <c r="C6" i="76" s="1"/>
  <c r="E6" i="76" s="1"/>
  <c r="L4" i="26"/>
  <c r="N4" i="26" s="1"/>
  <c r="L6" i="52"/>
  <c r="N6" i="52" s="1"/>
  <c r="L5" i="65"/>
  <c r="N5" i="65" s="1"/>
  <c r="L5" i="45"/>
  <c r="N5" i="45" s="1"/>
  <c r="N5" i="42"/>
  <c r="N2" i="42"/>
  <c r="L2" i="63"/>
  <c r="N2" i="63" s="1"/>
  <c r="L2" i="24"/>
  <c r="N2" i="24" s="1"/>
  <c r="O2" i="24" s="1"/>
  <c r="C6" i="24" s="1"/>
  <c r="E6" i="24" s="1"/>
  <c r="L3" i="72"/>
  <c r="N3" i="72" s="1"/>
  <c r="L2" i="19"/>
  <c r="L6" i="65"/>
  <c r="N6" i="65" s="1"/>
  <c r="L2" i="78"/>
  <c r="K41" i="45"/>
  <c r="M4" i="45"/>
  <c r="N4" i="45" s="1"/>
  <c r="K35" i="79"/>
  <c r="M3" i="79"/>
  <c r="N3" i="79"/>
  <c r="M4" i="79"/>
  <c r="N2" i="79"/>
  <c r="L4" i="79"/>
  <c r="N4" i="79" s="1"/>
  <c r="O2" i="83"/>
  <c r="C6" i="83" s="1"/>
  <c r="E6" i="83" s="1"/>
  <c r="M4" i="78"/>
  <c r="O10" i="78"/>
  <c r="O17" i="78"/>
  <c r="M2" i="78"/>
  <c r="K33" i="19"/>
  <c r="O10" i="19"/>
  <c r="M2" i="19"/>
  <c r="M4" i="19"/>
  <c r="O15" i="56"/>
  <c r="K37" i="56"/>
  <c r="M4" i="56"/>
  <c r="N4" i="56" s="1"/>
  <c r="M2" i="56"/>
  <c r="N2" i="56" s="1"/>
  <c r="J3" i="46"/>
  <c r="L3" i="49"/>
  <c r="N3" i="49" s="1"/>
  <c r="H4" i="49"/>
  <c r="L2" i="49"/>
  <c r="N2" i="49" s="1"/>
  <c r="J4" i="49"/>
  <c r="O10" i="49"/>
  <c r="M2" i="49"/>
  <c r="M4" i="49"/>
  <c r="G31" i="31"/>
  <c r="O31" i="31" s="1"/>
  <c r="O16" i="36"/>
  <c r="G15" i="50"/>
  <c r="O15" i="50" s="1"/>
  <c r="G22" i="68"/>
  <c r="O22" i="68" s="1"/>
  <c r="M4" i="36"/>
  <c r="H5" i="46" l="1"/>
  <c r="H6" i="46" s="1"/>
  <c r="L4" i="46"/>
  <c r="N4" i="46" s="1"/>
  <c r="O2" i="46" s="1"/>
  <c r="C6" i="46" s="1"/>
  <c r="E6" i="46" s="1"/>
  <c r="O2" i="30"/>
  <c r="C6" i="30" s="1"/>
  <c r="E6" i="30" s="1"/>
  <c r="O2" i="31"/>
  <c r="O2" i="65"/>
  <c r="C6" i="65" s="1"/>
  <c r="E6" i="65" s="1"/>
  <c r="O2" i="63"/>
  <c r="C6" i="63" s="1"/>
  <c r="E6" i="63" s="1"/>
  <c r="O2" i="61"/>
  <c r="C6" i="61" s="1"/>
  <c r="E6" i="61" s="1"/>
  <c r="N2" i="19"/>
  <c r="O2" i="19" s="1"/>
  <c r="C6" i="19" s="1"/>
  <c r="E6" i="19" s="1"/>
  <c r="N4" i="36"/>
  <c r="O2" i="36" s="1"/>
  <c r="O2" i="52"/>
  <c r="C6" i="52" s="1"/>
  <c r="E6" i="52" s="1"/>
  <c r="O2" i="38"/>
  <c r="C6" i="38" s="1"/>
  <c r="E6" i="38" s="1"/>
  <c r="C6" i="68"/>
  <c r="E6" i="68" s="1"/>
  <c r="N4" i="19"/>
  <c r="O2" i="50"/>
  <c r="C6" i="50" s="1"/>
  <c r="E6" i="50" s="1"/>
  <c r="O2" i="62"/>
  <c r="O2" i="75"/>
  <c r="C6" i="36"/>
  <c r="E6" i="36" s="1"/>
  <c r="O2" i="39"/>
  <c r="C6" i="39" s="1"/>
  <c r="E6" i="39" s="1"/>
  <c r="O2" i="80"/>
  <c r="C6" i="80" s="1"/>
  <c r="E6" i="80" s="1"/>
  <c r="N4" i="78"/>
  <c r="N2" i="78"/>
  <c r="O2" i="48"/>
  <c r="C6" i="48" s="1"/>
  <c r="E6" i="48" s="1"/>
  <c r="O2" i="45"/>
  <c r="C6" i="45" s="1"/>
  <c r="E6" i="45" s="1"/>
  <c r="O2" i="79"/>
  <c r="C6" i="79" s="1"/>
  <c r="E6" i="79" s="1"/>
  <c r="C6" i="31"/>
  <c r="E6" i="31" s="1"/>
  <c r="O2" i="71"/>
  <c r="C6" i="71" s="1"/>
  <c r="E6" i="71" s="1"/>
  <c r="O2" i="72"/>
  <c r="C6" i="72" s="1"/>
  <c r="E6" i="72" s="1"/>
  <c r="O2" i="78"/>
  <c r="C6" i="78" s="1"/>
  <c r="E6" i="78" s="1"/>
  <c r="O2" i="42"/>
  <c r="C6" i="42" s="1"/>
  <c r="E6" i="42" s="1"/>
  <c r="O2" i="56"/>
  <c r="C6" i="56" s="1"/>
  <c r="E6" i="56" s="1"/>
  <c r="H5" i="49"/>
  <c r="H6" i="49" s="1"/>
  <c r="L4" i="49"/>
  <c r="N4" i="49" s="1"/>
  <c r="O2" i="49" s="1"/>
  <c r="C6" i="49" s="1"/>
  <c r="E6" i="49" s="1"/>
  <c r="C6" i="62" l="1"/>
  <c r="E6" i="62" s="1"/>
  <c r="C6" i="75"/>
  <c r="E6" i="75" s="1"/>
</calcChain>
</file>

<file path=xl/sharedStrings.xml><?xml version="1.0" encoding="utf-8"?>
<sst xmlns="http://schemas.openxmlformats.org/spreadsheetml/2006/main" count="6579" uniqueCount="1372">
  <si>
    <t>영문 호텔명</t>
    <phoneticPr fontId="1" type="noConversion"/>
  </si>
  <si>
    <t>한글 호텔명</t>
    <phoneticPr fontId="1" type="noConversion"/>
  </si>
  <si>
    <t>위치</t>
    <phoneticPr fontId="1" type="noConversion"/>
  </si>
  <si>
    <t>조식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</si>
  <si>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</si>
  <si>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</si>
  <si>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</si>
  <si>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</si>
  <si>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</si>
  <si>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</si>
  <si>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</si>
  <si>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포함</t>
  </si>
  <si>
    <t>알렉산드라</t>
    <phoneticPr fontId="1" type="noConversion"/>
  </si>
  <si>
    <t>Superior</t>
    <phoneticPr fontId="1" type="noConversion"/>
  </si>
  <si>
    <t>EVENT</t>
    <phoneticPr fontId="1" type="noConversion"/>
  </si>
  <si>
    <t>시작일</t>
    <phoneticPr fontId="1" type="noConversion"/>
  </si>
  <si>
    <t>마감일</t>
    <phoneticPr fontId="1" type="noConversion"/>
  </si>
  <si>
    <t>실제 행사일</t>
    <phoneticPr fontId="1" type="noConversion"/>
  </si>
  <si>
    <t>Year End</t>
  </si>
  <si>
    <t>센토사 섬 투어 1 : 케이블카, 스카이라인 루지&amp;스카이라이드(2회), 센토사 섬 자유시간</t>
  </si>
  <si>
    <t>센토사 섬 투어 2 : S.E.A. 아쿠아리움, 유니버셜 스튜디오 싱가포르</t>
  </si>
  <si>
    <t>일일투어 1: 보타닉 가든, 차이나타운, 싱가포르 시티 갤러리, 리버 원더스, 마리나베이샌즈 쇼핑몰</t>
  </si>
  <si>
    <t>일일투어 2: 보타닉 가든, 차이나타운, 싱가포르 시티 갤러리, 버드 파라다이스(주롱새공원), 마리나베이샌즈 쇼핑몰</t>
  </si>
  <si>
    <t>일일투어 3: 보타닉 가든, 차이나타운, 싱가포르 시티 갤러리, 싱가포르 동물원, 마리나베이샌즈 쇼핑몰</t>
  </si>
  <si>
    <t>일일투어 4: 아랍 스트리트, 하지 레인, 리틀인디아, 부기스 스트리트, 오차드 로드</t>
  </si>
  <si>
    <t>일일투어 5: 가든스 바이 더 베이(플라워돔+클라우드 포레스트), 리틀인디아, 부기스 스트리트, 오차드 로드</t>
  </si>
  <si>
    <t>야간투어: 리버크루즈, 가든스바이더베이 슈퍼트리 가든랩소디쇼, 마리나베이샌즈 스팩트라쇼</t>
  </si>
  <si>
    <t>역사투어 1(주간): 내셔널 갤러리, 아트하우스, 빅토리아홀, 더 풀러턴 호텔 헤리티지 갤러리, 멀라이언 공원</t>
  </si>
  <si>
    <t>컬쳐투어 1(주간): 차이나타운, 불아사, 스리마리암만 사원, 싱가포르 시티 갤러리</t>
  </si>
  <si>
    <t>컬쳐투어 2(주간) : 아랍 스트리트, 하지 래인, 술탄 모스크, 아랍 향수 가게, 말레이 헤리티지 센터(외관)</t>
  </si>
  <si>
    <t>2층 버스 (빅버스)</t>
  </si>
  <si>
    <t>가든스바이더베이 플라워돔+슈퍼트리 전망대</t>
  </si>
  <si>
    <t>내셔널 오키드 가든</t>
  </si>
  <si>
    <t>Little India</t>
  </si>
  <si>
    <t>리틀인디아</t>
  </si>
  <si>
    <t>Madame Tussauds Sentosa</t>
  </si>
  <si>
    <t>Marina Barrage</t>
  </si>
  <si>
    <t>마리나 버라지</t>
  </si>
  <si>
    <t>Mount Faber Park</t>
  </si>
  <si>
    <t>마운트 페이버 공원</t>
  </si>
  <si>
    <t>Merion Park (Night)</t>
  </si>
  <si>
    <t>멀라이언 파크 (야간)</t>
  </si>
  <si>
    <t>Merion Park (Day)</t>
  </si>
  <si>
    <t>멀라이언 파크 (주간)</t>
  </si>
  <si>
    <t>Singapore Botanic Gardens</t>
  </si>
  <si>
    <t>보타닉 가든</t>
  </si>
  <si>
    <t>Bugis Street</t>
  </si>
  <si>
    <t>부기스 스트리트 시장</t>
  </si>
  <si>
    <t>Southern Ridges</t>
  </si>
  <si>
    <t>서던 리지스</t>
  </si>
  <si>
    <t>SkyHelix Sentosa</t>
  </si>
  <si>
    <t>Sentosa Siloso Beach</t>
  </si>
  <si>
    <t>실로소 비치 센토사</t>
  </si>
  <si>
    <t>싱가포르 플라이어</t>
  </si>
  <si>
    <t>Arab Street</t>
  </si>
  <si>
    <t>아랍 스트리트</t>
  </si>
  <si>
    <t>Emerald Hill</t>
  </si>
  <si>
    <t>에메랄드 힐</t>
  </si>
  <si>
    <t>Esplanade - Theatres on the Bay</t>
  </si>
  <si>
    <t>에스플러네이드 - 베이 극장</t>
  </si>
  <si>
    <t>Orchard Road</t>
  </si>
  <si>
    <t>오차드 로드 (쇼핑의 거리)</t>
  </si>
  <si>
    <t>Chinatown</t>
  </si>
  <si>
    <t>차이나타운</t>
  </si>
  <si>
    <t>Clarke Quay</t>
  </si>
  <si>
    <t>클락 키</t>
  </si>
  <si>
    <t>Haji Lane</t>
  </si>
  <si>
    <t>하지 래인</t>
  </si>
  <si>
    <t>Hawker Center</t>
  </si>
  <si>
    <t>호커 센터</t>
  </si>
  <si>
    <t>Gardens by the Bay Garden Rhapsody</t>
  </si>
  <si>
    <t>가든스바이더베이 슈퍼트리 가든 랩소디쇼</t>
  </si>
  <si>
    <t>The shoppes at Marina Bay Sands</t>
  </si>
  <si>
    <t>더 숍스 앳 마리나베이샌즈(쇼핑몰)</t>
  </si>
  <si>
    <t>Dempsey Hill</t>
  </si>
  <si>
    <t>뎀시 힐</t>
  </si>
  <si>
    <t>Marina Bay Sands Spectra</t>
  </si>
  <si>
    <t>마리나베이샌즈 스팩트라쇼</t>
  </si>
  <si>
    <t>National University of Singapore Tour</t>
  </si>
  <si>
    <t>Club Street &amp; Ann Siang Road</t>
  </si>
  <si>
    <t>클럽 스트리트 &amp; 안 시앙 로드</t>
  </si>
  <si>
    <t>Tiong Bahru</t>
  </si>
  <si>
    <t>티옹바루</t>
  </si>
  <si>
    <t>Fort Siloso</t>
  </si>
  <si>
    <t>실로소 요새</t>
  </si>
  <si>
    <t>싱가포르 국립 박물관</t>
  </si>
  <si>
    <t>싱가포르 내셔널 갤러리</t>
  </si>
  <si>
    <t>싱가포르 사이언스 센터 (옴니극장 포함)</t>
  </si>
  <si>
    <t>Singapore City Gallery</t>
  </si>
  <si>
    <t>싱가포르 시티 갤러리</t>
  </si>
  <si>
    <t>마리나베이 샌즈 스카이파크 전망대</t>
  </si>
  <si>
    <t>Universal Studios Singapore</t>
  </si>
  <si>
    <t>S.E.A. Aquarium</t>
  </si>
  <si>
    <t>리버원더스 (리버사파리)</t>
  </si>
  <si>
    <t>리버원더스 (리버사파리, 보트 포함)</t>
  </si>
  <si>
    <t>Singapore Zoo</t>
  </si>
  <si>
    <t>싱가포르 동물원</t>
  </si>
  <si>
    <t>투어/여행</t>
  </si>
  <si>
    <t>어트랙션/티켓</t>
  </si>
  <si>
    <t>체험/액티비티</t>
  </si>
  <si>
    <t>박물관/갤러리</t>
  </si>
  <si>
    <t>전망대/케이블카</t>
  </si>
  <si>
    <t>테마파크/워터파크</t>
  </si>
  <si>
    <t>동물원/아쿠아리움</t>
  </si>
  <si>
    <t>무료 관광지</t>
    <phoneticPr fontId="1" type="noConversion"/>
  </si>
  <si>
    <t>구분</t>
    <phoneticPr fontId="1" type="noConversion"/>
  </si>
  <si>
    <t>영어명칭</t>
    <phoneticPr fontId="1" type="noConversion"/>
  </si>
  <si>
    <t>한글명칭</t>
    <phoneticPr fontId="1" type="noConversion"/>
  </si>
  <si>
    <t>성인요금</t>
    <phoneticPr fontId="1" type="noConversion"/>
  </si>
  <si>
    <t>아동요금</t>
    <phoneticPr fontId="1" type="noConversion"/>
  </si>
  <si>
    <t>저녁뷔페(Good Old Days) - 나이트 루지 - 윙스오브타임 - 이미지나이트 - Sensory Scape</t>
    <phoneticPr fontId="1" type="noConversion"/>
  </si>
  <si>
    <t>검증요금</t>
    <phoneticPr fontId="1" type="noConversion"/>
  </si>
  <si>
    <t>나이트 사파리</t>
    <phoneticPr fontId="1" type="noConversion"/>
  </si>
  <si>
    <t>마담투소 (Marvel 4D 불포함)</t>
    <phoneticPr fontId="1" type="noConversion"/>
  </si>
  <si>
    <t>테마파크/워터파크</t>
    <phoneticPr fontId="1" type="noConversion"/>
  </si>
  <si>
    <t>유니버셜 스튜디오 싱가포르</t>
    <phoneticPr fontId="1" type="noConversion"/>
  </si>
  <si>
    <t>워킹 요금</t>
    <phoneticPr fontId="1" type="noConversion"/>
  </si>
  <si>
    <t>어드벤처 코브 원터 파크</t>
    <phoneticPr fontId="1" type="noConversion"/>
  </si>
  <si>
    <t>Adventure Cove Waterpark</t>
    <phoneticPr fontId="1" type="noConversion"/>
  </si>
  <si>
    <t>일정</t>
    <phoneticPr fontId="1" type="noConversion"/>
  </si>
  <si>
    <t>공항미팅/공항샌딩</t>
    <phoneticPr fontId="1" type="noConversion"/>
  </si>
  <si>
    <t>한국인 가이드</t>
    <phoneticPr fontId="1" type="noConversion"/>
  </si>
  <si>
    <t>현지 영어 가이드</t>
    <phoneticPr fontId="1" type="noConversion"/>
  </si>
  <si>
    <t>SGD</t>
    <phoneticPr fontId="1" type="noConversion"/>
  </si>
  <si>
    <t>4시간 이하</t>
    <phoneticPr fontId="1" type="noConversion"/>
  </si>
  <si>
    <t>10시간</t>
    <phoneticPr fontId="1" type="noConversion"/>
  </si>
  <si>
    <t>추가 시간당</t>
    <phoneticPr fontId="1" type="noConversion"/>
  </si>
  <si>
    <t>할증( 23:00 ~ 08 :00 )</t>
    <phoneticPr fontId="1" type="noConversion"/>
  </si>
  <si>
    <t>13인 승합차 ( 8명 )</t>
    <phoneticPr fontId="1" type="noConversion"/>
  </si>
  <si>
    <t>VIP 승합차 ( 5명 )</t>
    <phoneticPr fontId="1" type="noConversion"/>
  </si>
  <si>
    <t>종류</t>
    <phoneticPr fontId="1" type="noConversion"/>
  </si>
  <si>
    <t>식당명</t>
    <phoneticPr fontId="1" type="noConversion"/>
  </si>
  <si>
    <t>주요 메뉴</t>
    <phoneticPr fontId="1" type="noConversion"/>
  </si>
  <si>
    <t>일반식</t>
  </si>
  <si>
    <t>현지식</t>
  </si>
  <si>
    <t>특식</t>
  </si>
  <si>
    <t>한식</t>
  </si>
  <si>
    <t>SBCD두부하우스</t>
  </si>
  <si>
    <t>순두부 LA갈비 세트</t>
  </si>
  <si>
    <t>순두부 돼지고기볶음 세트</t>
  </si>
  <si>
    <t>고려정</t>
  </si>
  <si>
    <t>김치찌개 제육복음 김치전 세트</t>
  </si>
  <si>
    <t>중식</t>
  </si>
  <si>
    <t>볶음밥 쿼바로우 세트</t>
  </si>
  <si>
    <t>레드하우스</t>
  </si>
  <si>
    <t>칠리크랩 세트(저녁 또는 주말/휴일)</t>
  </si>
  <si>
    <t>칠리크랩 세트(주중 점심)</t>
  </si>
  <si>
    <t>블랑코 새우국수</t>
  </si>
  <si>
    <t>새우국수(점심)</t>
  </si>
  <si>
    <t>송파바쿠테</t>
  </si>
  <si>
    <t>카야토스트 세트(조식용)</t>
  </si>
  <si>
    <t>얌차</t>
  </si>
  <si>
    <t>점보레스토랑(이스트코스트)</t>
  </si>
  <si>
    <t>칠리크랩 세트</t>
  </si>
  <si>
    <t>코카 스팀보트</t>
  </si>
  <si>
    <t>일식</t>
  </si>
  <si>
    <t>일식 뷔페(주중 저녁)</t>
  </si>
  <si>
    <t>일식 뷔페(주중 점심)</t>
  </si>
  <si>
    <t>송파바쿠테</t>
    <phoneticPr fontId="1" type="noConversion"/>
  </si>
  <si>
    <t>특식</t>
    <phoneticPr fontId="1" type="noConversion"/>
  </si>
  <si>
    <t>뷔페</t>
    <phoneticPr fontId="1" type="noConversion"/>
  </si>
  <si>
    <t>일반식</t>
    <phoneticPr fontId="1" type="noConversion"/>
  </si>
  <si>
    <t>한식</t>
    <phoneticPr fontId="1" type="noConversion"/>
  </si>
  <si>
    <t>딤섬 세트 (주말, 저녁)</t>
    <phoneticPr fontId="1" type="noConversion"/>
  </si>
  <si>
    <t>딤섬 세트 (주중, 점심)</t>
    <phoneticPr fontId="1" type="noConversion"/>
  </si>
  <si>
    <t>페라나칸식 (8명 이하)</t>
    <phoneticPr fontId="1" type="noConversion"/>
  </si>
  <si>
    <t>페라나칸식 (9명 이상)</t>
    <phoneticPr fontId="1" type="noConversion"/>
  </si>
  <si>
    <t>싱가포르 국립대학(NUS) 재학생 투어 (차량당)</t>
    <phoneticPr fontId="1" type="noConversion"/>
  </si>
  <si>
    <t>마담투소 (Marvel 4D, Digphoto 포함)</t>
    <phoneticPr fontId="1" type="noConversion"/>
  </si>
  <si>
    <t>센토사 스카이라인 루지&amp;스카이라이드(3회)</t>
    <phoneticPr fontId="1" type="noConversion"/>
  </si>
  <si>
    <t>Wings of Time - 8.40PM + Good Old Days Buffet</t>
    <phoneticPr fontId="1" type="noConversion"/>
  </si>
  <si>
    <t>Wings of Time - 7.40PM + Good Old Days Buffet</t>
    <phoneticPr fontId="1" type="noConversion"/>
  </si>
  <si>
    <t>Wings of Time ( 7:40, Open / 8:40 )</t>
    <phoneticPr fontId="1" type="noConversion"/>
  </si>
  <si>
    <t>윙스오브타임 7:40 + 굳 올드데이스 뷔페</t>
    <phoneticPr fontId="1" type="noConversion"/>
  </si>
  <si>
    <t>윙스오브타임 8:40 + 굳 올드데이스 뷔페</t>
    <phoneticPr fontId="1" type="noConversion"/>
  </si>
  <si>
    <t>윙스오브타임 오픈+케이블카1회왕복+뷔페</t>
    <phoneticPr fontId="1" type="noConversion"/>
  </si>
  <si>
    <t>Wings of Time Open+Cable Car(1 Round)+Good Old Days Buffet</t>
    <phoneticPr fontId="1" type="noConversion"/>
  </si>
  <si>
    <t>Big Bus Singapore</t>
    <phoneticPr fontId="1" type="noConversion"/>
  </si>
  <si>
    <t>윙스오브타임 7:40 오픈 , 8/40분 입장</t>
    <phoneticPr fontId="1" type="noConversion"/>
  </si>
  <si>
    <t>Night Safari</t>
    <phoneticPr fontId="1" type="noConversion"/>
  </si>
  <si>
    <t>Bird Paradise</t>
    <phoneticPr fontId="1" type="noConversion"/>
  </si>
  <si>
    <t>River Wonders (+Boat)</t>
    <phoneticPr fontId="1" type="noConversion"/>
  </si>
  <si>
    <t>Bird Paradise+River Wonders</t>
    <phoneticPr fontId="1" type="noConversion"/>
  </si>
  <si>
    <t>버드 파라다이스 + 리버원더스</t>
    <phoneticPr fontId="1" type="noConversion"/>
  </si>
  <si>
    <t>동물원 조식(09:~10:30)</t>
    <phoneticPr fontId="1" type="noConversion"/>
  </si>
  <si>
    <t>만다이 동물원 뷔페</t>
    <phoneticPr fontId="1" type="noConversion"/>
  </si>
  <si>
    <t>중식</t>
    <phoneticPr fontId="1" type="noConversion"/>
  </si>
  <si>
    <t>버드파라다이스</t>
    <phoneticPr fontId="1" type="noConversion"/>
  </si>
  <si>
    <t>크림손 3코스 런치 세트</t>
    <phoneticPr fontId="1" type="noConversion"/>
  </si>
  <si>
    <t>ORCHID HOTEL</t>
    <phoneticPr fontId="1" type="noConversion"/>
  </si>
  <si>
    <t>오키드 호텔</t>
    <phoneticPr fontId="1" type="noConversion"/>
  </si>
  <si>
    <t>탄중파가</t>
    <phoneticPr fontId="1" type="noConversion"/>
  </si>
  <si>
    <t>포함</t>
    <phoneticPr fontId="1" type="noConversion"/>
  </si>
  <si>
    <t>참고사항</t>
    <phoneticPr fontId="1" type="noConversion"/>
  </si>
  <si>
    <t>센토사 소피텔 리조트</t>
    <phoneticPr fontId="1" type="noConversion"/>
  </si>
  <si>
    <t>센토사</t>
    <phoneticPr fontId="1" type="noConversion"/>
  </si>
  <si>
    <t>Luxury</t>
  </si>
  <si>
    <t>ORCHARD HOTEL</t>
    <phoneticPr fontId="1" type="noConversion"/>
  </si>
  <si>
    <t>오차드 호텔</t>
    <phoneticPr fontId="1" type="noConversion"/>
  </si>
  <si>
    <t>오차드</t>
    <phoneticPr fontId="1" type="noConversion"/>
  </si>
  <si>
    <t xml:space="preserve">Garden Deluxe </t>
    <phoneticPr fontId="1" type="noConversion"/>
  </si>
  <si>
    <t>Premier</t>
  </si>
  <si>
    <t>Premier</t>
    <phoneticPr fontId="1" type="noConversion"/>
  </si>
  <si>
    <t>Singapore DUCKtours</t>
    <phoneticPr fontId="1" type="noConversion"/>
  </si>
  <si>
    <t>싱가포르 덕투어</t>
    <phoneticPr fontId="1" type="noConversion"/>
  </si>
  <si>
    <t>2층버스 + 빅버스</t>
    <phoneticPr fontId="1" type="noConversion"/>
  </si>
  <si>
    <t>2층 버스 (펀비버스) - 2시간 1일</t>
    <phoneticPr fontId="1" type="noConversion"/>
  </si>
  <si>
    <t>Funvee + Duck</t>
    <phoneticPr fontId="1" type="noConversion"/>
  </si>
  <si>
    <t xml:space="preserve">Funvee Bus </t>
    <phoneticPr fontId="1" type="noConversion"/>
  </si>
  <si>
    <t>National Orchid Gardens</t>
    <phoneticPr fontId="1" type="noConversion"/>
  </si>
  <si>
    <t>Singapore Flyer</t>
    <phoneticPr fontId="1" type="noConversion"/>
  </si>
  <si>
    <t>Singapore River Cruise</t>
    <phoneticPr fontId="1" type="noConversion"/>
  </si>
  <si>
    <t>National Museum of Singapore</t>
    <phoneticPr fontId="1" type="noConversion"/>
  </si>
  <si>
    <t>National Gallery</t>
    <phoneticPr fontId="1" type="noConversion"/>
  </si>
  <si>
    <t>Science Centre Singapore</t>
    <phoneticPr fontId="1" type="noConversion"/>
  </si>
  <si>
    <t>SkyPark Observation Deck (peak)</t>
    <phoneticPr fontId="1" type="noConversion"/>
  </si>
  <si>
    <t>SkyPark Observation Deck (non Peak)</t>
    <phoneticPr fontId="1" type="noConversion"/>
  </si>
  <si>
    <t>Swissotel The stamford</t>
    <phoneticPr fontId="1" type="noConversion"/>
  </si>
  <si>
    <t>Premier (40sqm)</t>
    <phoneticPr fontId="1" type="noConversion"/>
  </si>
  <si>
    <t>Premier Habour view</t>
    <phoneticPr fontId="1" type="noConversion"/>
  </si>
  <si>
    <t>스위소텔 스템포드</t>
    <phoneticPr fontId="1" type="noConversion"/>
  </si>
  <si>
    <t>Skyline Luge Singapore( 3 rounds)</t>
    <phoneticPr fontId="1" type="noConversion"/>
  </si>
  <si>
    <t>시부 에어 요금 체크</t>
    <phoneticPr fontId="1" type="noConversion"/>
  </si>
  <si>
    <t>1달 점검으로 미운영 예정, 시부 에어 요금체크</t>
    <phoneticPr fontId="1" type="noConversion"/>
  </si>
  <si>
    <t>2024년 4월 1일 인상 요금 반영</t>
    <phoneticPr fontId="1" type="noConversion"/>
  </si>
  <si>
    <t>인원</t>
    <phoneticPr fontId="1" type="noConversion"/>
  </si>
  <si>
    <t>센토사 케이블카 2라인</t>
    <phoneticPr fontId="1" type="noConversion"/>
  </si>
  <si>
    <t>센토사 케이블카 1라인(마운틴페이버)</t>
    <phoneticPr fontId="1" type="noConversion"/>
  </si>
  <si>
    <t>2024년 5월부로 요금 인상</t>
    <phoneticPr fontId="1" type="noConversion"/>
  </si>
  <si>
    <t>Singapore Cable Car - Mount Faber Line</t>
    <phoneticPr fontId="1" type="noConversion"/>
  </si>
  <si>
    <t>Singapore Cable Car - Sky pass</t>
    <phoneticPr fontId="1" type="noConversion"/>
  </si>
  <si>
    <t>48++</t>
    <phoneticPr fontId="1" type="noConversion"/>
  </si>
  <si>
    <t>Grand Copthorne Waterfront</t>
    <phoneticPr fontId="1" type="noConversion"/>
  </si>
  <si>
    <t>그랜드 콥튼 워터프론트</t>
    <phoneticPr fontId="1" type="noConversion"/>
  </si>
  <si>
    <t>Hotel Boss</t>
    <phoneticPr fontId="1" type="noConversion"/>
  </si>
  <si>
    <t>4월~6월 프로모션</t>
    <phoneticPr fontId="1" type="noConversion"/>
  </si>
  <si>
    <t>Deluxe</t>
    <phoneticPr fontId="1" type="noConversion"/>
  </si>
  <si>
    <t>6월까지 EXPRESS 중단됨</t>
    <phoneticPr fontId="1" type="noConversion"/>
  </si>
  <si>
    <t>마스터코드</t>
  </si>
  <si>
    <t>구분[여정]</t>
  </si>
  <si>
    <t>호텔 조식 후 가이드 미팅</t>
  </si>
  <si>
    <t>인원(손님)</t>
    <phoneticPr fontId="1" type="noConversion"/>
  </si>
  <si>
    <t>도착날짜</t>
    <phoneticPr fontId="1" type="noConversion"/>
  </si>
  <si>
    <t>인당 지상비 (SGD)</t>
    <phoneticPr fontId="1" type="noConversion"/>
  </si>
  <si>
    <t>옵션</t>
    <phoneticPr fontId="1" type="noConversion"/>
  </si>
  <si>
    <t>SGD/WON</t>
    <phoneticPr fontId="1" type="noConversion"/>
  </si>
  <si>
    <t>기타비용</t>
    <phoneticPr fontId="1" type="noConversion"/>
  </si>
  <si>
    <t>싱가포르 호텔 투숙</t>
    <phoneticPr fontId="1" type="noConversion"/>
  </si>
  <si>
    <t>식사 후 호텔 휴식</t>
    <phoneticPr fontId="1" type="noConversion"/>
  </si>
  <si>
    <t>스카이파크</t>
    <phoneticPr fontId="1" type="noConversion"/>
  </si>
  <si>
    <t>리버보트</t>
    <phoneticPr fontId="1" type="noConversion"/>
  </si>
  <si>
    <t>2층버스</t>
    <phoneticPr fontId="1" type="noConversion"/>
  </si>
  <si>
    <t>플라이어</t>
    <phoneticPr fontId="1" type="noConversion"/>
  </si>
  <si>
    <t>인원(FOC)</t>
    <phoneticPr fontId="1" type="noConversion"/>
  </si>
  <si>
    <t>인당 지상비 (원화)</t>
    <phoneticPr fontId="1" type="noConversion"/>
  </si>
  <si>
    <t>쇼핑</t>
    <phoneticPr fontId="1" type="noConversion"/>
  </si>
  <si>
    <t>SGD/MYR</t>
    <phoneticPr fontId="1" type="noConversion"/>
  </si>
  <si>
    <t>입장료(항공)</t>
    <phoneticPr fontId="1" type="noConversion"/>
  </si>
  <si>
    <t>금액</t>
    <phoneticPr fontId="1" type="noConversion"/>
  </si>
  <si>
    <t>식사비</t>
    <phoneticPr fontId="1" type="noConversion"/>
  </si>
  <si>
    <t>차량</t>
    <phoneticPr fontId="1" type="noConversion"/>
  </si>
  <si>
    <t>룸넘버</t>
    <phoneticPr fontId="1" type="noConversion"/>
  </si>
  <si>
    <t>가이드</t>
    <phoneticPr fontId="1" type="noConversion"/>
  </si>
  <si>
    <t>소계</t>
    <phoneticPr fontId="1" type="noConversion"/>
  </si>
  <si>
    <t>합계</t>
    <phoneticPr fontId="1" type="noConversion"/>
  </si>
  <si>
    <t>총합계</t>
    <phoneticPr fontId="1" type="noConversion"/>
  </si>
  <si>
    <t>쇼핑 - 4회</t>
    <phoneticPr fontId="1" type="noConversion"/>
  </si>
  <si>
    <t>쇼핑 - 3회</t>
    <phoneticPr fontId="1" type="noConversion"/>
  </si>
  <si>
    <t>쇼핑 - 2회</t>
    <phoneticPr fontId="1" type="noConversion"/>
  </si>
  <si>
    <t>쇼핑 - 1회</t>
    <phoneticPr fontId="1" type="noConversion"/>
  </si>
  <si>
    <t>쇼핑 - 0회</t>
    <phoneticPr fontId="1" type="noConversion"/>
  </si>
  <si>
    <t>(싱) 오키드 호텔</t>
    <phoneticPr fontId="1" type="noConversion"/>
  </si>
  <si>
    <t>트윈/더블</t>
    <phoneticPr fontId="1" type="noConversion"/>
  </si>
  <si>
    <t>싱글</t>
    <phoneticPr fontId="1" type="noConversion"/>
  </si>
  <si>
    <t>호텔</t>
    <phoneticPr fontId="1" type="noConversion"/>
  </si>
  <si>
    <t>* 서차지기간 확인필수</t>
  </si>
  <si>
    <t>가이드 미팅 후 싱가포르 호텔 이동</t>
    <phoneticPr fontId="1" type="noConversion"/>
  </si>
  <si>
    <t>차량/가이드 10시간 기준</t>
    <phoneticPr fontId="1" type="noConversion"/>
  </si>
  <si>
    <t>차량/가이드 12시간 기준</t>
    <phoneticPr fontId="1" type="noConversion"/>
  </si>
  <si>
    <t>리버보트 탑승</t>
    <phoneticPr fontId="1" type="noConversion"/>
  </si>
  <si>
    <t>USS 자유 관람</t>
    <phoneticPr fontId="1" type="noConversion"/>
  </si>
  <si>
    <t>(중식) 자유식 20 SGD</t>
    <phoneticPr fontId="1" type="noConversion"/>
  </si>
  <si>
    <t>호텔 조식 후 가이드 미팅</t>
    <phoneticPr fontId="1" type="noConversion"/>
  </si>
  <si>
    <t>보타닉 가든</t>
    <phoneticPr fontId="1" type="noConversion"/>
  </si>
  <si>
    <t>식사 후 공항이동 OZ752 22:50</t>
    <phoneticPr fontId="1" type="noConversion"/>
  </si>
  <si>
    <t>부대찌게 불고기 세트</t>
    <phoneticPr fontId="1" type="noConversion"/>
  </si>
  <si>
    <t>8시40분 9 SGD</t>
    <phoneticPr fontId="1" type="noConversion"/>
  </si>
  <si>
    <t>11</t>
    <phoneticPr fontId="1" type="noConversion"/>
  </si>
  <si>
    <t>기타 예비 비용 ( 1인 생수 등)</t>
    <phoneticPr fontId="1" type="noConversion"/>
  </si>
  <si>
    <t>최대인원</t>
    <phoneticPr fontId="1" type="noConversion"/>
  </si>
  <si>
    <t>딤섬 세트</t>
    <phoneticPr fontId="1" type="noConversion"/>
  </si>
  <si>
    <t>12시간</t>
    <phoneticPr fontId="1" type="noConversion"/>
  </si>
  <si>
    <t>8시간 이하</t>
    <phoneticPr fontId="1" type="noConversion"/>
  </si>
  <si>
    <t>할증 택시비( 23:00 ~ 08 :00 )</t>
    <phoneticPr fontId="1" type="noConversion"/>
  </si>
  <si>
    <t>상품명</t>
  </si>
  <si>
    <t>숙박지역</t>
  </si>
  <si>
    <t>싱-싱-싱</t>
    <phoneticPr fontId="1" type="noConversion"/>
  </si>
  <si>
    <t>home</t>
    <phoneticPr fontId="1" type="noConversion"/>
  </si>
  <si>
    <t>(석식) SBCD 두부하우스</t>
    <phoneticPr fontId="1" type="noConversion"/>
  </si>
  <si>
    <t>옵션 - 4개</t>
    <phoneticPr fontId="1" type="noConversion"/>
  </si>
  <si>
    <t>옵션 - 3개</t>
    <phoneticPr fontId="1" type="noConversion"/>
  </si>
  <si>
    <t>옵션 - 2개</t>
    <phoneticPr fontId="1" type="noConversion"/>
  </si>
  <si>
    <t>옵션 - 0개</t>
    <phoneticPr fontId="1" type="noConversion"/>
  </si>
  <si>
    <t>옵션 - 5개</t>
    <phoneticPr fontId="1" type="noConversion"/>
  </si>
  <si>
    <t>리버원더스+리버퀘스트</t>
    <phoneticPr fontId="1" type="noConversion"/>
  </si>
  <si>
    <t>(석식) 오빠샤브- 스팀보트 +한식 뷔페</t>
    <phoneticPr fontId="1" type="noConversion"/>
  </si>
  <si>
    <t>Luxury (36sqm)</t>
    <phoneticPr fontId="1" type="noConversion"/>
  </si>
  <si>
    <t>Luxury Garden(36sqm)</t>
    <phoneticPr fontId="1" type="noConversion"/>
  </si>
  <si>
    <t>Hotel Jen Tanglin</t>
    <phoneticPr fontId="1" type="noConversion"/>
  </si>
  <si>
    <t>호텔 젠 탕린</t>
    <phoneticPr fontId="1" type="noConversion"/>
  </si>
  <si>
    <t>Superior (25sqm)</t>
    <phoneticPr fontId="1" type="noConversion"/>
  </si>
  <si>
    <t>Deluxe (25sqm)</t>
    <phoneticPr fontId="1" type="noConversion"/>
  </si>
  <si>
    <t>Grand Delex (26sqm)</t>
    <phoneticPr fontId="1" type="noConversion"/>
  </si>
  <si>
    <t>Premier (32sqm)</t>
    <phoneticPr fontId="1" type="noConversion"/>
  </si>
  <si>
    <t>김치/된장 찌개 + 제육볶음</t>
    <phoneticPr fontId="1" type="noConversion"/>
  </si>
  <si>
    <t>더고기집</t>
    <phoneticPr fontId="1" type="noConversion"/>
  </si>
  <si>
    <t>간식</t>
    <phoneticPr fontId="1" type="noConversion"/>
  </si>
  <si>
    <t>열대과일</t>
    <phoneticPr fontId="1" type="noConversion"/>
  </si>
  <si>
    <t>부기스시장</t>
    <phoneticPr fontId="1" type="noConversion"/>
  </si>
  <si>
    <t>동방미식(점심만)</t>
    <phoneticPr fontId="1" type="noConversion"/>
  </si>
  <si>
    <t>삼겹살 무제한(저녁)</t>
    <phoneticPr fontId="1" type="noConversion"/>
  </si>
  <si>
    <t>페어몬트</t>
    <phoneticPr fontId="1" type="noConversion"/>
  </si>
  <si>
    <t>보타닉가든+멀라이언파크</t>
    <phoneticPr fontId="1" type="noConversion"/>
  </si>
  <si>
    <t>(중식) 칠리크랩 - 레드하우스</t>
    <phoneticPr fontId="1" type="noConversion"/>
  </si>
  <si>
    <t xml:space="preserve">차이나타운 </t>
    <phoneticPr fontId="1" type="noConversion"/>
  </si>
  <si>
    <t>슈퍼트리쇼</t>
    <phoneticPr fontId="1" type="noConversion"/>
  </si>
  <si>
    <t>(중식) 펭퀸코브 뷔페</t>
    <phoneticPr fontId="1" type="noConversion"/>
  </si>
  <si>
    <t>오차드 로드 + 에메랄드 힐</t>
    <phoneticPr fontId="1" type="noConversion"/>
  </si>
  <si>
    <t>(석식) 자유식 20 SGD - 호커센터</t>
    <phoneticPr fontId="1" type="noConversion"/>
  </si>
  <si>
    <t>버드 파라다이스</t>
    <phoneticPr fontId="1" type="noConversion"/>
  </si>
  <si>
    <t>호텔 조식 후 개별 체크아웃</t>
    <phoneticPr fontId="1" type="noConversion"/>
  </si>
  <si>
    <t>오전 자유시간 후 가이드 미팅</t>
    <phoneticPr fontId="1" type="noConversion"/>
  </si>
  <si>
    <t>(중식) 송파 바쿠테 - 로컬</t>
    <phoneticPr fontId="1" type="noConversion"/>
  </si>
  <si>
    <t>카야 토스트 세트 시식</t>
    <phoneticPr fontId="1" type="noConversion"/>
  </si>
  <si>
    <t>리틀 인디아 + 아랍스트리트 + 하지레인 + 부기스 시장</t>
    <phoneticPr fontId="1" type="noConversion"/>
  </si>
  <si>
    <r>
      <t xml:space="preserve">센토사 섬 ( </t>
    </r>
    <r>
      <rPr>
        <b/>
        <sz val="10"/>
        <color rgb="FFFF0000"/>
        <rFont val="맑은 고딕"/>
        <family val="3"/>
        <charset val="129"/>
        <scheme val="minor"/>
      </rPr>
      <t>케이블카 + 루지 + 마담투소</t>
    </r>
    <r>
      <rPr>
        <sz val="10"/>
        <color theme="1"/>
        <rFont val="맑은 고딕"/>
        <family val="2"/>
        <charset val="129"/>
        <scheme val="minor"/>
      </rPr>
      <t xml:space="preserve"> )</t>
    </r>
    <phoneticPr fontId="1" type="noConversion"/>
  </si>
  <si>
    <t>윙스오브타임</t>
    <phoneticPr fontId="1" type="noConversion"/>
  </si>
  <si>
    <t>포함 옵션
(싱가포르)</t>
    <phoneticPr fontId="1" type="noConversion"/>
  </si>
  <si>
    <t>차이나타운  + 시티겔러리</t>
    <phoneticPr fontId="1" type="noConversion"/>
  </si>
  <si>
    <t>(중식) 자유시간 - 불포함</t>
    <phoneticPr fontId="1" type="noConversion"/>
  </si>
  <si>
    <t>윙스오브타임 (19:40)</t>
    <phoneticPr fontId="1" type="noConversion"/>
  </si>
  <si>
    <t>#USS #윙스오브타임 #버드+뷔페</t>
    <phoneticPr fontId="1" type="noConversion"/>
  </si>
  <si>
    <t>TW0171</t>
    <phoneticPr fontId="1" type="noConversion"/>
  </si>
  <si>
    <t>V Hotel Lavender</t>
    <phoneticPr fontId="1" type="noConversion"/>
  </si>
  <si>
    <t>V Hotel Bencoolen</t>
    <phoneticPr fontId="1" type="noConversion"/>
  </si>
  <si>
    <t>Farimont Singapre</t>
    <phoneticPr fontId="1" type="noConversion"/>
  </si>
  <si>
    <t>샹그릴라 오차드</t>
    <phoneticPr fontId="1" type="noConversion"/>
  </si>
  <si>
    <t>Tower wing / Deluxe</t>
    <phoneticPr fontId="1" type="noConversion"/>
  </si>
  <si>
    <t>Garden wing / Deluxe</t>
    <phoneticPr fontId="1" type="noConversion"/>
  </si>
  <si>
    <t>Grand Park City hall</t>
    <phoneticPr fontId="1" type="noConversion"/>
  </si>
  <si>
    <t>그랜드 파크 시티홀</t>
    <phoneticPr fontId="1" type="noConversion"/>
  </si>
  <si>
    <t>다운타운</t>
    <phoneticPr fontId="1" type="noConversion"/>
  </si>
  <si>
    <t>Deluxe Room</t>
    <phoneticPr fontId="1" type="noConversion"/>
  </si>
  <si>
    <t>Premier Room</t>
    <phoneticPr fontId="1" type="noConversion"/>
  </si>
  <si>
    <t>Studio M</t>
    <phoneticPr fontId="1" type="noConversion"/>
  </si>
  <si>
    <t>스튜디오 엠</t>
    <phoneticPr fontId="1" type="noConversion"/>
  </si>
  <si>
    <t xml:space="preserve">Superior </t>
    <phoneticPr fontId="1" type="noConversion"/>
  </si>
  <si>
    <t>M social</t>
    <phoneticPr fontId="1" type="noConversion"/>
  </si>
  <si>
    <t>그랜드 머큐어 록시</t>
    <phoneticPr fontId="1" type="noConversion"/>
  </si>
  <si>
    <t>GRAND MERCURE ROXY</t>
    <phoneticPr fontId="1" type="noConversion"/>
  </si>
  <si>
    <t xml:space="preserve">Superior </t>
  </si>
  <si>
    <t>Deluxe</t>
  </si>
  <si>
    <t>X</t>
    <phoneticPr fontId="1" type="noConversion"/>
  </si>
  <si>
    <t>Mondrian Duxton</t>
    <phoneticPr fontId="1" type="noConversion"/>
  </si>
  <si>
    <t>Duxton Room</t>
    <phoneticPr fontId="1" type="noConversion"/>
  </si>
  <si>
    <t xml:space="preserve">The Robertson House </t>
    <phoneticPr fontId="1" type="noConversion"/>
  </si>
  <si>
    <t>로버슨 하우스</t>
    <phoneticPr fontId="1" type="noConversion"/>
  </si>
  <si>
    <t>Pinnacle Room</t>
    <phoneticPr fontId="1" type="noConversion"/>
  </si>
  <si>
    <t>샹그릴라 오차드</t>
  </si>
  <si>
    <t>Garden wing / Deluxe</t>
  </si>
  <si>
    <r>
      <t xml:space="preserve">샹그릴라 오차드 </t>
    </r>
    <r>
      <rPr>
        <sz val="10"/>
        <color rgb="FFFF0000"/>
        <rFont val="맑은 고딕"/>
        <family val="3"/>
        <charset val="129"/>
        <scheme val="minor"/>
      </rPr>
      <t>(7월~8월)</t>
    </r>
    <phoneticPr fontId="1" type="noConversion"/>
  </si>
  <si>
    <r>
      <t>샹그릴라 오차드</t>
    </r>
    <r>
      <rPr>
        <sz val="10"/>
        <color rgb="FFFF0000"/>
        <rFont val="맑은 고딕"/>
        <family val="3"/>
        <charset val="129"/>
        <scheme val="minor"/>
      </rPr>
      <t xml:space="preserve"> (7월~8월)</t>
    </r>
    <phoneticPr fontId="1" type="noConversion"/>
  </si>
  <si>
    <t xml:space="preserve">Shangri-la rasa sentosa </t>
    <phoneticPr fontId="1" type="noConversion"/>
  </si>
  <si>
    <t>샹그릴라 라사 센토사</t>
    <phoneticPr fontId="1" type="noConversion"/>
  </si>
  <si>
    <t xml:space="preserve">Superior Hill View </t>
    <phoneticPr fontId="1" type="noConversion"/>
  </si>
  <si>
    <t>Deluxe Sea View</t>
    <phoneticPr fontId="1" type="noConversion"/>
  </si>
  <si>
    <t xml:space="preserve">FURAMA RIVERFRONT </t>
    <phoneticPr fontId="1" type="noConversion"/>
  </si>
  <si>
    <t>FURAMA CITY CENTRE</t>
    <phoneticPr fontId="1" type="noConversion"/>
  </si>
  <si>
    <t>Hotel Royal@Queens</t>
    <phoneticPr fontId="1" type="noConversion"/>
  </si>
  <si>
    <t>Executive room</t>
    <phoneticPr fontId="1" type="noConversion"/>
  </si>
  <si>
    <t>Hotel Traveltine</t>
    <phoneticPr fontId="1" type="noConversion"/>
  </si>
  <si>
    <r>
      <t xml:space="preserve">Superior / </t>
    </r>
    <r>
      <rPr>
        <b/>
        <sz val="10"/>
        <color rgb="FFFF0000"/>
        <rFont val="맑은 고딕"/>
        <family val="3"/>
        <charset val="129"/>
        <scheme val="minor"/>
      </rPr>
      <t>최소 2박</t>
    </r>
    <phoneticPr fontId="1" type="noConversion"/>
  </si>
  <si>
    <r>
      <t xml:space="preserve">Deluxe / </t>
    </r>
    <r>
      <rPr>
        <b/>
        <sz val="10"/>
        <color rgb="FFFF0000"/>
        <rFont val="맑은 고딕"/>
        <family val="3"/>
        <charset val="129"/>
        <scheme val="minor"/>
      </rPr>
      <t>최소 2박</t>
    </r>
    <phoneticPr fontId="1" type="noConversion"/>
  </si>
  <si>
    <t>이비스 노베나</t>
    <phoneticPr fontId="1" type="noConversion"/>
  </si>
  <si>
    <t>노베나</t>
    <phoneticPr fontId="1" type="noConversion"/>
  </si>
  <si>
    <t>Standard</t>
    <phoneticPr fontId="1" type="noConversion"/>
  </si>
  <si>
    <t>Hotel Mi Bencoolen</t>
    <phoneticPr fontId="1" type="noConversion"/>
  </si>
  <si>
    <t>Hotel Mi Rochor</t>
    <phoneticPr fontId="1" type="noConversion"/>
  </si>
  <si>
    <t>호텔 MI 벤클론</t>
    <phoneticPr fontId="1" type="noConversion"/>
  </si>
  <si>
    <t>로처</t>
    <phoneticPr fontId="1" type="noConversion"/>
  </si>
  <si>
    <t>룸 카테고리(SQM)</t>
    <phoneticPr fontId="1" type="noConversion"/>
  </si>
  <si>
    <t>트레버틴 호텔</t>
    <phoneticPr fontId="1" type="noConversion"/>
  </si>
  <si>
    <t>트윈룸</t>
    <phoneticPr fontId="1" type="noConversion"/>
  </si>
  <si>
    <t>전체룸</t>
    <phoneticPr fontId="1" type="noConversion"/>
  </si>
  <si>
    <t>알로프트 노베나</t>
    <phoneticPr fontId="1" type="noConversion"/>
  </si>
  <si>
    <t>V 호텔 라벤더</t>
    <phoneticPr fontId="1" type="noConversion"/>
  </si>
  <si>
    <t>무스타파</t>
    <phoneticPr fontId="1" type="noConversion"/>
  </si>
  <si>
    <t>V 호텔 벤쿨린</t>
    <phoneticPr fontId="1" type="noConversion"/>
  </si>
  <si>
    <t>부기스</t>
    <phoneticPr fontId="1" type="noConversion"/>
  </si>
  <si>
    <t>호텔 MI 로초르</t>
    <phoneticPr fontId="1" type="noConversion"/>
  </si>
  <si>
    <t>이비스 벤쿨렌</t>
    <phoneticPr fontId="1" type="noConversion"/>
  </si>
  <si>
    <t>벤쿨렌</t>
    <phoneticPr fontId="1" type="noConversion"/>
  </si>
  <si>
    <t>머큐어 티히트</t>
    <phoneticPr fontId="1" type="noConversion"/>
  </si>
  <si>
    <t>로얄 앳 퀸즈</t>
    <phoneticPr fontId="1" type="noConversion"/>
  </si>
  <si>
    <t>부킷 메라</t>
    <phoneticPr fontId="1" type="noConversion"/>
  </si>
  <si>
    <t>이스트코스트</t>
    <phoneticPr fontId="1" type="noConversion"/>
  </si>
  <si>
    <t>로버슨 키</t>
    <phoneticPr fontId="1" type="noConversion"/>
  </si>
  <si>
    <t>오아시나 노비나</t>
    <phoneticPr fontId="1" type="noConversion"/>
  </si>
  <si>
    <t>노비나</t>
    <phoneticPr fontId="1" type="noConversion"/>
  </si>
  <si>
    <t>푸라마 리버프론트</t>
    <phoneticPr fontId="1" type="noConversion"/>
  </si>
  <si>
    <t>푸라마 시티센터</t>
    <phoneticPr fontId="1" type="noConversion"/>
  </si>
  <si>
    <t>클락키</t>
    <phoneticPr fontId="1" type="noConversion"/>
  </si>
  <si>
    <t>노보텔 키처너 로드</t>
    <phoneticPr fontId="1" type="noConversion"/>
  </si>
  <si>
    <t>M 호텔 시티 센터</t>
    <phoneticPr fontId="1" type="noConversion"/>
  </si>
  <si>
    <t>노보텔 온 스티븐스</t>
    <phoneticPr fontId="1" type="noConversion"/>
  </si>
  <si>
    <t>스티븐스</t>
    <phoneticPr fontId="1" type="noConversion"/>
  </si>
  <si>
    <t>머큐어 스티븐스</t>
    <phoneticPr fontId="1" type="noConversion"/>
  </si>
  <si>
    <t>몬드리안 덕스턴</t>
    <phoneticPr fontId="1" type="noConversion"/>
  </si>
  <si>
    <t>싱가포르 리버</t>
    <phoneticPr fontId="1" type="noConversion"/>
  </si>
  <si>
    <t xml:space="preserve">Grand Deluxe </t>
    <phoneticPr fontId="1" type="noConversion"/>
  </si>
  <si>
    <t>시티홀</t>
    <phoneticPr fontId="1" type="noConversion"/>
  </si>
  <si>
    <t>5성</t>
  </si>
  <si>
    <t>5성</t>
    <phoneticPr fontId="1" type="noConversion"/>
  </si>
  <si>
    <t>만다린 오리엔탈</t>
  </si>
  <si>
    <t>만다린 오리엔탈</t>
    <phoneticPr fontId="1" type="noConversion"/>
  </si>
  <si>
    <t>얼랏먼트</t>
    <phoneticPr fontId="1" type="noConversion"/>
  </si>
  <si>
    <t>마리나베이</t>
    <phoneticPr fontId="1" type="noConversion"/>
  </si>
  <si>
    <t>Sea view</t>
    <phoneticPr fontId="1" type="noConversion"/>
  </si>
  <si>
    <t>엑스트라</t>
    <phoneticPr fontId="1" type="noConversion"/>
  </si>
  <si>
    <t>Premier (37sqm)</t>
    <phoneticPr fontId="1" type="noConversion"/>
  </si>
  <si>
    <t>45인 버스 ( 34명 )</t>
    <phoneticPr fontId="1" type="noConversion"/>
  </si>
  <si>
    <t>49인 버스 ( 40명 )</t>
    <phoneticPr fontId="1" type="noConversion"/>
  </si>
  <si>
    <t>Primer Family</t>
    <phoneticPr fontId="1" type="noConversion"/>
  </si>
  <si>
    <t>Marina Bay view</t>
    <phoneticPr fontId="1" type="noConversion"/>
  </si>
  <si>
    <t>Deluxe(City View)</t>
    <phoneticPr fontId="1" type="noConversion"/>
  </si>
  <si>
    <t>X</t>
  </si>
  <si>
    <r>
      <t xml:space="preserve">Standard </t>
    </r>
    <r>
      <rPr>
        <b/>
        <sz val="10"/>
        <color rgb="FFFF0000"/>
        <rFont val="맑은 고딕"/>
        <family val="3"/>
        <charset val="129"/>
        <scheme val="minor"/>
      </rPr>
      <t>8방이상</t>
    </r>
    <phoneticPr fontId="1" type="noConversion"/>
  </si>
  <si>
    <t>경쟁력 부족</t>
    <phoneticPr fontId="1" type="noConversion"/>
  </si>
  <si>
    <r>
      <t xml:space="preserve">Superior </t>
    </r>
    <r>
      <rPr>
        <b/>
        <sz val="10"/>
        <color rgb="FFFF0000"/>
        <rFont val="맑은 고딕"/>
        <family val="3"/>
        <charset val="129"/>
        <scheme val="minor"/>
      </rPr>
      <t>8방이상</t>
    </r>
    <phoneticPr fontId="1" type="noConversion"/>
  </si>
  <si>
    <t>트레버틴 호텔</t>
  </si>
  <si>
    <t>4성</t>
    <phoneticPr fontId="1" type="noConversion"/>
  </si>
  <si>
    <t>인센 대형 추천</t>
    <phoneticPr fontId="1" type="noConversion"/>
  </si>
  <si>
    <t>Swissotel The stamford</t>
  </si>
  <si>
    <t>3성</t>
  </si>
  <si>
    <t>3.5성</t>
  </si>
  <si>
    <t>4성</t>
  </si>
  <si>
    <t>4.5성</t>
  </si>
  <si>
    <t>5성 유지
인센 대형 추천</t>
    <phoneticPr fontId="1" type="noConversion"/>
  </si>
  <si>
    <t>Oasia sentosa</t>
    <phoneticPr fontId="1" type="noConversion"/>
  </si>
  <si>
    <t>오아시아 센토사</t>
    <phoneticPr fontId="1" type="noConversion"/>
  </si>
  <si>
    <t>모멘투스 알렉산드라</t>
    <phoneticPr fontId="1" type="noConversion"/>
  </si>
  <si>
    <t>핸들링차지</t>
    <phoneticPr fontId="1" type="noConversion"/>
  </si>
  <si>
    <t xml:space="preserve">MERCURE TYRWHITT  </t>
    <phoneticPr fontId="1" type="noConversion"/>
  </si>
  <si>
    <t xml:space="preserve">MOMENTUS </t>
    <phoneticPr fontId="1" type="noConversion"/>
  </si>
  <si>
    <t>Faber Park</t>
    <phoneticPr fontId="1" type="noConversion"/>
  </si>
  <si>
    <t>페버 파크</t>
    <phoneticPr fontId="1" type="noConversion"/>
  </si>
  <si>
    <t>콩코드 싱가포르</t>
    <phoneticPr fontId="1" type="noConversion"/>
  </si>
  <si>
    <t>Oasia Novena</t>
    <phoneticPr fontId="1" type="noConversion"/>
  </si>
  <si>
    <t>Novotel on Kitchener</t>
    <phoneticPr fontId="1" type="noConversion"/>
  </si>
  <si>
    <t>M Hotel City Centre</t>
    <phoneticPr fontId="1" type="noConversion"/>
  </si>
  <si>
    <t xml:space="preserve">Novotel on Steven </t>
    <phoneticPr fontId="1" type="noConversion"/>
  </si>
  <si>
    <t>Shangri-la Orchard</t>
    <phoneticPr fontId="1" type="noConversion"/>
  </si>
  <si>
    <t>Sofitel Sentosa</t>
    <phoneticPr fontId="1" type="noConversion"/>
  </si>
  <si>
    <t>(Ekiosk) YachtCruise City Skyline Cruise + Mocktail (1Hr)</t>
    <phoneticPr fontId="1" type="noConversion"/>
  </si>
  <si>
    <t xml:space="preserve">머큐어 아이콘 </t>
    <phoneticPr fontId="1" type="noConversion"/>
  </si>
  <si>
    <t>Mercure ICON</t>
    <phoneticPr fontId="1" type="noConversion"/>
  </si>
  <si>
    <t>River Wonders</t>
    <phoneticPr fontId="1" type="noConversion"/>
  </si>
  <si>
    <t>Bird Paradise+penguin Luch</t>
    <phoneticPr fontId="1" type="noConversion"/>
  </si>
  <si>
    <t>버드 파라다이스 + 팽귄 뷔폐</t>
    <phoneticPr fontId="1" type="noConversion"/>
  </si>
  <si>
    <t>단독 프로모션</t>
    <phoneticPr fontId="1" type="noConversion"/>
  </si>
  <si>
    <t>콥튼 킹스</t>
    <phoneticPr fontId="1" type="noConversion"/>
  </si>
  <si>
    <t>함소연</t>
    <phoneticPr fontId="1" type="noConversion"/>
  </si>
  <si>
    <t>김현지</t>
    <phoneticPr fontId="1" type="noConversion"/>
  </si>
  <si>
    <t>함소연</t>
    <phoneticPr fontId="1" type="noConversion"/>
  </si>
  <si>
    <t>전보미</t>
    <phoneticPr fontId="1" type="noConversion"/>
  </si>
  <si>
    <t>정다혜</t>
    <phoneticPr fontId="1" type="noConversion"/>
  </si>
  <si>
    <t>세이버 4성
학단 중심</t>
    <phoneticPr fontId="1" type="noConversion"/>
  </si>
  <si>
    <t>호텔 보스</t>
    <phoneticPr fontId="1" type="noConversion"/>
  </si>
  <si>
    <t>엠 소셜</t>
    <phoneticPr fontId="1" type="noConversion"/>
  </si>
  <si>
    <t>빌리지 카통</t>
    <phoneticPr fontId="1" type="noConversion"/>
  </si>
  <si>
    <t>빌리지 호텔 창이</t>
    <phoneticPr fontId="1" type="noConversion"/>
  </si>
  <si>
    <t>풀만오차드</t>
    <phoneticPr fontId="1" type="noConversion"/>
  </si>
  <si>
    <t>아웃포스트</t>
    <phoneticPr fontId="1" type="noConversion"/>
  </si>
  <si>
    <t>빌리지 센토사</t>
    <phoneticPr fontId="1" type="noConversion"/>
  </si>
  <si>
    <t>더 바락스 클러스터</t>
  </si>
  <si>
    <t>더클랜 호텔 싱가포르</t>
  </si>
  <si>
    <t>리조트월드 센토사</t>
  </si>
  <si>
    <t>젠 오차드 게이트웨이</t>
  </si>
  <si>
    <t>카프리 바이 프레이저, 창이 시티</t>
  </si>
  <si>
    <t>카프리 바이 프레이저, 차이나 스퀘어</t>
  </si>
  <si>
    <t>파크로열 콜렉션 (피클링)</t>
  </si>
  <si>
    <t>The Clan Hotel</t>
    <phoneticPr fontId="1" type="noConversion"/>
  </si>
  <si>
    <r>
      <t>Deluxe</t>
    </r>
    <r>
      <rPr>
        <sz val="10"/>
        <color rgb="FFFF0000"/>
        <rFont val="맑은 고딕"/>
        <family val="3"/>
        <charset val="129"/>
        <scheme val="minor"/>
      </rPr>
      <t xml:space="preserve"> (8방이상)</t>
    </r>
    <phoneticPr fontId="1" type="noConversion"/>
  </si>
  <si>
    <r>
      <t xml:space="preserve">Premier </t>
    </r>
    <r>
      <rPr>
        <sz val="10"/>
        <color rgb="FFFF0000"/>
        <rFont val="맑은 고딕"/>
        <family val="3"/>
        <charset val="129"/>
        <scheme val="minor"/>
      </rPr>
      <t>(8방이상)</t>
    </r>
    <phoneticPr fontId="1" type="noConversion"/>
  </si>
  <si>
    <t>Oasia Downtown</t>
    <phoneticPr fontId="1" type="noConversion"/>
  </si>
  <si>
    <t>오아시아 다운타운</t>
    <phoneticPr fontId="1" type="noConversion"/>
  </si>
  <si>
    <t>랑데뷰</t>
    <phoneticPr fontId="1" type="noConversion"/>
  </si>
  <si>
    <t>Alcove cosy (19sqm)</t>
    <phoneticPr fontId="1" type="noConversion"/>
  </si>
  <si>
    <t>Classic (15sqm)</t>
    <phoneticPr fontId="1" type="noConversion"/>
  </si>
  <si>
    <t>Privilege (17sqm)</t>
    <phoneticPr fontId="1" type="noConversion"/>
  </si>
  <si>
    <t>Deluxe Tripple (17Sqm)</t>
    <phoneticPr fontId="1" type="noConversion"/>
  </si>
  <si>
    <t>별도</t>
    <phoneticPr fontId="1" type="noConversion"/>
  </si>
  <si>
    <t>4성</t>
    <phoneticPr fontId="1" type="noConversion"/>
  </si>
  <si>
    <t>시타딘스 커넥팅</t>
    <phoneticPr fontId="1" type="noConversion"/>
  </si>
  <si>
    <r>
      <t xml:space="preserve">센토사 섬 ( </t>
    </r>
    <r>
      <rPr>
        <b/>
        <sz val="10"/>
        <color rgb="FFFF0000"/>
        <rFont val="맑은 고딕"/>
        <family val="3"/>
        <charset val="129"/>
        <scheme val="minor"/>
      </rPr>
      <t>케이블카 + 루지</t>
    </r>
    <r>
      <rPr>
        <sz val="10"/>
        <color theme="1"/>
        <rFont val="맑은 고딕"/>
        <family val="2"/>
        <charset val="129"/>
        <scheme val="minor"/>
      </rPr>
      <t xml:space="preserve"> )</t>
    </r>
    <phoneticPr fontId="1" type="noConversion"/>
  </si>
  <si>
    <t>서던리지스</t>
    <phoneticPr fontId="1" type="noConversion"/>
  </si>
  <si>
    <t>(석식) 스트레잇 차이니즈</t>
    <phoneticPr fontId="1" type="noConversion"/>
  </si>
  <si>
    <t>(중식) 블랑코 새우국수</t>
    <phoneticPr fontId="1" type="noConversion"/>
  </si>
  <si>
    <t>(석식) 한식 - 고기집</t>
    <phoneticPr fontId="1" type="noConversion"/>
  </si>
  <si>
    <t>홀리데이인 익스프레스 노베나</t>
    <phoneticPr fontId="1" type="noConversion"/>
  </si>
  <si>
    <t>김자명</t>
    <phoneticPr fontId="1" type="noConversion"/>
  </si>
  <si>
    <t>4성</t>
    <phoneticPr fontId="1" type="noConversion"/>
  </si>
  <si>
    <t>Citadines Conneting</t>
    <phoneticPr fontId="1" type="noConversion"/>
  </si>
  <si>
    <t>Citadines Conneting</t>
    <phoneticPr fontId="1" type="noConversion"/>
  </si>
  <si>
    <t>Standard (18sqm)</t>
    <phoneticPr fontId="1" type="noConversion"/>
  </si>
  <si>
    <t>Superior (18sqm)</t>
    <phoneticPr fontId="1" type="noConversion"/>
  </si>
  <si>
    <t>Deluxe (32sqm)</t>
    <phoneticPr fontId="1" type="noConversion"/>
  </si>
  <si>
    <t>닷컴</t>
    <phoneticPr fontId="1" type="noConversion"/>
  </si>
  <si>
    <t>하나등급</t>
    <phoneticPr fontId="1" type="noConversion"/>
  </si>
  <si>
    <r>
      <t xml:space="preserve">East(18sqm) </t>
    </r>
    <r>
      <rPr>
        <b/>
        <sz val="10"/>
        <color rgb="FFFF0000"/>
        <rFont val="맑은 고딕"/>
        <family val="3"/>
        <charset val="129"/>
        <scheme val="minor"/>
      </rPr>
      <t>10방이상</t>
    </r>
    <phoneticPr fontId="1" type="noConversion"/>
  </si>
  <si>
    <r>
      <t xml:space="preserve">West(23sqm) </t>
    </r>
    <r>
      <rPr>
        <b/>
        <sz val="10"/>
        <color rgb="FFFF0000"/>
        <rFont val="맑은 고딕"/>
        <family val="3"/>
        <charset val="129"/>
        <scheme val="minor"/>
      </rPr>
      <t>10방이상</t>
    </r>
    <phoneticPr fontId="1" type="noConversion"/>
  </si>
  <si>
    <t>Classic(15sqm)</t>
    <phoneticPr fontId="1" type="noConversion"/>
  </si>
  <si>
    <t>페버 파크</t>
    <phoneticPr fontId="1" type="noConversion"/>
  </si>
  <si>
    <t>Faber Park</t>
    <phoneticPr fontId="1" type="noConversion"/>
  </si>
  <si>
    <t>Superior (15sqm)</t>
    <phoneticPr fontId="1" type="noConversion"/>
  </si>
  <si>
    <t>Deluxe (18sqm)</t>
    <phoneticPr fontId="1" type="noConversion"/>
  </si>
  <si>
    <t>포함</t>
    <phoneticPr fontId="1" type="noConversion"/>
  </si>
  <si>
    <r>
      <t xml:space="preserve">Oasia Novena </t>
    </r>
    <r>
      <rPr>
        <sz val="10"/>
        <color rgb="FFFF0000"/>
        <rFont val="맑은 고딕"/>
        <family val="3"/>
        <charset val="129"/>
        <scheme val="minor"/>
      </rPr>
      <t>~6월</t>
    </r>
    <phoneticPr fontId="1" type="noConversion"/>
  </si>
  <si>
    <t>Studio loft (25sqm)</t>
    <phoneticPr fontId="1" type="noConversion"/>
  </si>
  <si>
    <t>Superior(14sqm)</t>
    <phoneticPr fontId="1" type="noConversion"/>
  </si>
  <si>
    <t>premier(17sqm)</t>
    <phoneticPr fontId="1" type="noConversion"/>
  </si>
  <si>
    <t>premier(16sqm)</t>
    <phoneticPr fontId="1" type="noConversion"/>
  </si>
  <si>
    <t>#리버원더스 #버드+뷔페 #루지+마담투소</t>
    <phoneticPr fontId="1" type="noConversion"/>
  </si>
  <si>
    <t>ASP210_USS</t>
    <phoneticPr fontId="1" type="noConversion"/>
  </si>
  <si>
    <t>#루지 #GBB</t>
    <phoneticPr fontId="1" type="noConversion"/>
  </si>
  <si>
    <t>Doresett</t>
    <phoneticPr fontId="1" type="noConversion"/>
  </si>
  <si>
    <t>도르셋</t>
    <phoneticPr fontId="1" type="noConversion"/>
  </si>
  <si>
    <t>Deluxe (10방이상)</t>
    <phoneticPr fontId="1" type="noConversion"/>
  </si>
  <si>
    <t>두짓타니</t>
    <phoneticPr fontId="1" type="noConversion"/>
  </si>
  <si>
    <t>ASP309_SQ</t>
    <phoneticPr fontId="1" type="noConversion"/>
  </si>
  <si>
    <t>SQ615 인천출발- 싱가포르 도착 13:10</t>
    <phoneticPr fontId="1" type="noConversion"/>
  </si>
  <si>
    <t>멀라이언 파크, 에스플러네이드</t>
    <phoneticPr fontId="1" type="noConversion"/>
  </si>
  <si>
    <t>(석식) 현지식 딤섬 - 암챰</t>
    <phoneticPr fontId="1" type="noConversion"/>
  </si>
  <si>
    <t>서든브릿지 + 보타닉가든</t>
    <phoneticPr fontId="1" type="noConversion"/>
  </si>
  <si>
    <t>(석식) 심걉실 무제한 - 고깃집</t>
    <phoneticPr fontId="1" type="noConversion"/>
  </si>
  <si>
    <t>리버 원더스 + 버드 파라다이스</t>
    <phoneticPr fontId="1" type="noConversion"/>
  </si>
  <si>
    <t>하지레인+아랍스트리트+부기스시장</t>
    <phoneticPr fontId="1" type="noConversion"/>
  </si>
  <si>
    <t>MBS 샵</t>
    <phoneticPr fontId="1" type="noConversion"/>
  </si>
  <si>
    <t>(석식) 현지식 페라나칸 - 스트레닛 차이니즈</t>
    <phoneticPr fontId="1" type="noConversion"/>
  </si>
  <si>
    <t>(중식) 스팀보트 - 오빠 샤브샤브</t>
    <phoneticPr fontId="1" type="noConversion"/>
  </si>
  <si>
    <t>차이나타운</t>
    <phoneticPr fontId="1" type="noConversion"/>
  </si>
  <si>
    <t>(석식) SBCD 한식</t>
    <phoneticPr fontId="1" type="noConversion"/>
  </si>
  <si>
    <t>인천출발- 싱가포르 도착 00:45</t>
    <phoneticPr fontId="1" type="noConversion"/>
  </si>
  <si>
    <t>부기스 스트리트</t>
    <phoneticPr fontId="1" type="noConversion"/>
  </si>
  <si>
    <t>보타닉가든 + 에메랄드 힐</t>
    <phoneticPr fontId="1" type="noConversion"/>
  </si>
  <si>
    <t>시티 겔러리</t>
    <phoneticPr fontId="1" type="noConversion"/>
  </si>
  <si>
    <t>마리나 베이 샌즈 샵 + 비보시티</t>
    <phoneticPr fontId="1" type="noConversion"/>
  </si>
  <si>
    <t>아랍스트리트 + 하지래인 +리틀인디아 +차이나타운</t>
    <phoneticPr fontId="1" type="noConversion"/>
  </si>
  <si>
    <t>멀라이언 파크 + 에스플러네이드 + 네셔널 겔러리</t>
    <phoneticPr fontId="1" type="noConversion"/>
  </si>
  <si>
    <t>(중식) 송파 바쿠테</t>
    <phoneticPr fontId="1" type="noConversion"/>
  </si>
  <si>
    <r>
      <t xml:space="preserve">센토사 섬 ( </t>
    </r>
    <r>
      <rPr>
        <b/>
        <sz val="10"/>
        <color rgb="FFFF0000"/>
        <rFont val="맑은 고딕"/>
        <family val="3"/>
        <charset val="129"/>
        <scheme val="minor"/>
      </rPr>
      <t>케이블카+ 실로소 비치 + 요트 투어)</t>
    </r>
    <phoneticPr fontId="1" type="noConversion"/>
  </si>
  <si>
    <t>ASP211_요트투어</t>
    <phoneticPr fontId="1" type="noConversion"/>
  </si>
  <si>
    <t>1일 자유일정</t>
    <phoneticPr fontId="1" type="noConversion"/>
  </si>
  <si>
    <t>슈퍼트리 감상</t>
    <phoneticPr fontId="1" type="noConversion"/>
  </si>
  <si>
    <t>스트레잇 차이니즈</t>
    <phoneticPr fontId="1" type="noConversion"/>
  </si>
  <si>
    <t>리틀인디아 + 아랍스트리트</t>
    <phoneticPr fontId="1" type="noConversion"/>
  </si>
  <si>
    <t>12월까지</t>
    <phoneticPr fontId="1" type="noConversion"/>
  </si>
  <si>
    <t>기타 예비 비용 ( 1인 3회 생수 등)</t>
    <phoneticPr fontId="1" type="noConversion"/>
  </si>
  <si>
    <t>X</t>
    <phoneticPr fontId="1" type="noConversion"/>
  </si>
  <si>
    <t>오아시나 노비나</t>
  </si>
  <si>
    <t>Superior (25sqm)</t>
  </si>
  <si>
    <r>
      <t xml:space="preserve">Oasia Novena </t>
    </r>
    <r>
      <rPr>
        <sz val="10"/>
        <color rgb="FFFF0000"/>
        <rFont val="맑은 고딕"/>
        <family val="3"/>
        <charset val="129"/>
        <scheme val="minor"/>
      </rPr>
      <t>7월~12월</t>
    </r>
    <phoneticPr fontId="1" type="noConversion"/>
  </si>
  <si>
    <r>
      <t xml:space="preserve">Doresett </t>
    </r>
    <r>
      <rPr>
        <sz val="10"/>
        <color rgb="FFFF0000"/>
        <rFont val="맑은 고딕"/>
        <family val="3"/>
        <charset val="129"/>
        <scheme val="minor"/>
      </rPr>
      <t>~6월</t>
    </r>
    <phoneticPr fontId="1" type="noConversion"/>
  </si>
  <si>
    <r>
      <t xml:space="preserve">Doresett </t>
    </r>
    <r>
      <rPr>
        <sz val="10"/>
        <color rgb="FFFF0000"/>
        <rFont val="맑은 고딕"/>
        <family val="3"/>
        <charset val="129"/>
        <scheme val="minor"/>
      </rPr>
      <t>~ 6월</t>
    </r>
    <phoneticPr fontId="1" type="noConversion"/>
  </si>
  <si>
    <r>
      <t xml:space="preserve">Faber Park </t>
    </r>
    <r>
      <rPr>
        <sz val="10"/>
        <color rgb="FFFF0000"/>
        <rFont val="맑은 고딕"/>
        <family val="3"/>
        <charset val="129"/>
        <scheme val="minor"/>
      </rPr>
      <t>7월~8월</t>
    </r>
    <phoneticPr fontId="1" type="noConversion"/>
  </si>
  <si>
    <r>
      <t xml:space="preserve">Faber Park </t>
    </r>
    <r>
      <rPr>
        <sz val="10"/>
        <color rgb="FFFF0000"/>
        <rFont val="맑은 고딕"/>
        <family val="3"/>
        <charset val="129"/>
        <scheme val="minor"/>
      </rPr>
      <t>~ 6월</t>
    </r>
    <phoneticPr fontId="1" type="noConversion"/>
  </si>
  <si>
    <t>5성</t>
    <phoneticPr fontId="1" type="noConversion"/>
  </si>
  <si>
    <t>Dorsett</t>
    <phoneticPr fontId="1" type="noConversion"/>
  </si>
  <si>
    <t>Dorsett (10방이상)</t>
    <phoneticPr fontId="1" type="noConversion"/>
  </si>
  <si>
    <t>오차드 로드 자유시간</t>
    <phoneticPr fontId="1" type="noConversion"/>
  </si>
  <si>
    <t>NUS 캠퍼스 투어 + 재학생 미팅 ( 20명 1조 )</t>
    <phoneticPr fontId="1" type="noConversion"/>
  </si>
  <si>
    <t>보타닉 가든 + 차이나 타운 불아사</t>
    <phoneticPr fontId="1" type="noConversion"/>
  </si>
  <si>
    <t>지엔</t>
    <phoneticPr fontId="1" type="noConversion"/>
  </si>
  <si>
    <t>머라이언 파크 + 에스플레네이드 감상</t>
    <phoneticPr fontId="1" type="noConversion"/>
  </si>
  <si>
    <t>실로소 비치 자유시간</t>
    <phoneticPr fontId="1" type="noConversion"/>
  </si>
  <si>
    <t>마리나베이 스펙트라쇼</t>
    <phoneticPr fontId="1" type="noConversion"/>
  </si>
  <si>
    <t>(간식) 카약토스트 + 음료</t>
    <phoneticPr fontId="1" type="noConversion"/>
  </si>
  <si>
    <t>(석식) 삼겹살 무제한</t>
    <phoneticPr fontId="1" type="noConversion"/>
  </si>
  <si>
    <t>(중식) 딤섬 세트</t>
    <phoneticPr fontId="1" type="noConversion"/>
  </si>
  <si>
    <t>(석식) 로컬 뷔페 - 올드굿데이즈</t>
    <phoneticPr fontId="1" type="noConversion"/>
  </si>
  <si>
    <t>석식</t>
    <phoneticPr fontId="1" type="noConversion"/>
  </si>
  <si>
    <t>센토사 올드굿데이즈</t>
    <phoneticPr fontId="1" type="noConversion"/>
  </si>
  <si>
    <t>로컬 뷔페</t>
    <phoneticPr fontId="1" type="noConversion"/>
  </si>
  <si>
    <t>ASP310_SQ</t>
    <phoneticPr fontId="1" type="noConversion"/>
  </si>
  <si>
    <t>멀라이언 파크, 에스플러네이드,  차이나 타운</t>
    <phoneticPr fontId="1" type="noConversion"/>
  </si>
  <si>
    <t>오차드 로드 + 리틀인디아</t>
    <phoneticPr fontId="1" type="noConversion"/>
  </si>
  <si>
    <t>식사 후 공항이동</t>
    <phoneticPr fontId="1" type="noConversion"/>
  </si>
  <si>
    <r>
      <t xml:space="preserve">센토사 섬 ( </t>
    </r>
    <r>
      <rPr>
        <b/>
        <sz val="10"/>
        <color rgb="FFFF0000"/>
        <rFont val="맑은 고딕"/>
        <family val="3"/>
        <charset val="129"/>
        <scheme val="minor"/>
      </rPr>
      <t>케이블카 + 루지</t>
    </r>
    <r>
      <rPr>
        <sz val="10"/>
        <color theme="1"/>
        <rFont val="맑은 고딕"/>
        <family val="2"/>
        <charset val="129"/>
        <scheme val="minor"/>
      </rPr>
      <t xml:space="preserve"> ) + 실로소 비치</t>
    </r>
    <phoneticPr fontId="1" type="noConversion"/>
  </si>
  <si>
    <t>(석식) 현지식 딤섬세트 - 지엔</t>
    <phoneticPr fontId="1" type="noConversion"/>
  </si>
  <si>
    <t>머라이언 공원  리틀인디아 + 아랍스트리트</t>
    <phoneticPr fontId="1" type="noConversion"/>
  </si>
  <si>
    <r>
      <t xml:space="preserve">센토사 섬 ( </t>
    </r>
    <r>
      <rPr>
        <sz val="10"/>
        <color rgb="FFFF0000"/>
        <rFont val="맑은 고딕"/>
        <family val="3"/>
        <charset val="129"/>
        <scheme val="minor"/>
      </rPr>
      <t>케이블카</t>
    </r>
    <r>
      <rPr>
        <sz val="10"/>
        <color theme="1"/>
        <rFont val="맑은 고딕"/>
        <family val="2"/>
        <charset val="129"/>
        <scheme val="minor"/>
      </rPr>
      <t xml:space="preserve"> )</t>
    </r>
    <phoneticPr fontId="1" type="noConversion"/>
  </si>
  <si>
    <t>URA 시티겔러리 + 오차드 로드</t>
    <phoneticPr fontId="1" type="noConversion"/>
  </si>
  <si>
    <t>(석식) 칠리크렙- 로컷 중식 맛집(지옌)</t>
    <phoneticPr fontId="1" type="noConversion"/>
  </si>
  <si>
    <t>마리나베이 센즈 쇼핑몰</t>
    <phoneticPr fontId="1" type="noConversion"/>
  </si>
  <si>
    <t>기타 예비 비용 ( 1일 1인 생수 등)</t>
    <phoneticPr fontId="1" type="noConversion"/>
  </si>
  <si>
    <t>M 호텔 시티 센터</t>
  </si>
  <si>
    <t>Deluxe (32sqm)</t>
  </si>
  <si>
    <r>
      <t xml:space="preserve">M Hotel City Centre </t>
    </r>
    <r>
      <rPr>
        <sz val="10"/>
        <color rgb="FFFF0000"/>
        <rFont val="맑은 고딕"/>
        <family val="3"/>
        <charset val="129"/>
        <scheme val="minor"/>
      </rPr>
      <t>(10방얼랏)</t>
    </r>
    <phoneticPr fontId="1" type="noConversion"/>
  </si>
  <si>
    <r>
      <t>ORCHARD HOTEL</t>
    </r>
    <r>
      <rPr>
        <sz val="10"/>
        <color rgb="FFFF0000"/>
        <rFont val="맑은 고딕"/>
        <family val="3"/>
        <charset val="129"/>
        <scheme val="minor"/>
      </rPr>
      <t xml:space="preserve"> (24방 얼랏)</t>
    </r>
    <phoneticPr fontId="1" type="noConversion"/>
  </si>
  <si>
    <t>오아시아노베나</t>
    <phoneticPr fontId="1" type="noConversion"/>
  </si>
  <si>
    <t>One Farrer Hotel</t>
  </si>
  <si>
    <t>One Farrer Hotel</t>
    <phoneticPr fontId="1" type="noConversion"/>
  </si>
  <si>
    <t>Mint Room</t>
  </si>
  <si>
    <t>Mint Room</t>
    <phoneticPr fontId="1" type="noConversion"/>
  </si>
  <si>
    <r>
      <t xml:space="preserve">원페러  </t>
    </r>
    <r>
      <rPr>
        <sz val="10"/>
        <color rgb="FFFF0000"/>
        <rFont val="맑은 고딕"/>
        <family val="3"/>
        <charset val="129"/>
        <scheme val="minor"/>
      </rPr>
      <t>( ~ 6월)</t>
    </r>
    <phoneticPr fontId="1" type="noConversion"/>
  </si>
  <si>
    <r>
      <t xml:space="preserve">원페러 </t>
    </r>
    <r>
      <rPr>
        <sz val="10"/>
        <color rgb="FFFF0000"/>
        <rFont val="맑은 고딕"/>
        <family val="3"/>
        <charset val="129"/>
        <scheme val="minor"/>
      </rPr>
      <t xml:space="preserve"> ( 7월~ 12월)</t>
    </r>
    <phoneticPr fontId="1" type="noConversion"/>
  </si>
  <si>
    <t>중학교 글로벌 문화체험</t>
    <phoneticPr fontId="1" type="noConversion"/>
  </si>
  <si>
    <t>기타 예비 비용 ( 1일 1인 1생수 + 1일1회 간식 등)</t>
    <phoneticPr fontId="1" type="noConversion"/>
  </si>
  <si>
    <t>인천출발- 싱가포르 도착</t>
    <phoneticPr fontId="1" type="noConversion"/>
  </si>
  <si>
    <r>
      <t xml:space="preserve">윙스오브타임 (19:30) + </t>
    </r>
    <r>
      <rPr>
        <sz val="10"/>
        <rFont val="맑은 고딕"/>
        <family val="3"/>
        <charset val="129"/>
        <scheme val="minor"/>
      </rPr>
      <t>센셔리 스케이프</t>
    </r>
    <phoneticPr fontId="1" type="noConversion"/>
  </si>
  <si>
    <t>게팅 호텔 주롱</t>
    <phoneticPr fontId="1" type="noConversion"/>
  </si>
  <si>
    <t>#1일자유 #리버원더스 #버드+뷔페 #루지+마담투소</t>
    <phoneticPr fontId="1" type="noConversion"/>
  </si>
  <si>
    <t>리버원더스</t>
    <phoneticPr fontId="1" type="noConversion"/>
  </si>
  <si>
    <t>자유일정</t>
    <phoneticPr fontId="1" type="noConversion"/>
  </si>
  <si>
    <t>M호텔</t>
    <phoneticPr fontId="1" type="noConversion"/>
  </si>
  <si>
    <t>리버 원더스</t>
    <phoneticPr fontId="1" type="noConversion"/>
  </si>
  <si>
    <t>차이나타운 + 멀라이언파크</t>
    <phoneticPr fontId="1" type="noConversion"/>
  </si>
  <si>
    <t>(석식) 페라나칸식- 스트레잇 차이니즈</t>
    <phoneticPr fontId="1" type="noConversion"/>
  </si>
  <si>
    <t>슈퍼트리쇼 감상</t>
    <phoneticPr fontId="1" type="noConversion"/>
  </si>
  <si>
    <t>(중식) 송파바쿠테</t>
    <phoneticPr fontId="1" type="noConversion"/>
  </si>
  <si>
    <t>(석식) 스팀보트 - 오빠샤브샤브</t>
    <phoneticPr fontId="1" type="noConversion"/>
  </si>
  <si>
    <t>아랍스트리트 +하지래인+리틀인디아</t>
    <phoneticPr fontId="1" type="noConversion"/>
  </si>
  <si>
    <t>(중식) 칠리크랩 - 지엔</t>
    <phoneticPr fontId="1" type="noConversion"/>
  </si>
  <si>
    <r>
      <t xml:space="preserve">부기스 + </t>
    </r>
    <r>
      <rPr>
        <b/>
        <sz val="10"/>
        <color theme="4"/>
        <rFont val="맑은 고딕"/>
        <family val="3"/>
        <charset val="129"/>
        <scheme val="minor"/>
      </rPr>
      <t>카약토스트 세트</t>
    </r>
    <phoneticPr fontId="1" type="noConversion"/>
  </si>
  <si>
    <t>오차드 로드</t>
    <phoneticPr fontId="1" type="noConversion"/>
  </si>
  <si>
    <t>#리버원더스 #루지 # 마담투소 #칠리크랩</t>
    <phoneticPr fontId="1" type="noConversion"/>
  </si>
  <si>
    <t>멀라이언파크</t>
    <phoneticPr fontId="1" type="noConversion"/>
  </si>
  <si>
    <t>(중식)스팀보트 - 오빠샤브샤브</t>
    <phoneticPr fontId="1" type="noConversion"/>
  </si>
  <si>
    <t>village hotel Changi</t>
    <phoneticPr fontId="1" type="noConversion"/>
  </si>
  <si>
    <t>Deluxe</t>
    <phoneticPr fontId="1" type="noConversion"/>
  </si>
  <si>
    <t>4성</t>
    <phoneticPr fontId="1" type="noConversion"/>
  </si>
  <si>
    <t>함소연</t>
    <phoneticPr fontId="1" type="noConversion"/>
  </si>
  <si>
    <t>정다혜</t>
    <phoneticPr fontId="1" type="noConversion"/>
  </si>
  <si>
    <t>Signature (2박이상)</t>
    <phoneticPr fontId="1" type="noConversion"/>
  </si>
  <si>
    <t>모두투어 메인호텔</t>
    <phoneticPr fontId="1" type="noConversion"/>
  </si>
  <si>
    <t>Premier (37sqm)</t>
    <phoneticPr fontId="1" type="noConversion"/>
  </si>
  <si>
    <r>
      <t xml:space="preserve">Superior </t>
    </r>
    <r>
      <rPr>
        <sz val="10"/>
        <color rgb="FFFF0000"/>
        <rFont val="맑은 고딕"/>
        <family val="3"/>
        <charset val="129"/>
        <scheme val="minor"/>
      </rPr>
      <t>9방이하</t>
    </r>
    <phoneticPr fontId="1" type="noConversion"/>
  </si>
  <si>
    <r>
      <t xml:space="preserve">Deluxe </t>
    </r>
    <r>
      <rPr>
        <sz val="10"/>
        <color rgb="FFFF0000"/>
        <rFont val="맑은 고딕"/>
        <family val="3"/>
        <charset val="129"/>
        <scheme val="minor"/>
      </rPr>
      <t>9방이하</t>
    </r>
    <phoneticPr fontId="1" type="noConversion"/>
  </si>
  <si>
    <t>호텔 복귀 휴식 및 취침</t>
    <phoneticPr fontId="1" type="noConversion"/>
  </si>
  <si>
    <t>보타닉가든</t>
    <phoneticPr fontId="1" type="noConversion"/>
  </si>
  <si>
    <t>멀라이언 파크</t>
    <phoneticPr fontId="1" type="noConversion"/>
  </si>
  <si>
    <t>(석식) 페라나칸식 - 스트레잇 차이니즈</t>
    <phoneticPr fontId="1" type="noConversion"/>
  </si>
  <si>
    <t>싱가포르의 대표 상징물인 멀라이언상이 있는 곳</t>
  </si>
  <si>
    <t>오차드로드</t>
    <phoneticPr fontId="1" type="noConversion"/>
  </si>
  <si>
    <r>
      <t>Premier</t>
    </r>
    <r>
      <rPr>
        <b/>
        <sz val="10"/>
        <color rgb="FFFF0000"/>
        <rFont val="맑은 고딕"/>
        <family val="3"/>
        <charset val="129"/>
        <scheme val="minor"/>
      </rPr>
      <t xml:space="preserve"> (~12월 프로모션)</t>
    </r>
    <phoneticPr fontId="1" type="noConversion"/>
  </si>
  <si>
    <t>ASP211_USS</t>
    <phoneticPr fontId="1" type="noConversion"/>
  </si>
  <si>
    <t>리틀 인디아 + 아랍스트리트 + 하지레인</t>
    <phoneticPr fontId="1" type="noConversion"/>
  </si>
  <si>
    <t>(석식) 자유식 10 SGD - 호커센터</t>
    <phoneticPr fontId="1" type="noConversion"/>
  </si>
  <si>
    <t>오차드 로드 + 부기스 스트리트</t>
    <phoneticPr fontId="1" type="noConversion"/>
  </si>
  <si>
    <t>#USS  #GBB</t>
    <phoneticPr fontId="1" type="noConversion"/>
  </si>
  <si>
    <t>23인 버스 ( 14명 )</t>
    <phoneticPr fontId="1" type="noConversion"/>
  </si>
  <si>
    <t>Rendezvous Orchard</t>
    <phoneticPr fontId="1" type="noConversion"/>
  </si>
  <si>
    <t>Rendezvous Bras Basha</t>
    <phoneticPr fontId="1" type="noConversion"/>
  </si>
  <si>
    <t>2026년 3월까지</t>
    <phoneticPr fontId="1" type="noConversion"/>
  </si>
  <si>
    <t>오차드 호텔</t>
    <phoneticPr fontId="1" type="noConversion"/>
  </si>
  <si>
    <t>모멘투스</t>
    <phoneticPr fontId="1" type="noConversion"/>
  </si>
  <si>
    <r>
      <t>Standard</t>
    </r>
    <r>
      <rPr>
        <sz val="10"/>
        <color rgb="FFFF0000"/>
        <rFont val="맑은 고딕"/>
        <family val="3"/>
        <charset val="129"/>
        <scheme val="minor"/>
      </rPr>
      <t xml:space="preserve"> (내측창문)</t>
    </r>
    <phoneticPr fontId="1" type="noConversion"/>
  </si>
  <si>
    <t>Deluxe(31sqm)</t>
    <phoneticPr fontId="1" type="noConversion"/>
  </si>
  <si>
    <t>Deluxe Plus(31sqm)</t>
    <phoneticPr fontId="1" type="noConversion"/>
  </si>
  <si>
    <t>Superior(18sqm)</t>
    <phoneticPr fontId="1" type="noConversion"/>
  </si>
  <si>
    <t xml:space="preserve">Superior(18sqm) </t>
    <phoneticPr fontId="1" type="noConversion"/>
  </si>
  <si>
    <t>Superior(23sqm)</t>
    <phoneticPr fontId="1" type="noConversion"/>
  </si>
  <si>
    <t>Deluxe(23sqm)</t>
    <phoneticPr fontId="1" type="noConversion"/>
  </si>
  <si>
    <t>Triple &amp; Family(20sqm)</t>
    <phoneticPr fontId="1" type="noConversion"/>
  </si>
  <si>
    <t>Swissotel The stamford</t>
    <phoneticPr fontId="1" type="noConversion"/>
  </si>
  <si>
    <t>스위소텔 스템포드</t>
    <phoneticPr fontId="1" type="noConversion"/>
  </si>
  <si>
    <t>5성</t>
    <phoneticPr fontId="1" type="noConversion"/>
  </si>
  <si>
    <t>Superior(25qm)</t>
    <phoneticPr fontId="1" type="noConversion"/>
  </si>
  <si>
    <t>(석식) 한식당 - 고기집(부대찌게+불고기세트)</t>
    <phoneticPr fontId="1" type="noConversion"/>
  </si>
  <si>
    <t>호텔 수영장</t>
    <phoneticPr fontId="1" type="noConversion"/>
  </si>
  <si>
    <t>(중식) 팽귄코브</t>
    <phoneticPr fontId="1" type="noConversion"/>
  </si>
  <si>
    <t>비보시티</t>
    <phoneticPr fontId="1" type="noConversion"/>
  </si>
  <si>
    <t>(석식) 비보시티 자유식</t>
    <phoneticPr fontId="1" type="noConversion"/>
  </si>
  <si>
    <t>호텔 조식 후 체크아웃</t>
    <phoneticPr fontId="1" type="noConversion"/>
  </si>
  <si>
    <t>ASP221</t>
    <phoneticPr fontId="1" type="noConversion"/>
  </si>
  <si>
    <t>#바탐2박, #라노섬</t>
    <phoneticPr fontId="1" type="noConversion"/>
  </si>
  <si>
    <t>보타닉 가든 + 멀라이언 파크 + 에스플러네이드</t>
    <phoneticPr fontId="1" type="noConversion"/>
  </si>
  <si>
    <t>차이나 타운</t>
    <phoneticPr fontId="1" type="noConversion"/>
  </si>
  <si>
    <t>페리터미널 이동 후 바탐 이동</t>
    <phoneticPr fontId="1" type="noConversion"/>
  </si>
  <si>
    <t>원주민 마을</t>
    <phoneticPr fontId="1" type="noConversion"/>
  </si>
  <si>
    <t>(석식) 현지식 - 아마존씨푸드</t>
    <phoneticPr fontId="1" type="noConversion"/>
  </si>
  <si>
    <t>바탐 호텔 투숙</t>
    <phoneticPr fontId="1" type="noConversion"/>
  </si>
  <si>
    <t>라노섬 이동</t>
    <phoneticPr fontId="1" type="noConversion"/>
  </si>
  <si>
    <t>(중식) 라노섬 런치세트</t>
    <phoneticPr fontId="1" type="noConversion"/>
  </si>
  <si>
    <t>바탐 시티 이동 ( 구운 옥수수 + 코코넛 제공 )</t>
    <phoneticPr fontId="1" type="noConversion"/>
  </si>
  <si>
    <t>(석식) 한식</t>
    <phoneticPr fontId="1" type="noConversion"/>
  </si>
  <si>
    <t>싱가포르 이동</t>
    <phoneticPr fontId="1" type="noConversion"/>
  </si>
  <si>
    <t>(중식) 현지식</t>
    <phoneticPr fontId="1" type="noConversion"/>
  </si>
  <si>
    <t>아랍스트리트 + 하지레인 + 부기스 스트리트</t>
    <phoneticPr fontId="1" type="noConversion"/>
  </si>
  <si>
    <t>바탐 지상비 반영</t>
    <phoneticPr fontId="1" type="noConversion"/>
  </si>
  <si>
    <t>레디스 347</t>
    <phoneticPr fontId="1" type="noConversion"/>
  </si>
  <si>
    <t>가든스바이더베이 클라우드  + 슈퍼트리전망대</t>
    <phoneticPr fontId="1" type="noConversion"/>
  </si>
  <si>
    <t>ASP910_TR 제주출발</t>
    <phoneticPr fontId="1" type="noConversion"/>
  </si>
  <si>
    <t>(석식) 자유식 - 인당 10 SGD</t>
    <phoneticPr fontId="1" type="noConversion"/>
  </si>
  <si>
    <t>하지레인+아랍스트리트+리틀인디아</t>
    <phoneticPr fontId="1" type="noConversion"/>
  </si>
  <si>
    <r>
      <t xml:space="preserve">센토사 섬 ( </t>
    </r>
    <r>
      <rPr>
        <b/>
        <sz val="10"/>
        <color rgb="FFFF0000"/>
        <rFont val="맑은 고딕"/>
        <family val="3"/>
        <charset val="129"/>
        <scheme val="minor"/>
      </rPr>
      <t xml:space="preserve">케이블카 + 루지 </t>
    </r>
    <r>
      <rPr>
        <sz val="10"/>
        <color theme="1"/>
        <rFont val="맑은 고딕"/>
        <family val="2"/>
        <charset val="129"/>
        <scheme val="minor"/>
      </rPr>
      <t>) + 실로소 비치</t>
    </r>
    <phoneticPr fontId="1" type="noConversion"/>
  </si>
  <si>
    <t>(석식) 딤섬 - 부기스 비스트로</t>
    <phoneticPr fontId="1" type="noConversion"/>
  </si>
  <si>
    <t>Gardens by the Bay - Flower Dome+Cloud Forest</t>
    <phoneticPr fontId="1" type="noConversion"/>
  </si>
  <si>
    <t>Gardens by the Bay Flower Dome+Supertree Observatory</t>
    <phoneticPr fontId="1" type="noConversion"/>
  </si>
  <si>
    <t>Gardens by the Bay - Cloud Forest+Supertree Observatory</t>
    <phoneticPr fontId="1" type="noConversion"/>
  </si>
  <si>
    <t xml:space="preserve">IBIS Novena </t>
    <phoneticPr fontId="1" type="noConversion"/>
  </si>
  <si>
    <r>
      <t xml:space="preserve">IBIS Novena </t>
    </r>
    <r>
      <rPr>
        <sz val="10"/>
        <color rgb="FFFF0000"/>
        <rFont val="맑은 고딕"/>
        <family val="3"/>
        <charset val="129"/>
        <scheme val="minor"/>
      </rPr>
      <t xml:space="preserve"> 7월~8월</t>
    </r>
    <phoneticPr fontId="1" type="noConversion"/>
  </si>
  <si>
    <t>IBIS on Bencoolen</t>
    <phoneticPr fontId="1" type="noConversion"/>
  </si>
  <si>
    <t>Mercure on Stevens</t>
    <phoneticPr fontId="1" type="noConversion"/>
  </si>
  <si>
    <t>Concorde</t>
    <phoneticPr fontId="1" type="noConversion"/>
  </si>
  <si>
    <t>홀리데이인 아트리움</t>
    <phoneticPr fontId="1" type="noConversion"/>
  </si>
  <si>
    <t>홀리데이인 익스프레스 카통</t>
    <phoneticPr fontId="1" type="noConversion"/>
  </si>
  <si>
    <t>환율</t>
    <phoneticPr fontId="1" type="noConversion"/>
  </si>
  <si>
    <t>싱가포르 사이언스 센터</t>
    <phoneticPr fontId="1" type="noConversion"/>
  </si>
  <si>
    <t>가든스바이더베이(1돔+전망대)</t>
    <phoneticPr fontId="1" type="noConversion"/>
  </si>
  <si>
    <t>싱-싱-싱-싱</t>
    <phoneticPr fontId="1" type="noConversion"/>
  </si>
  <si>
    <t>인센티브 
저가 호텔</t>
    <phoneticPr fontId="1" type="noConversion"/>
  </si>
  <si>
    <t>인센티브 
트윈 게런티</t>
    <phoneticPr fontId="1" type="noConversion"/>
  </si>
  <si>
    <r>
      <t xml:space="preserve">IBIS on Bencoolen </t>
    </r>
    <r>
      <rPr>
        <sz val="10"/>
        <color rgb="FFFF0000"/>
        <rFont val="맑은 고딕"/>
        <family val="3"/>
        <charset val="129"/>
        <scheme val="minor"/>
      </rPr>
      <t>7월-8월</t>
    </r>
    <phoneticPr fontId="1" type="noConversion"/>
  </si>
  <si>
    <t>인센티브
트윈 게런티</t>
    <phoneticPr fontId="1" type="noConversion"/>
  </si>
  <si>
    <t>ReMark</t>
    <phoneticPr fontId="1" type="noConversion"/>
  </si>
  <si>
    <t>V Hotel Lavender</t>
  </si>
  <si>
    <t>V 호텔 라벤더</t>
  </si>
  <si>
    <t>Superior(15sqm)</t>
    <phoneticPr fontId="1" type="noConversion"/>
  </si>
  <si>
    <t>4성</t>
    <phoneticPr fontId="1" type="noConversion"/>
  </si>
  <si>
    <t>Deluxe(32sqm)</t>
    <phoneticPr fontId="1" type="noConversion"/>
  </si>
  <si>
    <t>ORCHID HOTEL</t>
  </si>
  <si>
    <t>오키드 호텔</t>
  </si>
  <si>
    <r>
      <t xml:space="preserve">Deluxe (32Spm) </t>
    </r>
    <r>
      <rPr>
        <b/>
        <sz val="10"/>
        <color rgb="FFFF0000"/>
        <rFont val="맑은 고딕"/>
        <family val="3"/>
        <charset val="129"/>
        <scheme val="minor"/>
      </rPr>
      <t>6방이상</t>
    </r>
    <phoneticPr fontId="1" type="noConversion"/>
  </si>
  <si>
    <r>
      <t xml:space="preserve">Deluxe (32Spm) </t>
    </r>
    <r>
      <rPr>
        <b/>
        <sz val="10"/>
        <color rgb="FFFF0000"/>
        <rFont val="맑은 고딕"/>
        <family val="3"/>
        <charset val="129"/>
        <scheme val="minor"/>
      </rPr>
      <t>트윈 게런티</t>
    </r>
    <phoneticPr fontId="1" type="noConversion"/>
  </si>
  <si>
    <t>FIT 추천</t>
    <phoneticPr fontId="1" type="noConversion"/>
  </si>
  <si>
    <t>Holiday Inn Express Katong</t>
    <phoneticPr fontId="1" type="noConversion"/>
  </si>
  <si>
    <t>카통</t>
    <phoneticPr fontId="1" type="noConversion"/>
  </si>
  <si>
    <t>Standardr(19sqm)</t>
    <phoneticPr fontId="1" type="noConversion"/>
  </si>
  <si>
    <t>홀리데이인 익스프레스 카통</t>
    <phoneticPr fontId="1" type="noConversion"/>
  </si>
  <si>
    <t>X</t>
    <phoneticPr fontId="1" type="noConversion"/>
  </si>
  <si>
    <r>
      <t>Standardr(19sqm)</t>
    </r>
    <r>
      <rPr>
        <b/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FF0000"/>
        <rFont val="맑은 고딕"/>
        <family val="3"/>
        <charset val="129"/>
        <scheme val="minor"/>
      </rPr>
      <t>8방이상</t>
    </r>
    <phoneticPr fontId="1" type="noConversion"/>
  </si>
  <si>
    <r>
      <t xml:space="preserve">Superior(14sqm) </t>
    </r>
    <r>
      <rPr>
        <b/>
        <sz val="10"/>
        <color rgb="FFFF0000"/>
        <rFont val="맑은 고딕"/>
        <family val="3"/>
        <charset val="129"/>
        <scheme val="minor"/>
      </rPr>
      <t>트윈 게런티</t>
    </r>
    <phoneticPr fontId="1" type="noConversion"/>
  </si>
  <si>
    <t>Superior (24sqm)</t>
    <phoneticPr fontId="1" type="noConversion"/>
  </si>
  <si>
    <t>패키지 메인</t>
    <phoneticPr fontId="1" type="noConversion"/>
  </si>
  <si>
    <r>
      <t xml:space="preserve">Superior (24sqm) </t>
    </r>
    <r>
      <rPr>
        <b/>
        <sz val="10"/>
        <color rgb="FFFF0000"/>
        <rFont val="맑은 고딕"/>
        <family val="3"/>
        <charset val="129"/>
        <scheme val="minor"/>
      </rPr>
      <t>7방 이상</t>
    </r>
    <phoneticPr fontId="1" type="noConversion"/>
  </si>
  <si>
    <r>
      <t xml:space="preserve">Superior (24sqm) </t>
    </r>
    <r>
      <rPr>
        <b/>
        <sz val="10"/>
        <color rgb="FFFF0000"/>
        <rFont val="맑은 고딕"/>
        <family val="3"/>
        <charset val="129"/>
        <scheme val="minor"/>
      </rPr>
      <t>트윈 게런티</t>
    </r>
    <phoneticPr fontId="1" type="noConversion"/>
  </si>
  <si>
    <t>패키지 메인</t>
    <phoneticPr fontId="1" type="noConversion"/>
  </si>
  <si>
    <t>조식(A)</t>
    <phoneticPr fontId="1" type="noConversion"/>
  </si>
  <si>
    <t>조식(C)</t>
    <phoneticPr fontId="1" type="noConversion"/>
  </si>
  <si>
    <r>
      <rPr>
        <b/>
        <sz val="10"/>
        <color rgb="FFFF0000"/>
        <rFont val="맑은 고딕"/>
        <family val="3"/>
        <charset val="129"/>
        <scheme val="minor"/>
      </rPr>
      <t xml:space="preserve">인센티브
트윈 게런티
</t>
    </r>
    <r>
      <rPr>
        <b/>
        <sz val="10"/>
        <color rgb="FF0070C0"/>
        <rFont val="맑은 고딕"/>
        <family val="3"/>
        <charset val="129"/>
        <scheme val="minor"/>
      </rPr>
      <t>FIT 추천</t>
    </r>
    <phoneticPr fontId="1" type="noConversion"/>
  </si>
  <si>
    <r>
      <rPr>
        <b/>
        <sz val="10"/>
        <color rgb="FFFF0000"/>
        <rFont val="맑은 고딕"/>
        <family val="3"/>
        <charset val="129"/>
        <scheme val="minor"/>
      </rPr>
      <t>인센티브 메인</t>
    </r>
    <r>
      <rPr>
        <b/>
        <sz val="10"/>
        <rFont val="맑은 고딕"/>
        <family val="3"/>
        <charset val="129"/>
        <scheme val="minor"/>
      </rPr>
      <t xml:space="preserve">
</t>
    </r>
    <r>
      <rPr>
        <b/>
        <sz val="10"/>
        <color rgb="FF0070C0"/>
        <rFont val="맑은 고딕"/>
        <family val="3"/>
        <charset val="129"/>
        <scheme val="minor"/>
      </rPr>
      <t>FIT 추천</t>
    </r>
    <phoneticPr fontId="1" type="noConversion"/>
  </si>
  <si>
    <t>3성</t>
    <phoneticPr fontId="1" type="noConversion"/>
  </si>
  <si>
    <t>호텔 조식 후 개별 체크아웃 + 자유시간</t>
    <phoneticPr fontId="1" type="noConversion"/>
  </si>
  <si>
    <t>센토사 케이블카 + 루지 + 마담투소</t>
    <phoneticPr fontId="1" type="noConversion"/>
  </si>
  <si>
    <t>인센티브 
저가 호텔</t>
  </si>
  <si>
    <t>겔랑</t>
    <phoneticPr fontId="1" type="noConversion"/>
  </si>
  <si>
    <t>패키지 서브
인센티브 서브</t>
    <phoneticPr fontId="1" type="noConversion"/>
  </si>
  <si>
    <t>FIT</t>
    <phoneticPr fontId="1" type="noConversion"/>
  </si>
  <si>
    <r>
      <t xml:space="preserve">패키지 서브
</t>
    </r>
    <r>
      <rPr>
        <b/>
        <sz val="10"/>
        <color theme="8"/>
        <rFont val="맑은 고딕"/>
        <family val="3"/>
        <charset val="129"/>
        <scheme val="minor"/>
      </rPr>
      <t>FIT 추천</t>
    </r>
    <phoneticPr fontId="1" type="noConversion"/>
  </si>
  <si>
    <t>패키지 메인
FIT 추천</t>
    <phoneticPr fontId="1" type="noConversion"/>
  </si>
  <si>
    <t>패키지 서브</t>
    <phoneticPr fontId="1" type="noConversion"/>
  </si>
  <si>
    <t>갤랑</t>
    <phoneticPr fontId="1" type="noConversion"/>
  </si>
  <si>
    <t>Standard(18sqm)</t>
    <phoneticPr fontId="1" type="noConversion"/>
  </si>
  <si>
    <r>
      <t xml:space="preserve">Classic (15sqm) </t>
    </r>
    <r>
      <rPr>
        <b/>
        <sz val="10"/>
        <color rgb="FFFF0000"/>
        <rFont val="맑은 고딕"/>
        <family val="3"/>
        <charset val="129"/>
        <scheme val="minor"/>
      </rPr>
      <t>8방이상</t>
    </r>
    <phoneticPr fontId="1" type="noConversion"/>
  </si>
  <si>
    <t>마리나베라지</t>
    <phoneticPr fontId="1" type="noConversion"/>
  </si>
  <si>
    <t>5성 프로모션</t>
    <phoneticPr fontId="1" type="noConversion"/>
  </si>
  <si>
    <t>FIT 추천</t>
    <phoneticPr fontId="1" type="noConversion"/>
  </si>
  <si>
    <r>
      <t xml:space="preserve">Sofitel Sentosa </t>
    </r>
    <r>
      <rPr>
        <sz val="10"/>
        <color rgb="FFFF0000"/>
        <rFont val="맑은 고딕"/>
        <family val="3"/>
        <charset val="129"/>
        <scheme val="minor"/>
      </rPr>
      <t>~6월</t>
    </r>
    <r>
      <rPr>
        <sz val="10"/>
        <color theme="1"/>
        <rFont val="맑은 고딕"/>
        <family val="3"/>
        <charset val="129"/>
        <scheme val="minor"/>
      </rPr>
      <t xml:space="preserve"> </t>
    </r>
    <phoneticPr fontId="1" type="noConversion"/>
  </si>
  <si>
    <r>
      <rPr>
        <sz val="10"/>
        <rFont val="맑은 고딕"/>
        <family val="3"/>
        <charset val="129"/>
        <scheme val="minor"/>
      </rPr>
      <t>Sofitel Sentosa</t>
    </r>
    <r>
      <rPr>
        <sz val="10"/>
        <color rgb="FFFF0000"/>
        <rFont val="맑은 고딕"/>
        <family val="3"/>
        <charset val="129"/>
        <scheme val="minor"/>
      </rPr>
      <t xml:space="preserve"> 7월~1월 </t>
    </r>
    <phoneticPr fontId="1" type="noConversion"/>
  </si>
  <si>
    <t>Luxury</t>
    <phoneticPr fontId="1" type="noConversion"/>
  </si>
  <si>
    <t>5성 프로모션
리조트 상품</t>
    <phoneticPr fontId="1" type="noConversion"/>
  </si>
  <si>
    <r>
      <t xml:space="preserve">스위소텔 스템포드 </t>
    </r>
    <r>
      <rPr>
        <sz val="10"/>
        <color rgb="FFFF0000"/>
        <rFont val="맑은 고딕"/>
        <family val="3"/>
        <charset val="129"/>
        <scheme val="minor"/>
      </rPr>
      <t>45일전</t>
    </r>
    <phoneticPr fontId="1" type="noConversion"/>
  </si>
  <si>
    <t>Farimont Singapre</t>
    <phoneticPr fontId="1" type="noConversion"/>
  </si>
  <si>
    <r>
      <t xml:space="preserve">페어몬트 </t>
    </r>
    <r>
      <rPr>
        <sz val="10"/>
        <color rgb="FFFF0000"/>
        <rFont val="맑은 고딕"/>
        <family val="3"/>
        <charset val="129"/>
        <scheme val="minor"/>
      </rPr>
      <t>45일전</t>
    </r>
    <phoneticPr fontId="1" type="noConversion"/>
  </si>
  <si>
    <t>Fairmont Room (40sqm)</t>
    <phoneticPr fontId="1" type="noConversion"/>
  </si>
  <si>
    <r>
      <t>Fairmont Room</t>
    </r>
    <r>
      <rPr>
        <b/>
        <sz val="10"/>
        <color rgb="FFFF0000"/>
        <rFont val="맑은 고딕"/>
        <family val="3"/>
        <charset val="129"/>
        <scheme val="minor"/>
      </rPr>
      <t xml:space="preserve"> (~12월 프로모션)</t>
    </r>
    <phoneticPr fontId="1" type="noConversion"/>
  </si>
  <si>
    <r>
      <t>Deluxe Room</t>
    </r>
    <r>
      <rPr>
        <b/>
        <sz val="10"/>
        <color rgb="FFFF0000"/>
        <rFont val="맑은 고딕"/>
        <family val="3"/>
        <charset val="129"/>
        <scheme val="minor"/>
      </rPr>
      <t>(3박이상)</t>
    </r>
    <phoneticPr fontId="1" type="noConversion"/>
  </si>
  <si>
    <r>
      <t>Habour view</t>
    </r>
    <r>
      <rPr>
        <b/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FF0000"/>
        <rFont val="맑은 고딕"/>
        <family val="3"/>
        <charset val="129"/>
        <scheme val="minor"/>
      </rPr>
      <t>(3박이상)</t>
    </r>
    <phoneticPr fontId="1" type="noConversion"/>
  </si>
  <si>
    <t>상용</t>
    <phoneticPr fontId="1" type="noConversion"/>
  </si>
  <si>
    <t>Primier room (Twin)</t>
    <phoneticPr fontId="1" type="noConversion"/>
  </si>
  <si>
    <t>Premier room (Triple)</t>
    <phoneticPr fontId="1" type="noConversion"/>
  </si>
  <si>
    <r>
      <t xml:space="preserve">Oasia sentosa </t>
    </r>
    <r>
      <rPr>
        <sz val="10"/>
        <color rgb="FFFF0000"/>
        <rFont val="맑은 고딕"/>
        <family val="3"/>
        <charset val="129"/>
        <scheme val="minor"/>
      </rPr>
      <t>~ 12월</t>
    </r>
    <phoneticPr fontId="1" type="noConversion"/>
  </si>
  <si>
    <t>리버원더스 (아마존 퀘스트 불포함)</t>
    <phoneticPr fontId="1" type="noConversion"/>
  </si>
  <si>
    <t>(중식) 스팀 보트 - 오빠 샤브</t>
    <phoneticPr fontId="1" type="noConversion"/>
  </si>
  <si>
    <t>오차드로드 + 에레랄드 힐 + 마리나베라지</t>
    <phoneticPr fontId="1" type="noConversion"/>
  </si>
  <si>
    <t>리틀인디아 + 아랍스트리트 + 하지레인 + 부기스</t>
    <phoneticPr fontId="1" type="noConversion"/>
  </si>
  <si>
    <t>럭셔리 5성
(얼랏먼트 보유)</t>
    <phoneticPr fontId="1" type="noConversion"/>
  </si>
  <si>
    <r>
      <t xml:space="preserve">Mandrin Oreintal </t>
    </r>
    <r>
      <rPr>
        <sz val="10"/>
        <color rgb="FFFF0000"/>
        <rFont val="맑은 고딕"/>
        <family val="3"/>
        <charset val="129"/>
        <scheme val="minor"/>
      </rPr>
      <t>~ 3월</t>
    </r>
    <phoneticPr fontId="1" type="noConversion"/>
  </si>
  <si>
    <r>
      <t>Mandrin Oreintal</t>
    </r>
    <r>
      <rPr>
        <sz val="10"/>
        <color rgb="FFFF0000"/>
        <rFont val="맑은 고딕"/>
        <family val="3"/>
        <charset val="129"/>
        <scheme val="minor"/>
      </rPr>
      <t xml:space="preserve"> ~ 3월</t>
    </r>
    <phoneticPr fontId="1" type="noConversion"/>
  </si>
  <si>
    <r>
      <t xml:space="preserve">Mandrin Oreintal </t>
    </r>
    <r>
      <rPr>
        <sz val="10"/>
        <color rgb="FFFF0000"/>
        <rFont val="맑은 고딕"/>
        <family val="3"/>
        <charset val="129"/>
        <scheme val="minor"/>
      </rPr>
      <t>~ 3월</t>
    </r>
    <phoneticPr fontId="1" type="noConversion"/>
  </si>
  <si>
    <r>
      <t xml:space="preserve">비치 리조트
</t>
    </r>
    <r>
      <rPr>
        <b/>
        <sz val="10"/>
        <color rgb="FFFF0000"/>
        <rFont val="맑은 고딕"/>
        <family val="3"/>
        <charset val="129"/>
        <scheme val="minor"/>
      </rPr>
      <t>7/8월 서차지 50 SGD</t>
    </r>
    <phoneticPr fontId="1" type="noConversion"/>
  </si>
  <si>
    <t>탄중파가</t>
    <phoneticPr fontId="1" type="noConversion"/>
  </si>
  <si>
    <t>X</t>
    <phoneticPr fontId="1" type="noConversion"/>
  </si>
  <si>
    <t>포함</t>
    <phoneticPr fontId="1" type="noConversion"/>
  </si>
  <si>
    <t>전보미</t>
    <phoneticPr fontId="1" type="noConversion"/>
  </si>
  <si>
    <t>FIT 추천</t>
  </si>
  <si>
    <t>다운타운</t>
    <phoneticPr fontId="1" type="noConversion"/>
  </si>
  <si>
    <t>부기스</t>
    <phoneticPr fontId="1" type="noConversion"/>
  </si>
  <si>
    <t>Mercure bugi</t>
    <phoneticPr fontId="1" type="noConversion"/>
  </si>
  <si>
    <r>
      <t>Mercure bugis</t>
    </r>
    <r>
      <rPr>
        <sz val="10"/>
        <color rgb="FFFF0000"/>
        <rFont val="맑은 고딕"/>
        <family val="3"/>
        <charset val="129"/>
        <scheme val="minor"/>
      </rPr>
      <t xml:space="preserve"> 7월~8월</t>
    </r>
    <phoneticPr fontId="1" type="noConversion"/>
  </si>
  <si>
    <r>
      <t>Mercure bugis</t>
    </r>
    <r>
      <rPr>
        <sz val="10"/>
        <color rgb="FFFF0000"/>
        <rFont val="맑은 고딕"/>
        <family val="3"/>
        <charset val="129"/>
        <scheme val="minor"/>
      </rPr>
      <t xml:space="preserve"> 9월~</t>
    </r>
    <phoneticPr fontId="1" type="noConversion"/>
  </si>
  <si>
    <t>머큐어 부기스</t>
    <phoneticPr fontId="1" type="noConversion"/>
  </si>
  <si>
    <t>에메랄드 힐 + 오차드 로드 자유시간</t>
    <phoneticPr fontId="1" type="noConversion"/>
  </si>
  <si>
    <t>아랍스트리트 + 하지래인 + 리틀인디아 + 부기스</t>
    <phoneticPr fontId="1" type="noConversion"/>
  </si>
  <si>
    <r>
      <rPr>
        <b/>
        <sz val="10"/>
        <color rgb="FFFF0000"/>
        <rFont val="맑은 고딕"/>
        <family val="3"/>
        <charset val="129"/>
        <scheme val="minor"/>
      </rPr>
      <t>리버보트</t>
    </r>
    <r>
      <rPr>
        <sz val="10"/>
        <rFont val="맑은 고딕"/>
        <family val="3"/>
        <charset val="129"/>
        <scheme val="minor"/>
      </rPr>
      <t xml:space="preserve"> + 스펙트라쇼 + 랩소디 감상</t>
    </r>
    <phoneticPr fontId="1" type="noConversion"/>
  </si>
  <si>
    <t>(석식) 한식 - 무제한 삼겹살 (더고기집)</t>
    <phoneticPr fontId="1" type="noConversion"/>
  </si>
  <si>
    <t>(중식) 페라나칸식 - 스트레잇 차이니즈</t>
    <phoneticPr fontId="1" type="noConversion"/>
  </si>
  <si>
    <r>
      <t xml:space="preserve">센토사 섬 ( </t>
    </r>
    <r>
      <rPr>
        <b/>
        <sz val="10"/>
        <color rgb="FFFF0000"/>
        <rFont val="맑은 고딕"/>
        <family val="3"/>
        <charset val="129"/>
        <scheme val="minor"/>
      </rPr>
      <t>케이블카 편도 + 루지 + 마담투소&amp;IOS</t>
    </r>
    <r>
      <rPr>
        <sz val="10"/>
        <color theme="1"/>
        <rFont val="맑은 고딕"/>
        <family val="2"/>
        <charset val="129"/>
        <scheme val="minor"/>
      </rPr>
      <t xml:space="preserve"> )</t>
    </r>
    <phoneticPr fontId="1" type="noConversion"/>
  </si>
  <si>
    <r>
      <t xml:space="preserve">실로소 비치 + </t>
    </r>
    <r>
      <rPr>
        <b/>
        <sz val="10"/>
        <color rgb="FFFF0000"/>
        <rFont val="맑은 고딕"/>
        <family val="3"/>
        <charset val="129"/>
        <scheme val="minor"/>
      </rPr>
      <t>SEA 아쿠아리움</t>
    </r>
    <phoneticPr fontId="1" type="noConversion"/>
  </si>
  <si>
    <t>(중식) 딤섬 - 얌차</t>
    <phoneticPr fontId="1" type="noConversion"/>
  </si>
  <si>
    <t>URA + 차이나타운 + 멀라이언파크 + 에스플러네이드</t>
    <phoneticPr fontId="1" type="noConversion"/>
  </si>
  <si>
    <r>
      <rPr>
        <b/>
        <sz val="10"/>
        <color rgb="FFFF0000"/>
        <rFont val="맑은 고딕"/>
        <family val="3"/>
        <charset val="129"/>
        <scheme val="minor"/>
      </rPr>
      <t>스카이파크</t>
    </r>
    <r>
      <rPr>
        <sz val="10"/>
        <color theme="1"/>
        <rFont val="맑은 고딕"/>
        <family val="3"/>
        <charset val="129"/>
        <scheme val="minor"/>
      </rPr>
      <t xml:space="preserve"> 관람 후 공항이동</t>
    </r>
    <phoneticPr fontId="1" type="noConversion"/>
  </si>
  <si>
    <r>
      <t xml:space="preserve">센토사 섬 ( </t>
    </r>
    <r>
      <rPr>
        <b/>
        <sz val="10"/>
        <color rgb="FFFF0000"/>
        <rFont val="맑은 고딕"/>
        <family val="3"/>
        <charset val="129"/>
        <scheme val="minor"/>
      </rPr>
      <t>케이블카 + 마담투소 + 루지</t>
    </r>
    <r>
      <rPr>
        <sz val="10"/>
        <color theme="1"/>
        <rFont val="맑은 고딕"/>
        <family val="2"/>
        <charset val="129"/>
        <scheme val="minor"/>
      </rPr>
      <t xml:space="preserve"> )</t>
    </r>
    <phoneticPr fontId="1" type="noConversion"/>
  </si>
  <si>
    <t>스팀보트( 주중 점심)</t>
    <phoneticPr fontId="1" type="noConversion"/>
  </si>
  <si>
    <t>스팀보트(주말 점심)</t>
    <phoneticPr fontId="1" type="noConversion"/>
  </si>
  <si>
    <r>
      <t xml:space="preserve">Aloft Novena </t>
    </r>
    <r>
      <rPr>
        <sz val="10"/>
        <color rgb="FFFF0000"/>
        <rFont val="맑은 고딕"/>
        <family val="3"/>
        <charset val="129"/>
        <scheme val="minor"/>
      </rPr>
      <t>~12월</t>
    </r>
    <phoneticPr fontId="1" type="noConversion"/>
  </si>
  <si>
    <r>
      <t xml:space="preserve">센토사 섬 ( </t>
    </r>
    <r>
      <rPr>
        <b/>
        <sz val="10"/>
        <color rgb="FFFF0000"/>
        <rFont val="맑은 고딕"/>
        <family val="3"/>
        <charset val="129"/>
        <scheme val="minor"/>
      </rPr>
      <t>케이블카 + 마담투소 +루지</t>
    </r>
    <r>
      <rPr>
        <sz val="10"/>
        <color theme="1"/>
        <rFont val="맑은 고딕"/>
        <family val="2"/>
        <charset val="129"/>
        <scheme val="minor"/>
      </rPr>
      <t>)</t>
    </r>
    <phoneticPr fontId="1" type="noConversion"/>
  </si>
  <si>
    <t>AMARA SINGAPORE</t>
    <phoneticPr fontId="1" type="noConversion"/>
  </si>
  <si>
    <r>
      <t>아마라 싱가포르</t>
    </r>
    <r>
      <rPr>
        <sz val="10"/>
        <color rgb="FFFF0000"/>
        <rFont val="맑은 고딕"/>
        <family val="3"/>
        <charset val="129"/>
        <scheme val="minor"/>
      </rPr>
      <t xml:space="preserve"> ( 8월 ~ )</t>
    </r>
    <phoneticPr fontId="1" type="noConversion"/>
  </si>
  <si>
    <t>전략적 운영</t>
    <phoneticPr fontId="1" type="noConversion"/>
  </si>
  <si>
    <t>미 확정 220 ~ 230</t>
    <phoneticPr fontId="1" type="noConversion"/>
  </si>
  <si>
    <t>프로모션 논의</t>
    <phoneticPr fontId="1" type="noConversion"/>
  </si>
  <si>
    <r>
      <t xml:space="preserve">패키지 메인
</t>
    </r>
    <r>
      <rPr>
        <b/>
        <sz val="10"/>
        <color rgb="FFFF0000"/>
        <rFont val="맑은 고딕"/>
        <family val="3"/>
        <charset val="129"/>
        <scheme val="minor"/>
      </rPr>
      <t>인센티브 메인</t>
    </r>
    <r>
      <rPr>
        <b/>
        <sz val="10"/>
        <rFont val="맑은 고딕"/>
        <family val="3"/>
        <charset val="129"/>
        <scheme val="minor"/>
      </rPr>
      <t xml:space="preserve">
=&gt; 월 400방 게런티</t>
    </r>
    <phoneticPr fontId="1" type="noConversion"/>
  </si>
  <si>
    <r>
      <t xml:space="preserve">패키지 메인
</t>
    </r>
    <r>
      <rPr>
        <b/>
        <sz val="10"/>
        <color rgb="FFFF0000"/>
        <rFont val="맑은 고딕"/>
        <family val="3"/>
        <charset val="129"/>
        <scheme val="minor"/>
      </rPr>
      <t>인센티브 추천</t>
    </r>
    <r>
      <rPr>
        <b/>
        <sz val="10"/>
        <rFont val="맑은 고딕"/>
        <family val="3"/>
        <charset val="129"/>
        <scheme val="minor"/>
      </rPr>
      <t xml:space="preserve">
</t>
    </r>
    <r>
      <rPr>
        <b/>
        <sz val="10"/>
        <color rgb="FF0070C0"/>
        <rFont val="맑은 고딕"/>
        <family val="3"/>
        <charset val="129"/>
        <scheme val="minor"/>
      </rPr>
      <t>FIT 추천</t>
    </r>
    <r>
      <rPr>
        <b/>
        <sz val="10"/>
        <rFont val="맑은 고딕"/>
        <family val="3"/>
        <charset val="129"/>
        <scheme val="minor"/>
      </rPr>
      <t xml:space="preserve">
=&gt;월 720방 게런티</t>
    </r>
    <phoneticPr fontId="1" type="noConversion"/>
  </si>
  <si>
    <t>홈쇼핑요금</t>
    <phoneticPr fontId="1" type="noConversion"/>
  </si>
  <si>
    <t>경쟁력 검증 필요</t>
  </si>
  <si>
    <r>
      <t xml:space="preserve">패키지 서브
</t>
    </r>
    <r>
      <rPr>
        <b/>
        <sz val="10"/>
        <color rgb="FF0070C0"/>
        <rFont val="맑은 고딕"/>
        <family val="3"/>
        <charset val="129"/>
        <scheme val="minor"/>
      </rPr>
      <t>FIT 추천</t>
    </r>
    <phoneticPr fontId="1" type="noConversion"/>
  </si>
  <si>
    <t>더클랜 호텔 싱가포르</t>
    <phoneticPr fontId="1" type="noConversion"/>
  </si>
  <si>
    <t>래플스</t>
    <phoneticPr fontId="1" type="noConversion"/>
  </si>
  <si>
    <t>홀리데이인 익스프레스 카통</t>
  </si>
  <si>
    <t>인세티브 학단</t>
    <phoneticPr fontId="1" type="noConversion"/>
  </si>
  <si>
    <r>
      <t xml:space="preserve">경쟁력 검증 필요
</t>
    </r>
    <r>
      <rPr>
        <b/>
        <sz val="10"/>
        <color rgb="FF0070C0"/>
        <rFont val="맑은 고딕"/>
        <family val="3"/>
        <charset val="129"/>
        <scheme val="minor"/>
      </rPr>
      <t>FIT 선호</t>
    </r>
    <phoneticPr fontId="1" type="noConversion"/>
  </si>
  <si>
    <t>ASP213_SQE</t>
    <phoneticPr fontId="1" type="noConversion"/>
  </si>
  <si>
    <t>#1일자유 #루지+마담투소 #리버원더스</t>
    <phoneticPr fontId="1" type="noConversion"/>
  </si>
  <si>
    <t>SQ615 인천출발- 싱가포르 도착 14:20</t>
    <phoneticPr fontId="1" type="noConversion"/>
  </si>
  <si>
    <t>보타닉 가든+멀라이언 파크</t>
    <phoneticPr fontId="1" type="noConversion"/>
  </si>
  <si>
    <t>리버원더스 + 아마존 퀘스트</t>
    <phoneticPr fontId="1" type="noConversion"/>
  </si>
  <si>
    <t>(석식) 스팀보트 - 오빠샤브</t>
    <phoneticPr fontId="1" type="noConversion"/>
  </si>
  <si>
    <t>리틀인디아 +아랍스트리트 +하지래인+부기스</t>
    <phoneticPr fontId="1" type="noConversion"/>
  </si>
  <si>
    <t>(석식) 한식 - SBCD</t>
    <phoneticPr fontId="1" type="noConversion"/>
  </si>
  <si>
    <t>나이트사파리</t>
    <phoneticPr fontId="1" type="noConversion"/>
  </si>
  <si>
    <t>지엔</t>
  </si>
  <si>
    <t>칠리크랩세트 (10명이상)</t>
    <phoneticPr fontId="1" type="noConversion"/>
  </si>
  <si>
    <t>칠리크랩세트(10명 미만)</t>
    <phoneticPr fontId="1" type="noConversion"/>
  </si>
  <si>
    <r>
      <t xml:space="preserve">M social </t>
    </r>
    <r>
      <rPr>
        <sz val="10"/>
        <color rgb="FFFF0000"/>
        <rFont val="맑은 고딕"/>
        <family val="3"/>
        <charset val="129"/>
        <scheme val="minor"/>
      </rPr>
      <t>7월 ~ 12월</t>
    </r>
    <phoneticPr fontId="1" type="noConversion"/>
  </si>
  <si>
    <t>Loft Gallery (22sqm)</t>
    <phoneticPr fontId="1" type="noConversion"/>
  </si>
  <si>
    <t>S.E.A. 아쿠아리움</t>
    <phoneticPr fontId="1" type="noConversion"/>
  </si>
  <si>
    <t>스카이헬릭스 센토사</t>
    <phoneticPr fontId="1" type="noConversion"/>
  </si>
  <si>
    <t>리버크루즈 (리버보트)</t>
    <phoneticPr fontId="1" type="noConversion"/>
  </si>
  <si>
    <r>
      <t xml:space="preserve">Mercure on Stevens </t>
    </r>
    <r>
      <rPr>
        <sz val="10"/>
        <color rgb="FFFF0000"/>
        <rFont val="맑은 고딕"/>
        <family val="3"/>
        <charset val="129"/>
        <scheme val="minor"/>
      </rPr>
      <t>7월</t>
    </r>
    <phoneticPr fontId="1" type="noConversion"/>
  </si>
  <si>
    <r>
      <t>Mercure on Stevens</t>
    </r>
    <r>
      <rPr>
        <sz val="10"/>
        <color rgb="FFFF0000"/>
        <rFont val="맑은 고딕"/>
        <family val="3"/>
        <charset val="129"/>
        <scheme val="minor"/>
      </rPr>
      <t xml:space="preserve"> 8월~</t>
    </r>
    <phoneticPr fontId="1" type="noConversion"/>
  </si>
  <si>
    <t>리버원더스 (아마존 리퀘스트 포함)</t>
    <phoneticPr fontId="1" type="noConversion"/>
  </si>
  <si>
    <t>슈퍼트리 쇼</t>
    <phoneticPr fontId="1" type="noConversion"/>
  </si>
  <si>
    <t>마리나베이샌즈 전망대</t>
    <phoneticPr fontId="1" type="noConversion"/>
  </si>
  <si>
    <t>(중식) 딤섬 세트 - 얌차 [특식]</t>
    <phoneticPr fontId="1" type="noConversion"/>
  </si>
  <si>
    <t>(중식) 페라나카식</t>
    <phoneticPr fontId="1" type="noConversion"/>
  </si>
  <si>
    <t>머라이언파크 + 시청광장 + 에스플러네이드</t>
    <phoneticPr fontId="1" type="noConversion"/>
  </si>
  <si>
    <t>(중식) 자유식 30 SGD</t>
    <phoneticPr fontId="1" type="noConversion"/>
  </si>
  <si>
    <t>차이나타운 + 아랍스트리트 + 리틀인디아</t>
    <phoneticPr fontId="1" type="noConversion"/>
  </si>
  <si>
    <t>(중식) 송파바쿠테 - 특식</t>
    <phoneticPr fontId="1" type="noConversion"/>
  </si>
  <si>
    <t>(석식) 한식 - SBCD 북창동 순두부</t>
    <phoneticPr fontId="1" type="noConversion"/>
  </si>
  <si>
    <t xml:space="preserve">[간식] 카야토스트 + 아이스 마일로 </t>
    <phoneticPr fontId="1" type="noConversion"/>
  </si>
  <si>
    <t>[간식] 컵과일</t>
    <phoneticPr fontId="1" type="noConversion"/>
  </si>
  <si>
    <t>[간식] 아이스크림</t>
    <phoneticPr fontId="1" type="noConversion"/>
  </si>
  <si>
    <t>기타 예비 비용 ( 1일 1인 2생수 등)</t>
    <phoneticPr fontId="1" type="noConversion"/>
  </si>
  <si>
    <t>차이나 타운 + 멀라이언파크</t>
    <phoneticPr fontId="1" type="noConversion"/>
  </si>
  <si>
    <t>조식 후 페리터미널 이동 후 바탐 이동</t>
    <phoneticPr fontId="1" type="noConversion"/>
  </si>
  <si>
    <t xml:space="preserve">(중식) 현지식 </t>
    <phoneticPr fontId="1" type="noConversion"/>
  </si>
  <si>
    <t>중국사원, 나고야시내, 원주민 마을등</t>
    <phoneticPr fontId="1" type="noConversion"/>
  </si>
  <si>
    <t>전신마사지 90분</t>
    <phoneticPr fontId="1" type="noConversion"/>
  </si>
  <si>
    <t>(석식) 점보 씨푸드</t>
    <phoneticPr fontId="1" type="noConversion"/>
  </si>
  <si>
    <t>(중식) 한식 -일품</t>
    <phoneticPr fontId="1" type="noConversion"/>
  </si>
  <si>
    <t>케이블카+ 루지 + 실로소 비치</t>
    <phoneticPr fontId="1" type="noConversion"/>
  </si>
  <si>
    <t>베스터 웨스턴</t>
    <phoneticPr fontId="1" type="noConversion"/>
  </si>
  <si>
    <r>
      <t xml:space="preserve">센토사 섬 ( </t>
    </r>
    <r>
      <rPr>
        <b/>
        <sz val="10"/>
        <color rgb="FFFF0000"/>
        <rFont val="맑은 고딕"/>
        <family val="3"/>
        <charset val="129"/>
        <scheme val="minor"/>
      </rPr>
      <t>케이블카 + 루지</t>
    </r>
    <r>
      <rPr>
        <sz val="10"/>
        <color theme="1"/>
        <rFont val="맑은 고딕"/>
        <family val="2"/>
        <charset val="129"/>
        <scheme val="minor"/>
      </rPr>
      <t xml:space="preserve"> ) +실로소비치</t>
    </r>
    <phoneticPr fontId="1" type="noConversion"/>
  </si>
  <si>
    <t>에메랄드 힐 + 마리나 베라지</t>
    <phoneticPr fontId="1" type="noConversion"/>
  </si>
  <si>
    <t>아마라 싱가포르 ( ~7/27)</t>
    <phoneticPr fontId="1" type="noConversion"/>
  </si>
  <si>
    <t>(싱) Aloft</t>
    <phoneticPr fontId="1" type="noConversion"/>
  </si>
  <si>
    <t>AE501_모두투어</t>
    <phoneticPr fontId="1" type="noConversion"/>
  </si>
  <si>
    <t>모두투어 &lt;1일자유/노쇼핑&gt;[월드체인호텔] 싱가포르 3박5일</t>
    <phoneticPr fontId="1" type="noConversion"/>
  </si>
  <si>
    <t>보타닉 가든 + 에메랄드 힐 + 오차드 로드</t>
    <phoneticPr fontId="1" type="noConversion"/>
  </si>
  <si>
    <t>(중식) 칠리크랩  - 레드하우스</t>
    <phoneticPr fontId="1" type="noConversion"/>
  </si>
  <si>
    <t>멀라이언 파크 + 에스플러네이드 + 차이나 타운</t>
    <phoneticPr fontId="1" type="noConversion"/>
  </si>
  <si>
    <t>(석식) 호크 푸드 센터 _ 자유식 20 SGD</t>
    <phoneticPr fontId="1" type="noConversion"/>
  </si>
  <si>
    <r>
      <t xml:space="preserve">센토사 케이블카 + 루지 2회 </t>
    </r>
    <r>
      <rPr>
        <sz val="10"/>
        <rFont val="맑은 고딕"/>
        <family val="3"/>
        <charset val="129"/>
        <scheme val="minor"/>
      </rPr>
      <t>+ 실로소 비치</t>
    </r>
    <phoneticPr fontId="1" type="noConversion"/>
  </si>
  <si>
    <t>SQ615</t>
    <phoneticPr fontId="1" type="noConversion"/>
  </si>
  <si>
    <t>SQ616</t>
    <phoneticPr fontId="1" type="noConversion"/>
  </si>
  <si>
    <t>호텔 조식</t>
    <phoneticPr fontId="1" type="noConversion"/>
  </si>
  <si>
    <r>
      <t xml:space="preserve">센토사 섬 ( </t>
    </r>
    <r>
      <rPr>
        <b/>
        <sz val="10"/>
        <color rgb="FFFF0000"/>
        <rFont val="맑은 고딕"/>
        <family val="3"/>
        <charset val="129"/>
        <scheme val="minor"/>
      </rPr>
      <t>케이블카 + 루지 + 트릭아이</t>
    </r>
    <r>
      <rPr>
        <sz val="10"/>
        <color theme="1"/>
        <rFont val="맑은 고딕"/>
        <family val="2"/>
        <charset val="129"/>
        <scheme val="minor"/>
      </rPr>
      <t xml:space="preserve"> )</t>
    </r>
    <phoneticPr fontId="1" type="noConversion"/>
  </si>
  <si>
    <t>오차드로드 + 차이나타운</t>
    <phoneticPr fontId="1" type="noConversion"/>
  </si>
  <si>
    <t>ASP303_SQ</t>
    <phoneticPr fontId="1" type="noConversion"/>
  </si>
  <si>
    <t>(쿠) 스위스가든 4성</t>
    <phoneticPr fontId="1" type="noConversion"/>
  </si>
  <si>
    <t>(말) 홀리데이인 5성</t>
    <phoneticPr fontId="1" type="noConversion"/>
  </si>
  <si>
    <t>쿠말싱</t>
    <phoneticPr fontId="1" type="noConversion"/>
  </si>
  <si>
    <t>쿠알라룸푸르-말라카-조호바루-싱가포르</t>
    <phoneticPr fontId="1" type="noConversion"/>
  </si>
  <si>
    <t>부산출발- 쿠알라룸푸르 도착</t>
    <phoneticPr fontId="1" type="noConversion"/>
  </si>
  <si>
    <t>가이드+시팅</t>
    <phoneticPr fontId="1" type="noConversion"/>
  </si>
  <si>
    <t>가이드 미팅 후 이동 KL 이동</t>
    <phoneticPr fontId="1" type="noConversion"/>
  </si>
  <si>
    <t xml:space="preserve">호텔  체크인  및 휴식 </t>
    <phoneticPr fontId="1" type="noConversion"/>
  </si>
  <si>
    <t>장애인복지시설 : 뷰티불 게이트 / 통역포함</t>
    <phoneticPr fontId="1" type="noConversion"/>
  </si>
  <si>
    <t>중식 (현지식)</t>
    <phoneticPr fontId="1" type="noConversion"/>
  </si>
  <si>
    <t>메르데카 독립광장, 이슬람 사원, 페트로나스 트윈타워</t>
    <phoneticPr fontId="1" type="noConversion"/>
  </si>
  <si>
    <t xml:space="preserve">말라카 이동(약 2시간 30분 소요) </t>
    <phoneticPr fontId="1" type="noConversion"/>
  </si>
  <si>
    <t xml:space="preserve">말라카 시의회 방문 (통역포함) </t>
    <phoneticPr fontId="1" type="noConversion"/>
  </si>
  <si>
    <t>석식 (한식)</t>
    <phoneticPr fontId="1" type="noConversion"/>
  </si>
  <si>
    <t>중식 (한식)</t>
    <phoneticPr fontId="1" type="noConversion"/>
  </si>
  <si>
    <t>석식 (현지식 )</t>
    <phoneticPr fontId="1" type="noConversion"/>
  </si>
  <si>
    <t xml:space="preserve">네덜라드광장+ 세인트폴성당+쳉훈텡사원+존커스트리트 </t>
    <phoneticPr fontId="1" type="noConversion"/>
  </si>
  <si>
    <t xml:space="preserve">말라카에 싱가포르로 이동 </t>
    <phoneticPr fontId="1" type="noConversion"/>
  </si>
  <si>
    <t xml:space="preserve">싱가포르 URA 시티갤러리 관람 </t>
    <phoneticPr fontId="1" type="noConversion"/>
  </si>
  <si>
    <t>O'JOY 노인 복지 방문 (통역비 포함)</t>
    <phoneticPr fontId="1" type="noConversion"/>
  </si>
  <si>
    <t>(중식) 스팀보트 - 오빠샤브</t>
    <phoneticPr fontId="1" type="noConversion"/>
  </si>
  <si>
    <t>센토사 케이블카 + 마담투소</t>
    <phoneticPr fontId="1" type="noConversion"/>
  </si>
  <si>
    <t>식사 후 공 항이동</t>
    <phoneticPr fontId="1" type="noConversion"/>
  </si>
  <si>
    <t>`</t>
    <phoneticPr fontId="1" type="noConversion"/>
  </si>
  <si>
    <t>주중</t>
    <phoneticPr fontId="1" type="noConversion"/>
  </si>
  <si>
    <t>주말</t>
    <phoneticPr fontId="1" type="noConversion"/>
  </si>
  <si>
    <t>Aloft Novena</t>
  </si>
  <si>
    <t>Amara Singapore</t>
  </si>
  <si>
    <t>Concorde Hotel</t>
  </si>
  <si>
    <t>Grand Copthorne</t>
  </si>
  <si>
    <t>Hotel Boss</t>
  </si>
  <si>
    <t xml:space="preserve">IbIs bencoolen </t>
  </si>
  <si>
    <t>M Hotel City Centre</t>
  </si>
  <si>
    <t>Mercure Stevens</t>
  </si>
  <si>
    <t>Momentus</t>
  </si>
  <si>
    <t>Oasia Novena</t>
  </si>
  <si>
    <t>Oasia Sentosa</t>
  </si>
  <si>
    <t>Orchard Hotel</t>
  </si>
  <si>
    <t>Orchid Hotel</t>
  </si>
  <si>
    <t>IbIs Novena</t>
  </si>
  <si>
    <t>Mercure Tyrwhitt</t>
  </si>
  <si>
    <t>1. 엑셀 H2에 입력한 날짜 요일에 따라서  AC2, AD2에 입력한 주중/주말 요금을 반영한다.</t>
    <phoneticPr fontId="1" type="noConversion"/>
  </si>
  <si>
    <t>2. H2에 입력한 날짜가 W3에서 X3까지의 날짜 구간안에 들어가면 Z3 을 추가하여 보여준다.</t>
    <phoneticPr fontId="1" type="noConversion"/>
  </si>
  <si>
    <t>3. H2에 입력한 날짜가 W4에서 X4까지의 날짜 구간안에 들어가면 Z4 을 추가하여 보여준다.</t>
    <phoneticPr fontId="1" type="noConversion"/>
  </si>
  <si>
    <t>4. H2에 입력한 날짜가 W5에서 X5까지의 날짜 구간안에 들어가면 Z5 을 추가하여 보여준다.</t>
    <phoneticPr fontId="1" type="noConversion"/>
  </si>
  <si>
    <t>5. H2에 입력한 날짜가 W6에서 X6까지의 날짜 구간안에 들어가면 Z6 을 추가하여 보여준다.</t>
    <phoneticPr fontId="1" type="noConversion"/>
  </si>
  <si>
    <t>6. H2에 입력한 날짜가 W7에서 X7까지의 날짜 구간안에 들어가면 Z7 을 추가하여 보여준다.</t>
    <phoneticPr fontId="1" type="noConversion"/>
  </si>
  <si>
    <t>7. H2에 입력한8에서 X8까지의 날짜 구간안에 들어가면 Z8 을 추가하여 보여준다.</t>
    <phoneticPr fontId="1" type="noConversion"/>
  </si>
  <si>
    <t>8. H2에 입력한 날짜가 W9에서 X9까지의 날짜 구간안에 들어가면 Z9 을 추가하여 보여준다.</t>
    <phoneticPr fontId="1" type="noConversion"/>
  </si>
  <si>
    <t>9. H2에 입력한 날짜가 W10에서 X10까지의 날짜 구간안에 들어가면 Z10 을 추가하여 보여준다.</t>
    <phoneticPr fontId="1" type="noConversion"/>
  </si>
  <si>
    <t>10. 최종 요금이 요금 값이 1 보다 작은 경우 Surcharg Check 를 표시한다</t>
    <phoneticPr fontId="1" type="noConversion"/>
  </si>
  <si>
    <t>ASP311_7CU</t>
    <phoneticPr fontId="1" type="noConversion"/>
  </si>
  <si>
    <t>#1일자유 #센토사 루지 #슈퍼트리쇼 #4성 업그레이드</t>
    <phoneticPr fontId="1" type="noConversion"/>
  </si>
  <si>
    <t>7C4055</t>
    <phoneticPr fontId="1" type="noConversion"/>
  </si>
  <si>
    <t>7C4056</t>
    <phoneticPr fontId="1" type="noConversion"/>
  </si>
  <si>
    <t>부산출발 - 싱가포르 도착</t>
    <phoneticPr fontId="1" type="noConversion"/>
  </si>
  <si>
    <t>ASP311_7C_바탐</t>
    <phoneticPr fontId="1" type="noConversion"/>
  </si>
  <si>
    <t>#바탐1박  #센토사 루지 #슈퍼트리쇼 #4성 업그레이드</t>
    <phoneticPr fontId="1" type="noConversion"/>
  </si>
  <si>
    <t>ASP311_7CU_바탐</t>
    <phoneticPr fontId="1" type="noConversion"/>
  </si>
  <si>
    <t>[완전특가] 바탐 1박 #센토사 루지 #슈퍼트리쇼 #4성 업그레이드</t>
    <phoneticPr fontId="1" type="noConversion"/>
  </si>
  <si>
    <t>레디슨</t>
    <phoneticPr fontId="1" type="noConversion"/>
  </si>
  <si>
    <t>마제스틱</t>
    <phoneticPr fontId="1" type="noConversion"/>
  </si>
  <si>
    <t>도착비자</t>
    <phoneticPr fontId="1" type="noConversion"/>
  </si>
  <si>
    <t>포함 옵션
(바탐)</t>
    <phoneticPr fontId="1" type="noConversion"/>
  </si>
  <si>
    <t>마사지 1시간 , 또는 발마사지</t>
  </si>
  <si>
    <t>전시마사지 2시간</t>
  </si>
  <si>
    <t>베스트 웨스턴</t>
    <phoneticPr fontId="1" type="noConversion"/>
  </si>
  <si>
    <t>전시마사지 90분</t>
  </si>
  <si>
    <t>인천출발 - 싱가포르 도착</t>
    <phoneticPr fontId="1" type="noConversion"/>
  </si>
  <si>
    <t>싱-싱</t>
    <phoneticPr fontId="1" type="noConversion"/>
  </si>
  <si>
    <t>식사 후 공항이동</t>
  </si>
  <si>
    <t>부산 출발 2박 4일</t>
    <phoneticPr fontId="1" type="noConversion"/>
  </si>
  <si>
    <t xml:space="preserve"> #전일관광 #리버원더스 #헤리티지도보투어 #핵심관광지</t>
    <phoneticPr fontId="1" type="noConversion"/>
  </si>
  <si>
    <t>ASP211_TWG</t>
    <phoneticPr fontId="1" type="noConversion"/>
  </si>
  <si>
    <t>TW0172</t>
  </si>
  <si>
    <r>
      <t>리버원더스</t>
    </r>
    <r>
      <rPr>
        <sz val="10"/>
        <color rgb="FFFF0000"/>
        <rFont val="맑은 고딕"/>
        <family val="3"/>
        <charset val="129"/>
        <scheme val="minor"/>
      </rPr>
      <t xml:space="preserve"> ( 리버퀘스트 불포함 )</t>
    </r>
    <phoneticPr fontId="1" type="noConversion"/>
  </si>
  <si>
    <t>헤리티지 도보투어</t>
    <phoneticPr fontId="1" type="noConversion"/>
  </si>
  <si>
    <t>(중식) 스트레잇 차이니즈</t>
    <phoneticPr fontId="1" type="noConversion"/>
  </si>
  <si>
    <t>오차드 로드 + 에메랄드 힐 + 마리나 베라지</t>
    <phoneticPr fontId="1" type="noConversion"/>
  </si>
  <si>
    <t>(석식) 사테 세트 - 라우파사</t>
    <phoneticPr fontId="1" type="noConversion"/>
  </si>
  <si>
    <r>
      <t xml:space="preserve">센토사 섬 ( </t>
    </r>
    <r>
      <rPr>
        <b/>
        <sz val="10"/>
        <color rgb="FFFF0000"/>
        <rFont val="맑은 고딕"/>
        <family val="3"/>
        <charset val="129"/>
        <scheme val="minor"/>
      </rPr>
      <t>케이블카 + 마담투소</t>
    </r>
    <r>
      <rPr>
        <sz val="10"/>
        <color theme="1"/>
        <rFont val="맑은 고딕"/>
        <family val="2"/>
        <charset val="129"/>
        <scheme val="minor"/>
      </rPr>
      <t xml:space="preserve"> ) +실로소비치</t>
    </r>
    <phoneticPr fontId="1" type="noConversion"/>
  </si>
  <si>
    <t>(중식) 치킨라이스 센트</t>
    <phoneticPr fontId="1" type="noConversion"/>
  </si>
  <si>
    <t>치킨라이스</t>
    <phoneticPr fontId="1" type="noConversion"/>
  </si>
  <si>
    <t>라우파사</t>
    <phoneticPr fontId="1" type="noConversion"/>
  </si>
  <si>
    <t>사테 세트</t>
    <phoneticPr fontId="1" type="noConversion"/>
  </si>
  <si>
    <t>차이나타운+ 아랍스트리트+하지레인+리틀인디아+부기스</t>
    <phoneticPr fontId="1" type="noConversion"/>
  </si>
  <si>
    <t>ASP210_KEG</t>
    <phoneticPr fontId="1" type="noConversion"/>
  </si>
  <si>
    <t>KE645</t>
    <phoneticPr fontId="1" type="noConversion"/>
  </si>
  <si>
    <t>KE646</t>
    <phoneticPr fontId="1" type="noConversion"/>
  </si>
  <si>
    <r>
      <t xml:space="preserve">센토사 섬 ( </t>
    </r>
    <r>
      <rPr>
        <b/>
        <sz val="10"/>
        <color rgb="FFFF0000"/>
        <rFont val="맑은 고딕"/>
        <family val="3"/>
        <charset val="129"/>
        <scheme val="minor"/>
      </rPr>
      <t xml:space="preserve">케이블카 </t>
    </r>
    <r>
      <rPr>
        <sz val="10"/>
        <color theme="1"/>
        <rFont val="맑은 고딕"/>
        <family val="2"/>
        <charset val="129"/>
        <scheme val="minor"/>
      </rPr>
      <t>)</t>
    </r>
    <phoneticPr fontId="1" type="noConversion"/>
  </si>
  <si>
    <t>(석식) 자유식 20 SGD - Malaysian Food Street</t>
    <phoneticPr fontId="1" type="noConversion"/>
  </si>
  <si>
    <t>(중식) 자유식 - 불포함</t>
    <phoneticPr fontId="1" type="noConversion"/>
  </si>
  <si>
    <t>USS ( 유니버셜 스튜디어 싱가포르 )</t>
    <phoneticPr fontId="1" type="noConversion"/>
  </si>
  <si>
    <t>윙스오브 타임</t>
    <phoneticPr fontId="1" type="noConversion"/>
  </si>
  <si>
    <t>(중식) 팽퀸 코브 뷔페</t>
    <phoneticPr fontId="1" type="noConversion"/>
  </si>
  <si>
    <t>아랍 스트리트 + 하지레인 + 부기스 스트리트</t>
    <phoneticPr fontId="1" type="noConversion"/>
  </si>
  <si>
    <t>ASP310_7CB</t>
    <phoneticPr fontId="1" type="noConversion"/>
  </si>
  <si>
    <t># 버드 파라다이스 #센토사 루지 #마담투소 #리버원더스</t>
    <phoneticPr fontId="1" type="noConversion"/>
  </si>
  <si>
    <t>#전일관광 #에메랄드힐 #센토사섬 #슈퍼트리쇼</t>
    <phoneticPr fontId="1" type="noConversion"/>
  </si>
  <si>
    <t>ASP311_7CX</t>
    <phoneticPr fontId="1" type="noConversion"/>
  </si>
  <si>
    <t>[완전특가 -전일관광] 싱가포르 5일#전일관광 #에메랄드힐 #센토사섬 #슈퍼트리쇼#4성업그레이드</t>
    <phoneticPr fontId="1" type="noConversion"/>
  </si>
  <si>
    <t>보타닉 가든 + 차이나 타운</t>
    <phoneticPr fontId="1" type="noConversion"/>
  </si>
  <si>
    <t>(중식) 블랑코 새우 국수</t>
    <phoneticPr fontId="1" type="noConversion"/>
  </si>
  <si>
    <t>더 숍스 앳 마리나 베이 샌즈</t>
    <phoneticPr fontId="1" type="noConversion"/>
  </si>
  <si>
    <t>(석식) 자유식 - 호커센터</t>
    <phoneticPr fontId="1" type="noConversion"/>
  </si>
  <si>
    <t>ASP312_7CU</t>
    <phoneticPr fontId="1" type="noConversion"/>
  </si>
  <si>
    <t>싱가포르 5일#1일자유 #센토사 #가든스 바이더베이 #칠리크랩 #리버원더스 #4성호텔+마리나베이샌즈호텔</t>
    <phoneticPr fontId="1" type="noConversion"/>
  </si>
  <si>
    <t>MBS</t>
    <phoneticPr fontId="1" type="noConversion"/>
  </si>
  <si>
    <t>보타닉 가든 + 멀라이언 파크</t>
    <phoneticPr fontId="1" type="noConversion"/>
  </si>
  <si>
    <t>호텔 복귀및 휴식</t>
  </si>
  <si>
    <t>오전 자유시간</t>
    <phoneticPr fontId="1" type="noConversion"/>
  </si>
  <si>
    <t>리틀인디아 + 아랍스트리트 + 하지레인 + 부기스스트리트</t>
    <phoneticPr fontId="1" type="noConversion"/>
  </si>
  <si>
    <t>자유시간</t>
    <phoneticPr fontId="1" type="noConversion"/>
  </si>
  <si>
    <t>호텔 복귀 휴식 및 취침</t>
  </si>
  <si>
    <t>#1일자유#가든스 바이더베이 #칠리크랩 #리버원더스</t>
    <phoneticPr fontId="1" type="noConversion"/>
  </si>
  <si>
    <t>ASP211_OZB</t>
    <phoneticPr fontId="1" type="noConversion"/>
  </si>
  <si>
    <t>#완전특가 #마리나베이샌즈1박+4성호텔 #1일자유 #노쇼핑 #센토사루지 #슈퍼트리쇼</t>
    <phoneticPr fontId="1" type="noConversion"/>
  </si>
  <si>
    <t>OZ751</t>
    <phoneticPr fontId="1" type="noConversion"/>
  </si>
  <si>
    <t>OZ752</t>
    <phoneticPr fontId="1" type="noConversion"/>
  </si>
  <si>
    <t>아랍스트리트+하지레인+리틀인디아</t>
    <phoneticPr fontId="1" type="noConversion"/>
  </si>
  <si>
    <t>MBS 1박</t>
    <phoneticPr fontId="1" type="noConversion"/>
  </si>
  <si>
    <t>ASP309_7CB</t>
    <phoneticPr fontId="1" type="noConversion"/>
  </si>
  <si>
    <t xml:space="preserve"> # 전일관광 #슈퍼트리쇼 #센토사 #마담투소 #칠리크랩</t>
    <phoneticPr fontId="1" type="noConversion"/>
  </si>
  <si>
    <t>ASP211_OZC</t>
    <phoneticPr fontId="1" type="noConversion"/>
  </si>
  <si>
    <t xml:space="preserve"> #전일관광 #에메랄드힐 #센토사섬 #슈퍼트리쇼</t>
    <phoneticPr fontId="1" type="noConversion"/>
  </si>
  <si>
    <t>(석식) 딤섬 세트</t>
    <phoneticPr fontId="1" type="noConversion"/>
  </si>
  <si>
    <t>보타닉가든 + 차이나 타운</t>
    <phoneticPr fontId="1" type="noConversion"/>
  </si>
  <si>
    <t>에메랄드 힐 + 마나베라지 + MBS 쇼핑몰</t>
    <phoneticPr fontId="1" type="noConversion"/>
  </si>
  <si>
    <t>(석식) 호커센터 자유식</t>
    <phoneticPr fontId="1" type="noConversion"/>
  </si>
  <si>
    <t>ASP211_KEA</t>
    <phoneticPr fontId="1" type="noConversion"/>
  </si>
  <si>
    <t>KE0645</t>
    <phoneticPr fontId="1" type="noConversion"/>
  </si>
  <si>
    <t>KE0646</t>
    <phoneticPr fontId="1" type="noConversion"/>
  </si>
  <si>
    <t>인천 출발 - 싱가포르 도착</t>
    <phoneticPr fontId="1" type="noConversion"/>
  </si>
  <si>
    <r>
      <t xml:space="preserve">센토사 섬 ( </t>
    </r>
    <r>
      <rPr>
        <b/>
        <sz val="10"/>
        <color rgb="FFFF0000"/>
        <rFont val="맑은 고딕"/>
        <family val="3"/>
        <charset val="129"/>
        <scheme val="minor"/>
      </rPr>
      <t>케이블카 + 루지2회</t>
    </r>
    <r>
      <rPr>
        <sz val="10"/>
        <color theme="1"/>
        <rFont val="맑은 고딕"/>
        <family val="2"/>
        <charset val="129"/>
        <scheme val="minor"/>
      </rPr>
      <t xml:space="preserve"> ) + 실로소</t>
    </r>
    <phoneticPr fontId="1" type="noConversion"/>
  </si>
  <si>
    <r>
      <rPr>
        <sz val="9"/>
        <color rgb="FFFF0000"/>
        <rFont val="맑은 고딕"/>
        <family val="3"/>
        <charset val="129"/>
        <scheme val="minor"/>
      </rPr>
      <t>싱가포르 4박</t>
    </r>
    <r>
      <rPr>
        <sz val="9"/>
        <color theme="1"/>
        <rFont val="맑은 고딕"/>
        <family val="2"/>
        <charset val="129"/>
        <scheme val="minor"/>
      </rPr>
      <t xml:space="preserve"> #USS #리버원더스 #리버보트 #버드파라다이스 #사이언스센터</t>
    </r>
    <phoneticPr fontId="1" type="noConversion"/>
  </si>
  <si>
    <t>초등학교 글로벌 문화체험 1</t>
    <phoneticPr fontId="1" type="noConversion"/>
  </si>
  <si>
    <t>초등학교 글로벌 문화체험 2</t>
    <phoneticPr fontId="1" type="noConversion"/>
  </si>
  <si>
    <t xml:space="preserve">  #USS #리버원더스  #사이언스센터 #스카이파크</t>
    <phoneticPr fontId="1" type="noConversion"/>
  </si>
  <si>
    <t>#NUS #USS #윙스오브타임 #리버원더스 #리버보트</t>
    <phoneticPr fontId="1" type="noConversion"/>
  </si>
  <si>
    <t>초등학교1</t>
    <phoneticPr fontId="1" type="noConversion"/>
  </si>
  <si>
    <t>초등학교2</t>
    <phoneticPr fontId="1" type="noConversion"/>
  </si>
  <si>
    <t>중학교1</t>
    <phoneticPr fontId="1" type="noConversion"/>
  </si>
  <si>
    <t>고등학교1</t>
    <phoneticPr fontId="1" type="noConversion"/>
  </si>
  <si>
    <t>고등학교 글로벌 문화체험 2</t>
    <phoneticPr fontId="1" type="noConversion"/>
  </si>
  <si>
    <t>고등학교 글로벌 문화체험 1</t>
    <phoneticPr fontId="1" type="noConversion"/>
  </si>
  <si>
    <t>#NUS #USS #리버원더스 #리버보트</t>
    <phoneticPr fontId="1" type="noConversion"/>
  </si>
  <si>
    <r>
      <t>리버보트 탑승 +</t>
    </r>
    <r>
      <rPr>
        <sz val="10"/>
        <rFont val="맑은 고딕"/>
        <family val="3"/>
        <charset val="129"/>
        <scheme val="minor"/>
      </rPr>
      <t xml:space="preserve"> 스펙트 라쇼 감상</t>
    </r>
    <phoneticPr fontId="1" type="noConversion"/>
  </si>
  <si>
    <r>
      <t>리버보트 탑승 +</t>
    </r>
    <r>
      <rPr>
        <sz val="10"/>
        <rFont val="맑은 고딕"/>
        <family val="3"/>
        <charset val="129"/>
        <scheme val="minor"/>
      </rPr>
      <t xml:space="preserve"> 슈퍼트리쇼</t>
    </r>
    <phoneticPr fontId="1" type="noConversion"/>
  </si>
  <si>
    <t>고등학교2</t>
    <phoneticPr fontId="1" type="noConversion"/>
  </si>
  <si>
    <r>
      <t xml:space="preserve">#USS </t>
    </r>
    <r>
      <rPr>
        <sz val="9"/>
        <color rgb="FFFF0000"/>
        <rFont val="맑은 고딕"/>
        <family val="3"/>
        <charset val="129"/>
        <scheme val="minor"/>
      </rPr>
      <t xml:space="preserve"> #NUS투어 </t>
    </r>
    <r>
      <rPr>
        <sz val="9"/>
        <color theme="1"/>
        <rFont val="맑은 고딕"/>
        <family val="2"/>
        <charset val="129"/>
        <scheme val="minor"/>
      </rPr>
      <t>#윙스오브타임 #스카이파크 #리버보트</t>
    </r>
    <phoneticPr fontId="1" type="noConversion"/>
  </si>
  <si>
    <r>
      <t>#USS</t>
    </r>
    <r>
      <rPr>
        <sz val="9"/>
        <color rgb="FFFF0000"/>
        <rFont val="맑은 고딕"/>
        <family val="3"/>
        <charset val="129"/>
        <scheme val="minor"/>
      </rPr>
      <t xml:space="preserve"> #NUS투어</t>
    </r>
    <r>
      <rPr>
        <sz val="9"/>
        <color theme="1"/>
        <rFont val="맑은 고딕"/>
        <family val="2"/>
        <charset val="129"/>
        <scheme val="minor"/>
      </rPr>
      <t xml:space="preserve"> #윙스오브타임 #리버원더스 #리버보트</t>
    </r>
    <phoneticPr fontId="1" type="noConversion"/>
  </si>
  <si>
    <r>
      <t>#USS</t>
    </r>
    <r>
      <rPr>
        <sz val="9"/>
        <color rgb="FFFF0000"/>
        <rFont val="맑은 고딕"/>
        <family val="3"/>
        <charset val="129"/>
        <scheme val="minor"/>
      </rPr>
      <t xml:space="preserve"> #NUS투어</t>
    </r>
    <r>
      <rPr>
        <sz val="9"/>
        <color theme="1"/>
        <rFont val="맑은 고딕"/>
        <family val="2"/>
        <charset val="129"/>
        <scheme val="minor"/>
      </rPr>
      <t xml:space="preserve"> </t>
    </r>
    <r>
      <rPr>
        <sz val="9"/>
        <color rgb="FF7030A0"/>
        <rFont val="맑은 고딕"/>
        <family val="3"/>
        <charset val="129"/>
        <scheme val="minor"/>
      </rPr>
      <t xml:space="preserve">#무제한삼겹살 </t>
    </r>
    <r>
      <rPr>
        <sz val="9"/>
        <color theme="1"/>
        <rFont val="맑은 고딕"/>
        <family val="2"/>
        <charset val="129"/>
        <scheme val="minor"/>
      </rPr>
      <t>#리버원더스 #리버보트</t>
    </r>
    <phoneticPr fontId="1" type="noConversion"/>
  </si>
  <si>
    <t>#USS #칠리크랩 #버드파라다이스 #윙스오브타임</t>
    <phoneticPr fontId="1" type="noConversion"/>
  </si>
  <si>
    <r>
      <t xml:space="preserve">#USS #핵심관광+센토사 #칠리크랩 </t>
    </r>
    <r>
      <rPr>
        <sz val="9"/>
        <color rgb="FFFF0000"/>
        <rFont val="맑은 고딕"/>
        <family val="3"/>
        <charset val="129"/>
        <scheme val="minor"/>
      </rPr>
      <t>#버드파라다이스</t>
    </r>
    <r>
      <rPr>
        <sz val="9"/>
        <color theme="1"/>
        <rFont val="맑은 고딕"/>
        <family val="2"/>
        <charset val="129"/>
        <scheme val="minor"/>
      </rPr>
      <t xml:space="preserve"> </t>
    </r>
    <r>
      <rPr>
        <sz val="9"/>
        <color rgb="FFFF0000"/>
        <rFont val="맑은 고딕"/>
        <family val="3"/>
        <charset val="129"/>
        <scheme val="minor"/>
      </rPr>
      <t xml:space="preserve">#윙스오브타임 </t>
    </r>
    <r>
      <rPr>
        <sz val="9"/>
        <color theme="1"/>
        <rFont val="맑은 고딕"/>
        <family val="2"/>
        <charset val="129"/>
        <scheme val="minor"/>
      </rPr>
      <t>#4성호텔</t>
    </r>
    <phoneticPr fontId="1" type="noConversion"/>
  </si>
  <si>
    <r>
      <t xml:space="preserve">#완전특가 </t>
    </r>
    <r>
      <rPr>
        <sz val="9"/>
        <color rgb="FFFF0000"/>
        <rFont val="맑은 고딕"/>
        <family val="3"/>
        <charset val="129"/>
        <scheme val="minor"/>
      </rPr>
      <t>#1일자유</t>
    </r>
    <r>
      <rPr>
        <sz val="9"/>
        <color theme="1"/>
        <rFont val="맑은 고딕"/>
        <family val="2"/>
        <charset val="129"/>
        <scheme val="minor"/>
      </rPr>
      <t xml:space="preserve"> #센토사루지 #슈퍼트리쇼 #4성업그레이드</t>
    </r>
    <phoneticPr fontId="1" type="noConversion"/>
  </si>
  <si>
    <t>#완전특가 #전일관광 #에메랄드힐 #센토사섬 #슈퍼트리쇼 #4성업그레이드</t>
    <phoneticPr fontId="1" type="noConversion"/>
  </si>
  <si>
    <t>#버드파라다이스 #센토사 루지 #마담투소 #리버원더스</t>
    <phoneticPr fontId="1" type="noConversion"/>
  </si>
  <si>
    <r>
      <t>[완전특가] 싱가포르 5일</t>
    </r>
    <r>
      <rPr>
        <sz val="9"/>
        <color rgb="FFFF0000"/>
        <rFont val="맑은 고딕"/>
        <family val="3"/>
        <charset val="129"/>
        <scheme val="minor"/>
      </rPr>
      <t xml:space="preserve"> #1일자유</t>
    </r>
    <r>
      <rPr>
        <sz val="9"/>
        <color theme="1"/>
        <rFont val="맑은 고딕"/>
        <family val="2"/>
        <charset val="129"/>
        <scheme val="minor"/>
      </rPr>
      <t xml:space="preserve"> #센토사 루지 #슈퍼트리쇼 #4성 업그레이드</t>
    </r>
    <phoneticPr fontId="1" type="noConversion"/>
  </si>
  <si>
    <t>부산연합1</t>
    <phoneticPr fontId="1" type="noConversion"/>
  </si>
  <si>
    <t>부산연합 1</t>
    <phoneticPr fontId="1" type="noConversion"/>
  </si>
  <si>
    <t>차이나타운  + 머라이언 공원 + 에스플라네이드</t>
    <phoneticPr fontId="1" type="noConversion"/>
  </si>
  <si>
    <t>(석식) 스팀 보트 - 오빠 샤브</t>
    <phoneticPr fontId="1" type="noConversion"/>
  </si>
  <si>
    <t>깜봉글람+아랍스트리트+리틀인디아</t>
    <phoneticPr fontId="1" type="noConversion"/>
  </si>
  <si>
    <t>2층 버스 + 과일 시식</t>
    <phoneticPr fontId="1" type="noConversion"/>
  </si>
  <si>
    <t>(석식) 무제한 삼겹살 - 고기집</t>
    <phoneticPr fontId="1" type="noConversion"/>
  </si>
  <si>
    <t>스카이 파크 + 윙스오브 타임</t>
    <phoneticPr fontId="1" type="noConversion"/>
  </si>
  <si>
    <t>보타닉 가든 + 페라나칸 전통 가옥 거리</t>
    <phoneticPr fontId="1" type="noConversion"/>
  </si>
  <si>
    <t>(중식) 딤섬</t>
    <phoneticPr fontId="1" type="noConversion"/>
  </si>
  <si>
    <t>(석식) 송파 바쿠테 - 특식</t>
    <phoneticPr fontId="1" type="noConversion"/>
  </si>
  <si>
    <t>리버코트 탑승</t>
    <phoneticPr fontId="1" type="noConversion"/>
  </si>
  <si>
    <t>#NO옵션 #버드파라다이스 #핵심옵션포함</t>
    <phoneticPr fontId="1" type="noConversion"/>
  </si>
  <si>
    <t>Wings of Time ( 7:40, Open / 8:40 ) VIP</t>
    <phoneticPr fontId="1" type="noConversion"/>
  </si>
  <si>
    <t>19</t>
    <phoneticPr fontId="1" type="noConversion"/>
  </si>
  <si>
    <t>썸딤섬</t>
    <phoneticPr fontId="1" type="noConversion"/>
  </si>
  <si>
    <t>딤섬</t>
    <phoneticPr fontId="1" type="noConversion"/>
  </si>
  <si>
    <t>스트레잇 차이니즈 (에스플레이드)</t>
    <phoneticPr fontId="1" type="noConversion"/>
  </si>
  <si>
    <t>I am Kim</t>
    <phoneticPr fontId="1" type="noConversion"/>
  </si>
  <si>
    <t>고기뷔페 (점심)</t>
    <phoneticPr fontId="1" type="noConversion"/>
  </si>
  <si>
    <t>고기뷔페 (저녁)</t>
    <phoneticPr fontId="1" type="noConversion"/>
  </si>
  <si>
    <t>BSP501_모두투어</t>
    <phoneticPr fontId="1" type="noConversion"/>
  </si>
  <si>
    <t>모두투어_BSP505</t>
    <phoneticPr fontId="1" type="noConversion"/>
  </si>
  <si>
    <t>#완전일주 #리버원더스 #가든스바이더베이</t>
    <phoneticPr fontId="1" type="noConversion"/>
  </si>
  <si>
    <t>[전일관광/노쇼핑]싱가포르 5일(월드체인호텔) - #완전일주 #리버원더스 #가든스바이더베이</t>
    <phoneticPr fontId="1" type="noConversion"/>
  </si>
  <si>
    <t>보타닉 가든 + 에메랄드 힐 + 오차드 로드 (자유시간)</t>
    <phoneticPr fontId="1" type="noConversion"/>
  </si>
  <si>
    <t>(중식) 칠리크랩  - 지엔</t>
    <phoneticPr fontId="1" type="noConversion"/>
  </si>
  <si>
    <t>리틀인디아 + 아랍스트리트 + 하지레인</t>
    <phoneticPr fontId="1" type="noConversion"/>
  </si>
  <si>
    <t>마리나베이샌즈 더숍스 자유시간</t>
    <phoneticPr fontId="1" type="noConversion"/>
  </si>
  <si>
    <t>(중식) 딤섬 세트 - 섬딤섬</t>
    <phoneticPr fontId="1" type="noConversion"/>
  </si>
  <si>
    <t>딤섬 세트 - 일반</t>
    <phoneticPr fontId="1" type="noConversion"/>
  </si>
  <si>
    <t>딤섬 세트 - 스패셜</t>
    <phoneticPr fontId="1" type="noConversion"/>
  </si>
  <si>
    <t>ASP211_바탐</t>
    <phoneticPr fontId="1" type="noConversion"/>
  </si>
  <si>
    <t>바탐 직항 6일 #바탐2박 #싱가포르2박 #라노섬투어 #마사지90분 #원주민마을 #싱가포르핵심투어 #센토사섬</t>
    <phoneticPr fontId="1" type="noConversion"/>
  </si>
  <si>
    <t>7C5301</t>
    <phoneticPr fontId="1" type="noConversion"/>
  </si>
  <si>
    <t>7C5302</t>
    <phoneticPr fontId="1" type="noConversion"/>
  </si>
  <si>
    <t>#라노섬 #마사지90분 #싱가포르핵심투어 #센토사섬</t>
    <phoneticPr fontId="1" type="noConversion"/>
  </si>
  <si>
    <t>바탐 마사지 90분</t>
    <phoneticPr fontId="1" type="noConversion"/>
  </si>
  <si>
    <t>싱가포르 이동 및 가이드 미팅</t>
    <phoneticPr fontId="1" type="noConversion"/>
  </si>
  <si>
    <r>
      <rPr>
        <sz val="10"/>
        <rFont val="맑은 고딕"/>
        <family val="3"/>
        <charset val="129"/>
        <scheme val="minor"/>
      </rPr>
      <t xml:space="preserve">센토사 </t>
    </r>
    <r>
      <rPr>
        <b/>
        <sz val="10"/>
        <rFont val="맑은 고딕"/>
        <family val="3"/>
        <charset val="129"/>
        <scheme val="minor"/>
      </rPr>
      <t xml:space="preserve">( </t>
    </r>
    <r>
      <rPr>
        <b/>
        <sz val="10"/>
        <color rgb="FFFF0000"/>
        <rFont val="맑은 고딕"/>
        <family val="3"/>
        <charset val="129"/>
        <scheme val="minor"/>
      </rPr>
      <t xml:space="preserve">케이블카 1 Line </t>
    </r>
    <r>
      <rPr>
        <b/>
        <sz val="10"/>
        <rFont val="맑은 고딕"/>
        <family val="3"/>
        <charset val="129"/>
        <scheme val="minor"/>
      </rPr>
      <t>) +</t>
    </r>
    <r>
      <rPr>
        <sz val="10"/>
        <rFont val="맑은 고딕"/>
        <family val="3"/>
        <charset val="129"/>
        <scheme val="minor"/>
      </rPr>
      <t xml:space="preserve"> 실로소 비치</t>
    </r>
    <phoneticPr fontId="1" type="noConversion"/>
  </si>
  <si>
    <t>보나닉 가든 + 멀라이언 파크 + 에스플러네이드</t>
    <phoneticPr fontId="1" type="noConversion"/>
  </si>
  <si>
    <t xml:space="preserve">아랍스트리트 + 리틀인이다 + 부기스 + 서던리지스 </t>
    <phoneticPr fontId="1" type="noConversion"/>
  </si>
  <si>
    <t>페리터미널 이후 바탐 바탐 행 페리 탑승</t>
    <phoneticPr fontId="1" type="noConversion"/>
  </si>
  <si>
    <r>
      <rPr>
        <sz val="10"/>
        <rFont val="맑은 고딕"/>
        <family val="3"/>
        <charset val="129"/>
        <scheme val="minor"/>
      </rPr>
      <t xml:space="preserve">전통 민속 마을 </t>
    </r>
    <r>
      <rPr>
        <b/>
        <sz val="10"/>
        <color rgb="FFFF0000"/>
        <rFont val="맑은 고딕"/>
        <family val="3"/>
        <charset val="129"/>
        <scheme val="minor"/>
      </rPr>
      <t>+ 뚜리 비치</t>
    </r>
    <phoneticPr fontId="1" type="noConversion"/>
  </si>
  <si>
    <t>시내 이동 후 쇼핑센터 방문</t>
    <phoneticPr fontId="1" type="noConversion"/>
  </si>
  <si>
    <t>(석식) 현지식</t>
    <phoneticPr fontId="1" type="noConversion"/>
  </si>
  <si>
    <t>바탐 비자피</t>
    <phoneticPr fontId="1" type="noConversion"/>
  </si>
  <si>
    <t>바탐 페리</t>
    <phoneticPr fontId="1" type="noConversion"/>
  </si>
  <si>
    <r>
      <t xml:space="preserve">바탐 시티 이동 ( </t>
    </r>
    <r>
      <rPr>
        <b/>
        <sz val="10"/>
        <color rgb="FFFF0000"/>
        <rFont val="맑은 고딕"/>
        <family val="3"/>
        <charset val="129"/>
        <scheme val="minor"/>
      </rPr>
      <t xml:space="preserve">구운 옥수수 + 코코넛 제공 </t>
    </r>
    <r>
      <rPr>
        <sz val="10"/>
        <rFont val="맑은 고딕"/>
        <family val="3"/>
        <charset val="129"/>
        <scheme val="minor"/>
      </rPr>
      <t>)</t>
    </r>
    <phoneticPr fontId="1" type="noConversion"/>
  </si>
  <si>
    <t>(석식) 현지식 - 스트레잇 차이니즈</t>
    <phoneticPr fontId="1" type="noConversion"/>
  </si>
  <si>
    <t>(석식) 오빠샤브- 스팀보트 + 한식 뷔페</t>
    <phoneticPr fontId="1" type="noConversion"/>
  </si>
  <si>
    <t xml:space="preserve">(석식) 딤섬 </t>
    <phoneticPr fontId="1" type="noConversion"/>
  </si>
  <si>
    <t>#완전특가 #MBS1박 #1일자유 #센토사루지 #슈퍼트리쇼</t>
    <phoneticPr fontId="1" type="noConversion"/>
  </si>
  <si>
    <t>ASP221_바탐_2박</t>
    <phoneticPr fontId="1" type="noConversion"/>
  </si>
  <si>
    <t>모두투어_ASE501</t>
    <phoneticPr fontId="1" type="noConversion"/>
  </si>
  <si>
    <t>ASP311</t>
    <phoneticPr fontId="1" type="noConversion"/>
  </si>
  <si>
    <t>ASP213</t>
    <phoneticPr fontId="1" type="noConversion"/>
  </si>
  <si>
    <t>싱가포르 4박</t>
    <phoneticPr fontId="1" type="noConversion"/>
  </si>
  <si>
    <t>ASP210_4박</t>
    <phoneticPr fontId="1" type="noConversion"/>
  </si>
  <si>
    <t>ASP910_TR</t>
    <phoneticPr fontId="1" type="noConversion"/>
  </si>
  <si>
    <t>제주출발</t>
    <phoneticPr fontId="1" type="noConversion"/>
  </si>
  <si>
    <t>TR0813</t>
    <phoneticPr fontId="1" type="noConversion"/>
  </si>
  <si>
    <t>제주 출발 - 싱가포르 도착</t>
    <phoneticPr fontId="1" type="noConversion"/>
  </si>
  <si>
    <t>바쿠테 - 점심</t>
    <phoneticPr fontId="1" type="noConversion"/>
  </si>
  <si>
    <t>바쿠테 - 저녁</t>
    <phoneticPr fontId="1" type="noConversion"/>
  </si>
  <si>
    <t>식사 후 바탐 호텔 휴식</t>
    <phoneticPr fontId="1" type="noConversion"/>
  </si>
  <si>
    <t>인코</t>
    <phoneticPr fontId="1" type="noConversion"/>
  </si>
  <si>
    <t>라노</t>
    <phoneticPr fontId="1" type="noConversion"/>
  </si>
  <si>
    <t>비자</t>
    <phoneticPr fontId="1" type="noConversion"/>
  </si>
  <si>
    <t>패리</t>
    <phoneticPr fontId="1" type="noConversion"/>
  </si>
  <si>
    <t>ASP210_SQB</t>
    <phoneticPr fontId="1" type="noConversion"/>
  </si>
  <si>
    <t>SQ607</t>
    <phoneticPr fontId="1" type="noConversion"/>
  </si>
  <si>
    <t>SQ608</t>
    <phoneticPr fontId="1" type="noConversion"/>
  </si>
  <si>
    <t>리버원더스 (보트 불포함)</t>
    <phoneticPr fontId="1" type="noConversion"/>
  </si>
  <si>
    <t>ㅊ</t>
    <phoneticPr fontId="1" type="noConversion"/>
  </si>
  <si>
    <t>(석식) 자유식 20 SGD</t>
    <phoneticPr fontId="1" type="noConversion"/>
  </si>
  <si>
    <t>리틀인디아 + 아랍스트리트 + 하지래인 + 부기스스트리트</t>
    <phoneticPr fontId="1" type="noConversion"/>
  </si>
  <si>
    <t xml:space="preserve"> #버드파라다이스+뷔페 #루지 #마담투소 #리버원더스</t>
    <phoneticPr fontId="1" type="noConversion"/>
  </si>
  <si>
    <t>고등학교 글로벌 문화체험 3</t>
    <phoneticPr fontId="1" type="noConversion"/>
  </si>
  <si>
    <t>센토사섬 케이블카 탑승 (편도)</t>
    <phoneticPr fontId="1" type="noConversion"/>
  </si>
  <si>
    <t>USS 관람 후 식당 이동</t>
    <phoneticPr fontId="1" type="noConversion"/>
  </si>
  <si>
    <t>(석식) 고기 뷔페 - IM KIM</t>
    <phoneticPr fontId="1" type="noConversion"/>
  </si>
  <si>
    <t>호텔 복귀 후 자유 휴식 및 취침</t>
    <phoneticPr fontId="1" type="noConversion"/>
  </si>
  <si>
    <t>(중식) 송파 바쿠테 - 특식</t>
    <phoneticPr fontId="1" type="noConversion"/>
  </si>
  <si>
    <t>호텔 이동 후 2시간 자유시간</t>
    <phoneticPr fontId="1" type="noConversion"/>
  </si>
  <si>
    <t>싱가포르 국립박물관 관람</t>
    <phoneticPr fontId="1" type="noConversion"/>
  </si>
  <si>
    <t>슈퍼트리 쇼 관람</t>
    <phoneticPr fontId="1" type="noConversion"/>
  </si>
  <si>
    <t>(중식) 오빠샤브- 스팀보트</t>
    <phoneticPr fontId="1" type="noConversion"/>
  </si>
  <si>
    <t>MBS 전망대 (Sky Park)</t>
    <phoneticPr fontId="1" type="noConversion"/>
  </si>
  <si>
    <t>(석식) 북창동 순두부</t>
    <phoneticPr fontId="1" type="noConversion"/>
  </si>
  <si>
    <t>리버보트 탑승 + 클라키 야경 감상</t>
    <phoneticPr fontId="1" type="noConversion"/>
  </si>
  <si>
    <t>기타 예비 비용 ( 1인 1일 생수2제공 등)</t>
    <phoneticPr fontId="1" type="noConversion"/>
  </si>
  <si>
    <r>
      <t xml:space="preserve">머라이언 파크 + </t>
    </r>
    <r>
      <rPr>
        <b/>
        <sz val="10"/>
        <color theme="4"/>
        <rFont val="맑은 고딕"/>
        <family val="3"/>
        <charset val="129"/>
        <scheme val="minor"/>
      </rPr>
      <t>아이스크림 간식</t>
    </r>
    <phoneticPr fontId="1" type="noConversion"/>
  </si>
  <si>
    <r>
      <t>시티 겔러리 방문 +</t>
    </r>
    <r>
      <rPr>
        <b/>
        <sz val="10"/>
        <color theme="4"/>
        <rFont val="맑은 고딕"/>
        <family val="3"/>
        <charset val="129"/>
        <scheme val="minor"/>
      </rPr>
      <t xml:space="preserve"> 망고빙수 (2인1개)</t>
    </r>
    <phoneticPr fontId="1" type="noConversion"/>
  </si>
  <si>
    <t>NUS 재학생 투어 (2조 분리 행사)</t>
    <phoneticPr fontId="1" type="noConversion"/>
  </si>
  <si>
    <t>ASP212_OZD</t>
    <phoneticPr fontId="1" type="noConversion"/>
  </si>
  <si>
    <t>싱가포르 5일#1일자유 #5성 아마라호텔 #센토사 루지 #마담투소 #리버원더스 #핵심관광지 #NO쇼핑 #NO 팁</t>
    <phoneticPr fontId="1" type="noConversion"/>
  </si>
  <si>
    <t>ASP215_OZB</t>
    <phoneticPr fontId="1" type="noConversion"/>
  </si>
  <si>
    <t>싱가포르 5일#1일자유 #플라이어 #2층버스 #리버보트 #리버원더스 #5성호텔+마리나베이샌즈호텔</t>
    <phoneticPr fontId="1" type="noConversion"/>
  </si>
  <si>
    <t>보타닉가든 + 멀라이언 파크</t>
    <phoneticPr fontId="1" type="noConversion"/>
  </si>
  <si>
    <t>플라이어 + 타임캡슐</t>
    <phoneticPr fontId="1" type="noConversion"/>
  </si>
  <si>
    <t>(석식) 딤섬 세트 - 섬딤섬</t>
    <phoneticPr fontId="1" type="noConversion"/>
  </si>
  <si>
    <t>Alfot</t>
    <phoneticPr fontId="1" type="noConversion"/>
  </si>
  <si>
    <t>호텔명</t>
    <phoneticPr fontId="1" type="noConversion"/>
  </si>
  <si>
    <t>등급</t>
    <phoneticPr fontId="1" type="noConversion"/>
  </si>
  <si>
    <t>요금</t>
    <phoneticPr fontId="1" type="noConversion"/>
  </si>
  <si>
    <t>특이사항</t>
    <phoneticPr fontId="1" type="noConversion"/>
  </si>
  <si>
    <t>머큐어스티븐스</t>
    <phoneticPr fontId="1" type="noConversion"/>
  </si>
  <si>
    <t>머큐어 티히티</t>
    <phoneticPr fontId="1" type="noConversion"/>
  </si>
  <si>
    <t>IBIS 노베나</t>
    <phoneticPr fontId="1" type="noConversion"/>
  </si>
  <si>
    <t>아마라</t>
    <phoneticPr fontId="1" type="noConversion"/>
  </si>
  <si>
    <t>오아시아센토사</t>
    <phoneticPr fontId="1" type="noConversion"/>
  </si>
  <si>
    <t>1월~3월까지</t>
    <phoneticPr fontId="1" type="noConversion"/>
  </si>
  <si>
    <t>~ 3월까지</t>
    <phoneticPr fontId="1" type="noConversion"/>
  </si>
  <si>
    <t>데일리 10방 하드</t>
    <phoneticPr fontId="1" type="noConversion"/>
  </si>
  <si>
    <t>데일리 9방 얼랏먼트</t>
    <phoneticPr fontId="1" type="noConversion"/>
  </si>
  <si>
    <t>트윈게런티 (200)</t>
    <phoneticPr fontId="1" type="noConversion"/>
  </si>
  <si>
    <t>180/190</t>
    <phoneticPr fontId="1" type="noConversion"/>
  </si>
  <si>
    <t>이스트 윙 ( 웨스트 200 )</t>
    <phoneticPr fontId="1" type="noConversion"/>
  </si>
  <si>
    <t>머라이언 공원+에스플라네이드</t>
    <phoneticPr fontId="1" type="noConversion"/>
  </si>
  <si>
    <t>(석식) 딤섬세트 - 섬딤섬</t>
    <phoneticPr fontId="1" type="noConversion"/>
  </si>
  <si>
    <t>Chinese New Year</t>
  </si>
  <si>
    <t>21 – 27 September 2025</t>
  </si>
  <si>
    <t>Singapore Formula One</t>
  </si>
  <si>
    <t>　02 Oct - 05 Oct, 2025</t>
  </si>
  <si>
    <t>ITB Asia</t>
  </si>
  <si>
    <t>FHA-HoReCa</t>
  </si>
  <si>
    <t>FinTech 2025</t>
  </si>
  <si>
    <t>Singapore Airshow 2026</t>
  </si>
  <si>
    <t>3 - 6 Feb 2026</t>
  </si>
  <si>
    <t>16 - 24 Feb 2026</t>
  </si>
  <si>
    <t>Update : 25-12-20</t>
    <phoneticPr fontId="1" type="noConversion"/>
  </si>
  <si>
    <t>(석식) 스팀보트 : 고로고로</t>
    <phoneticPr fontId="1" type="noConversion"/>
  </si>
  <si>
    <t>현지투어 플러스</t>
    <phoneticPr fontId="1" type="noConversion"/>
  </si>
  <si>
    <t>공항 -&gt; 싱가포르 호텔 개별 이동</t>
    <phoneticPr fontId="1" type="noConversion"/>
  </si>
  <si>
    <t>최종 방문지 -&gt; 싱가포르 호텔 이동</t>
    <phoneticPr fontId="1" type="noConversion"/>
  </si>
  <si>
    <t>계성초등학교</t>
    <phoneticPr fontId="1" type="noConversion"/>
  </si>
  <si>
    <t>(중식) 자유식 25 SGD</t>
    <phoneticPr fontId="1" type="noConversion"/>
  </si>
  <si>
    <t>SEA 아쿠아리움</t>
    <phoneticPr fontId="1" type="noConversion"/>
  </si>
  <si>
    <t>멀라이언 공원</t>
    <phoneticPr fontId="1" type="noConversion"/>
  </si>
  <si>
    <t>아트 사이언스 뮤지엄 (퓨터월드)</t>
    <phoneticPr fontId="1" type="noConversion"/>
  </si>
  <si>
    <t>사이언스 센터</t>
    <phoneticPr fontId="1" type="noConversion"/>
  </si>
  <si>
    <t>멀라이언 공원 + 에스 프러네이드</t>
    <phoneticPr fontId="1" type="noConversion"/>
  </si>
  <si>
    <t>내셔널 겔럴리</t>
    <phoneticPr fontId="1" type="noConversion"/>
  </si>
  <si>
    <t>URA (도시개발청)</t>
    <phoneticPr fontId="1" type="noConversion"/>
  </si>
  <si>
    <t>리버보트 + 스팩트라 쇼</t>
    <phoneticPr fontId="1" type="noConversion"/>
  </si>
  <si>
    <t xml:space="preserve"> 공항이동</t>
    <phoneticPr fontId="1" type="noConversion"/>
  </si>
  <si>
    <t>(석식) 스팀보트+한식 뷔페 (고로고로)</t>
    <phoneticPr fontId="1" type="noConversion"/>
  </si>
  <si>
    <t>(석식) 칠리크랩 - 지엔</t>
    <phoneticPr fontId="1" type="noConversion"/>
  </si>
  <si>
    <t>(중식) 올드 굿데이즈 ( 현지식 뷔페 )</t>
    <phoneticPr fontId="1" type="noConversion"/>
  </si>
  <si>
    <t>(석식) 아마라 호텔 뷔페</t>
    <phoneticPr fontId="1" type="noConversion"/>
  </si>
  <si>
    <t>(중식) 자유식 25 SGD 비보시티 푸크코트</t>
    <phoneticPr fontId="1" type="noConversion"/>
  </si>
  <si>
    <t>NUS 캠퍼스 투어 + 재학생 미팅 ( 15명 1조 )</t>
    <phoneticPr fontId="1" type="noConversion"/>
  </si>
  <si>
    <t>(석식) 고로고로- 스팀보트 +한식 뷔페</t>
    <phoneticPr fontId="1" type="noConversion"/>
  </si>
  <si>
    <t>(석식) 고기집 - 삼겹살 무제한</t>
    <phoneticPr fontId="1" type="noConversion"/>
  </si>
  <si>
    <t>한국출발 - 싱가포르 도착</t>
    <phoneticPr fontId="1" type="noConversion"/>
  </si>
  <si>
    <t>공항 이동 후 출국</t>
  </si>
  <si>
    <t>공항 이동 후 출국</t>
    <phoneticPr fontId="1" type="noConversion"/>
  </si>
  <si>
    <t>ASP210_SQD</t>
    <phoneticPr fontId="1" type="noConversion"/>
  </si>
  <si>
    <t>(석식) 아마라 씨푸드 뷔페</t>
    <phoneticPr fontId="1" type="noConversion"/>
  </si>
  <si>
    <r>
      <rPr>
        <sz val="9"/>
        <color rgb="FFFF0000"/>
        <rFont val="맑은 고딕"/>
        <family val="3"/>
        <charset val="129"/>
        <scheme val="minor"/>
      </rPr>
      <t>싱가포르 3박</t>
    </r>
    <r>
      <rPr>
        <sz val="9"/>
        <color theme="1"/>
        <rFont val="맑은 고딕"/>
        <family val="2"/>
        <charset val="129"/>
        <scheme val="minor"/>
      </rPr>
      <t xml:space="preserve"> #USS #리버원더스 #스카이파크 #사이언스센터</t>
    </r>
    <phoneticPr fontId="1" type="noConversion"/>
  </si>
  <si>
    <t>(석식) 아마라 호텔 씨푸드 뷔페</t>
    <phoneticPr fontId="1" type="noConversion"/>
  </si>
  <si>
    <t>ASP211_TWC</t>
    <phoneticPr fontId="1" type="noConversion"/>
  </si>
  <si>
    <t>#완전특가 #전일관광 #에메랄드힐 #센토사섬 #슈퍼트리쇼 #4성호텔</t>
    <phoneticPr fontId="1" type="noConversion"/>
  </si>
  <si>
    <t>TW0163</t>
    <phoneticPr fontId="1" type="noConversion"/>
  </si>
  <si>
    <t>TW164</t>
    <phoneticPr fontId="1" type="noConversion"/>
  </si>
  <si>
    <t>머라이언 파크</t>
    <phoneticPr fontId="1" type="noConversion"/>
  </si>
  <si>
    <t>아랍스트리트+하지레인</t>
    <phoneticPr fontId="1" type="noConversion"/>
  </si>
  <si>
    <t>(중식) 스팀보트 - 고로고로</t>
    <phoneticPr fontId="1" type="noConversion"/>
  </si>
  <si>
    <t>스팀보트</t>
    <phoneticPr fontId="1" type="noConversion"/>
  </si>
  <si>
    <t>고로고로</t>
    <phoneticPr fontId="1" type="noConversion"/>
  </si>
  <si>
    <r>
      <t xml:space="preserve">센토사 섬 ( </t>
    </r>
    <r>
      <rPr>
        <b/>
        <sz val="10"/>
        <color rgb="FFFF0000"/>
        <rFont val="맑은 고딕"/>
        <family val="3"/>
        <charset val="129"/>
        <scheme val="minor"/>
      </rPr>
      <t>케이블카 + 루지 3회</t>
    </r>
    <r>
      <rPr>
        <sz val="10"/>
        <color theme="1"/>
        <rFont val="맑은 고딕"/>
        <family val="2"/>
        <charset val="129"/>
        <scheme val="minor"/>
      </rPr>
      <t>) +실로소비치</t>
    </r>
    <phoneticPr fontId="1" type="noConversion"/>
  </si>
  <si>
    <t>보타닉 가든 (난공원 불포함)</t>
    <phoneticPr fontId="1" type="noConversion"/>
  </si>
  <si>
    <t>ASP210_SQA</t>
    <phoneticPr fontId="1" type="noConversion"/>
  </si>
  <si>
    <t>스타가이드 #버드파라다이스+뷔페 #센토사 루지 #마담투소 #리버원더스 #핵심관광지 #4성호텔 #NO쇼핑NO팁</t>
    <phoneticPr fontId="1" type="noConversion"/>
  </si>
  <si>
    <t>(석식) 스팀보트 - 고로고로</t>
    <phoneticPr fontId="1" type="noConversion"/>
  </si>
  <si>
    <t>ASP215_KEE</t>
    <phoneticPr fontId="1" type="noConversion"/>
  </si>
  <si>
    <t>싱가포르 5일#센토사섬 #MBS스카이파크 #플라이어 #리버보트 #2층버스 #리버원더스 #5성호텔</t>
    <phoneticPr fontId="1" type="noConversion"/>
  </si>
  <si>
    <t>#스카이파크 #플라이어 #리버보트 #2층버스 #리버원더스</t>
    <phoneticPr fontId="1" type="noConversion"/>
  </si>
  <si>
    <t>인천출발 - 싱가포르 도착 KE646</t>
    <phoneticPr fontId="1" type="noConversion"/>
  </si>
  <si>
    <t>Kiseki 일식 뷔페</t>
    <phoneticPr fontId="1" type="noConversion"/>
  </si>
  <si>
    <t xml:space="preserve">(중식) Kiseki 일식 뷔페 </t>
    <phoneticPr fontId="1" type="noConversion"/>
  </si>
  <si>
    <t>주중요금</t>
    <phoneticPr fontId="1" type="noConversion"/>
  </si>
  <si>
    <t>MBS 스카이파크</t>
    <phoneticPr fontId="1" type="noConversion"/>
  </si>
  <si>
    <t>(중식) 딤섬 세트 - 얌차</t>
    <phoneticPr fontId="1" type="noConversion"/>
  </si>
  <si>
    <t>스타가이드 #5성 아마라호텔 #버드파라다이스+뷔페 #센토사루지 #마담투소 #리버원더스 #핵심관광지 #호텔디너뷔페</t>
    <phoneticPr fontId="1" type="noConversion"/>
  </si>
  <si>
    <t>SQ601</t>
    <phoneticPr fontId="1" type="noConversion"/>
  </si>
  <si>
    <t>SQ612</t>
    <phoneticPr fontId="1" type="noConversion"/>
  </si>
  <si>
    <t>ASP210_SQ4</t>
    <phoneticPr fontId="1" type="noConversion"/>
  </si>
  <si>
    <t>ASP210_KED</t>
    <phoneticPr fontId="1" type="noConversion"/>
  </si>
  <si>
    <t xml:space="preserve">frnr </t>
    <phoneticPr fontId="1" type="noConversion"/>
  </si>
  <si>
    <t>싱가포르 5일 #4성호텔 #1일자유 #리버원더스 #센토사루지 #마담투소 #핵심관광지 #호텔뷔페</t>
    <phoneticPr fontId="1" type="noConversion"/>
  </si>
  <si>
    <t>ASP212_SQA</t>
    <phoneticPr fontId="1" type="noConversion"/>
  </si>
  <si>
    <t>(중식) 칠리크렙 - 지엔</t>
    <phoneticPr fontId="1" type="noConversion"/>
  </si>
  <si>
    <t>(석식) SBCD 코리안 두부 하우스</t>
    <phoneticPr fontId="1" type="noConversion"/>
  </si>
  <si>
    <t>(중식) 송파카쿠테</t>
    <phoneticPr fontId="1" type="noConversion"/>
  </si>
  <si>
    <t>ASP211_KE3</t>
    <phoneticPr fontId="1" type="noConversion"/>
  </si>
  <si>
    <t>KE643</t>
    <phoneticPr fontId="1" type="noConversion"/>
  </si>
  <si>
    <t>KE644</t>
    <phoneticPr fontId="1" type="noConversion"/>
  </si>
  <si>
    <t>home</t>
  </si>
  <si>
    <t>호텔</t>
  </si>
  <si>
    <t>트윈/더블</t>
  </si>
  <si>
    <t>싱글</t>
  </si>
  <si>
    <t>금액</t>
  </si>
  <si>
    <t>룸넘버</t>
  </si>
  <si>
    <t>소계</t>
  </si>
  <si>
    <t>합계</t>
  </si>
  <si>
    <t>ASP223250925KEB</t>
  </si>
  <si>
    <t>Aloft Novena</t>
    <phoneticPr fontId="47" type="noConversion"/>
  </si>
  <si>
    <t>옵션 - 5개</t>
  </si>
  <si>
    <t>쇼핑 - 4회</t>
  </si>
  <si>
    <t>라마다 JB</t>
    <phoneticPr fontId="47" type="noConversion"/>
  </si>
  <si>
    <t>옵션 - 4개</t>
  </si>
  <si>
    <t>쇼핑 - 3회</t>
  </si>
  <si>
    <t>인원(손님)</t>
  </si>
  <si>
    <t>인원(FOC)</t>
  </si>
  <si>
    <t>옵션 - 3개</t>
  </si>
  <si>
    <t>쇼핑 - 2회</t>
  </si>
  <si>
    <t>도착날짜</t>
  </si>
  <si>
    <t>옵션 - 2개</t>
  </si>
  <si>
    <t>쇼핑 - 1회</t>
  </si>
  <si>
    <t>인당 지상비 (SGD)</t>
  </si>
  <si>
    <t>인당 지상비 (원화)</t>
  </si>
  <si>
    <t>옵션 - 0개</t>
  </si>
  <si>
    <t>쇼핑 - 0회</t>
  </si>
  <si>
    <t>옵션</t>
  </si>
  <si>
    <t>쇼핑</t>
  </si>
  <si>
    <t>입장료(항공)</t>
  </si>
  <si>
    <t>식사비</t>
  </si>
  <si>
    <t>차량</t>
  </si>
  <si>
    <t>가이드</t>
  </si>
  <si>
    <t>총합계</t>
  </si>
  <si>
    <t>SGD/WON</t>
  </si>
  <si>
    <t>SGD/MYR</t>
  </si>
  <si>
    <t>인원</t>
  </si>
  <si>
    <t>인천출발 - 싱가포르 도착</t>
  </si>
  <si>
    <t>가이드 미팅 후 싱가포르 호텔 이동</t>
  </si>
  <si>
    <t>싱가포르 호텔 투숙</t>
  </si>
  <si>
    <t>보타닉가든</t>
    <phoneticPr fontId="47" type="noConversion"/>
  </si>
  <si>
    <r>
      <t xml:space="preserve">센토사 섬 ( </t>
    </r>
    <r>
      <rPr>
        <b/>
        <sz val="10"/>
        <color rgb="FFFF0000"/>
        <rFont val="맑은 고딕"/>
        <family val="3"/>
        <charset val="129"/>
        <scheme val="minor"/>
      </rPr>
      <t xml:space="preserve">케이블카 </t>
    </r>
    <r>
      <rPr>
        <sz val="10"/>
        <color theme="1"/>
        <rFont val="맑은 고딕"/>
        <family val="2"/>
        <charset val="129"/>
        <scheme val="minor"/>
      </rPr>
      <t>) + 실로소비치</t>
    </r>
    <phoneticPr fontId="1" type="noConversion"/>
  </si>
  <si>
    <t>(중식) 중국식 - 동방미식</t>
    <phoneticPr fontId="47" type="noConversion"/>
  </si>
  <si>
    <t>오차드 로드, 차이나 타운</t>
    <phoneticPr fontId="47" type="noConversion"/>
  </si>
  <si>
    <t>(석식) - 한식 - 고기집 (부대찌개+불고기)</t>
    <phoneticPr fontId="47" type="noConversion"/>
  </si>
  <si>
    <t>슈퍼트리 관람 후 조호바루 이동</t>
    <phoneticPr fontId="47" type="noConversion"/>
  </si>
  <si>
    <t>호텔  휴식 및 취침</t>
  </si>
  <si>
    <t>조호바루 - 말라카 이동</t>
  </si>
  <si>
    <t>(중식) - 현지식(차이니즈 세트메뉴)</t>
  </si>
  <si>
    <t>네덜란드 광장, 세인트폴 성당, 에이파모사</t>
  </si>
  <si>
    <t>챙훈탱 사원 및 존커스트리트</t>
  </si>
  <si>
    <t>트라이쇼 및 리버보트 탑승</t>
  </si>
  <si>
    <t>(석식) - 한식</t>
  </si>
  <si>
    <t xml:space="preserve">조호바루 - 싱가포르 이동 </t>
  </si>
  <si>
    <t>싱가포르 도착 후 가이드 미팅</t>
  </si>
  <si>
    <t>에스플러네이드 및 머라이언 파크</t>
  </si>
  <si>
    <t>(중식) - 현지식(송파바쿠테)</t>
  </si>
  <si>
    <t>스카이파크 관람</t>
  </si>
  <si>
    <t>아랍스트리트 및 하지레인, 리틀인디아</t>
  </si>
  <si>
    <t>(석식) - 현지식(스트레이트 차이니즈)</t>
    <phoneticPr fontId="47" type="noConversion"/>
  </si>
  <si>
    <t>석식 후 공항이동</t>
  </si>
  <si>
    <t>싱가포르 창이 국제공항 출발</t>
  </si>
  <si>
    <t>기타비용</t>
  </si>
  <si>
    <t>기타 예비 비용 ( 1인 생수 등)</t>
  </si>
  <si>
    <t>핸들링차지</t>
  </si>
  <si>
    <t>(석식) SBCD 북창동순두부</t>
    <phoneticPr fontId="1" type="noConversion"/>
  </si>
  <si>
    <t>(석식) 자유식 30 SGD</t>
    <phoneticPr fontId="1" type="noConversion"/>
  </si>
  <si>
    <t>ASP211_TW9</t>
    <phoneticPr fontId="1" type="noConversion"/>
  </si>
  <si>
    <t>싱가포르 5일 #전일관광 #센토사크루즈요트 #미식투어 #시티갤러리 #핵심관광지 #4성호텔</t>
    <phoneticPr fontId="1" type="noConversion"/>
  </si>
  <si>
    <t>TW0161</t>
    <phoneticPr fontId="1" type="noConversion"/>
  </si>
  <si>
    <t>TW162</t>
    <phoneticPr fontId="1" type="noConversion"/>
  </si>
  <si>
    <t>#센토사크루즈요트 #미식투어 #시티갤러리 #4성호텔</t>
    <phoneticPr fontId="1" type="noConversion"/>
  </si>
  <si>
    <t>서던리지스 + 포트캐닝</t>
    <phoneticPr fontId="1" type="noConversion"/>
  </si>
  <si>
    <t>(석식) 칠리크렙 - 지엔</t>
    <phoneticPr fontId="1" type="noConversion"/>
  </si>
  <si>
    <t>(중식) 스테이크 + 셀러드 뷔페</t>
    <phoneticPr fontId="1" type="noConversion"/>
  </si>
  <si>
    <t>(석식) 송파바쿠테</t>
    <phoneticPr fontId="1" type="noConversion"/>
  </si>
  <si>
    <t>(중식) Kiseki 일식 뷔페</t>
    <phoneticPr fontId="1" type="noConversion"/>
  </si>
  <si>
    <t xml:space="preserve">스타가이드 #5성 아마라호텔 #버드파라다이스+뷔페 #센토사루지 #마담투소 #리버원더스 #핵심관광지 #호텔디너뷔페 </t>
    <phoneticPr fontId="1" type="noConversion"/>
  </si>
  <si>
    <t>항공편</t>
    <phoneticPr fontId="1" type="noConversion"/>
  </si>
  <si>
    <t>도착시간</t>
    <phoneticPr fontId="1" type="noConversion"/>
  </si>
  <si>
    <t>출발시간</t>
    <phoneticPr fontId="1" type="noConversion"/>
  </si>
  <si>
    <t>(석식) 고로고로 스팀보트 +한식 뷔페</t>
    <phoneticPr fontId="1" type="noConversion"/>
  </si>
  <si>
    <t>5/29~3/31 쥬랴기</t>
    <phoneticPr fontId="1" type="noConversion"/>
  </si>
  <si>
    <t>(석식) 스팀보트_ 고로고로</t>
    <phoneticPr fontId="1" type="noConversion"/>
  </si>
  <si>
    <t>(석식) 사테 세트 - 라우파사 자유식 : 15 SGD</t>
    <phoneticPr fontId="1" type="noConversion"/>
  </si>
  <si>
    <t>ASP210_OZA</t>
    <phoneticPr fontId="1" type="noConversion"/>
  </si>
  <si>
    <t>#4성호텔 #버드파라다이스+뷔페 #센토사루지 #마담투소 #리버원더스 #핵심관광지 #호텔디너뷔페 #NO쇼핑/NO팁</t>
    <phoneticPr fontId="1" type="noConversion"/>
  </si>
  <si>
    <t>ASP211_SQC</t>
    <phoneticPr fontId="1" type="noConversion"/>
  </si>
  <si>
    <t>싱가포르 5일 #완전특가 #전일관광 #에메랄드힐 #센토사섬 #슈퍼트리쇼 #4성호텔</t>
    <phoneticPr fontId="1" type="noConversion"/>
  </si>
  <si>
    <t>(석식) 자유식 10 SGD</t>
    <phoneticPr fontId="1" type="noConversion"/>
  </si>
  <si>
    <t>아랍스트리트+하지레인+멀라이언 파크</t>
    <phoneticPr fontId="1" type="noConversion"/>
  </si>
  <si>
    <t>멀라이언파크+ 아랍스트리트 +하지래인</t>
    <phoneticPr fontId="1" type="noConversion"/>
  </si>
  <si>
    <t>부기스스트리트</t>
    <phoneticPr fontId="1" type="noConversion"/>
  </si>
  <si>
    <t>오차드 로드 + 리틀 인디아</t>
    <phoneticPr fontId="1" type="noConversion"/>
  </si>
  <si>
    <t>VIP 버스 ( 28명 )</t>
    <phoneticPr fontId="1" type="noConversion"/>
  </si>
  <si>
    <t>USS Express Single/Unlimited (Regular)</t>
  </si>
  <si>
    <t>USS 익스프레스 싱글(노멀시즌)</t>
  </si>
  <si>
    <t>USS Express Single/Unlimited (Peak)</t>
  </si>
  <si>
    <t>USS 익스프레스 싱글(피크시즌)</t>
  </si>
  <si>
    <t>Admission + Express Pass (Single) - Super Peak Festive</t>
  </si>
  <si>
    <t>USS 익스프레스 싱글 (피크시즌)</t>
  </si>
  <si>
    <t>Harry Potter: Visions of Magic</t>
    <phoneticPr fontId="1" type="noConversion"/>
  </si>
  <si>
    <t>헤리포터 마법의 비젼</t>
    <phoneticPr fontId="1" type="noConversion"/>
  </si>
  <si>
    <t xml:space="preserve"> #USS #만다이2Park #리버보트 #사이언스센터</t>
    <phoneticPr fontId="1" type="noConversion"/>
  </si>
  <si>
    <t>조호바루</t>
    <phoneticPr fontId="1" type="noConversion"/>
  </si>
  <si>
    <t>(중식) 칠리크랩-  레드하우스</t>
    <phoneticPr fontId="1" type="noConversion"/>
  </si>
  <si>
    <t>#1일자유 #플라이어 #2층버스 #리버보트 #버드파라다이스</t>
    <phoneticPr fontId="1" type="noConversion"/>
  </si>
  <si>
    <t>(중식) 펭귄코브 레스토랑</t>
    <phoneticPr fontId="1" type="noConversion"/>
  </si>
  <si>
    <t>(석식) 아마라호텔_엘리멘트 뷔페</t>
    <phoneticPr fontId="1" type="noConversion"/>
  </si>
  <si>
    <t>호텔 조식 후 개별 체크 아웃</t>
    <phoneticPr fontId="1" type="noConversion"/>
  </si>
  <si>
    <t>(중식) 칠리크랩- 레드하우스_주중</t>
    <phoneticPr fontId="1" type="noConversion"/>
  </si>
  <si>
    <t>가든스바이더베이 2돔 ( 쥬랴기 )</t>
    <phoneticPr fontId="1" type="noConversion"/>
  </si>
  <si>
    <t>Singapore Formula One (F1)</t>
  </si>
  <si>
    <t>23 - 25 October 2025</t>
  </si>
  <si>
    <t>Christmas Day</t>
  </si>
  <si>
    <t xml:space="preserve">Food &amp; Hotel Beverage </t>
  </si>
  <si>
    <t>CommunicAsia</t>
  </si>
  <si>
    <t>National Day</t>
  </si>
  <si>
    <t>Golden week</t>
  </si>
  <si>
    <t>World Paralympic Swimming</t>
    <phoneticPr fontId="1" type="noConversion"/>
  </si>
  <si>
    <t>기간 시작일</t>
    <phoneticPr fontId="1" type="noConversion"/>
  </si>
  <si>
    <t>기간 종료일</t>
    <phoneticPr fontId="1" type="noConversion"/>
  </si>
  <si>
    <t>패키지 메인</t>
  </si>
  <si>
    <t>엑스트라베드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</si>
</sst>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-&quot;₩&quot;* #,##0_-;\-&quot;₩&quot;* #,##0_-;_-&quot;₩&quot;* &quot;-&quot;_-;_-@_-"/>
    <numFmt numFmtId="177" formatCode="_-* #,##0_-;\-* #,##0_-;_-* &quot;-&quot;_-;_-@_-"/>
    <numFmt numFmtId="178" formatCode="[$SGD]\ #,##0"/>
    <numFmt numFmtId="179" formatCode="0\ &quot;박&quot;"/>
    <numFmt numFmtId="180" formatCode="0\ &quot;회&quot;"/>
    <numFmt numFmtId="181" formatCode="[$-F800]dddd\,\ mmmm\ dd\,\ yyyy"/>
    <numFmt numFmtId="182" formatCode="_-* #,##0.0_-;\-* #,##0.0_-;_-* &quot;-&quot;?_-;_-@_-"/>
    <numFmt numFmtId="183" formatCode="0\ &quot;개&quot;"/>
    <numFmt numFmtId="184" formatCode="mm&quot;월&quot;\ dd&quot;일&quot;"/>
    <numFmt numFmtId="185" formatCode="yyyy/mm/dd;@"/>
    <numFmt numFmtId="186" formatCode="yyyy\/mm\/dd;@"/>
    <numFmt numFmtId="190" formatCode="yyyy&quot;-&quot;m&quot;-&quot;d;@"/>
  </numFmts>
  <fonts count="5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b/>
      <sz val="10"/>
      <color theme="4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u/>
      <sz val="10"/>
      <color theme="10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9"/>
      <color theme="0" tint="-0.249977111117893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0"/>
      <name val="맑은 고딕"/>
      <family val="2"/>
      <charset val="129"/>
      <scheme val="minor"/>
    </font>
    <font>
      <b/>
      <sz val="10"/>
      <color rgb="FF7030A0"/>
      <name val="맑은 고딕"/>
      <family val="3"/>
      <charset val="129"/>
      <scheme val="minor"/>
    </font>
    <font>
      <sz val="10"/>
      <name val="Arial"/>
      <family val="2"/>
    </font>
    <font>
      <b/>
      <sz val="10"/>
      <color theme="0"/>
      <name val="맑은 고딕"/>
      <family val="3"/>
      <charset val="129"/>
      <scheme val="minor"/>
    </font>
    <font>
      <sz val="11"/>
      <color rgb="FF888888"/>
      <name val="Arial"/>
      <family val="2"/>
    </font>
    <font>
      <b/>
      <sz val="10"/>
      <color theme="8"/>
      <name val="맑은 고딕"/>
      <family val="3"/>
      <charset val="129"/>
      <scheme val="minor"/>
    </font>
    <font>
      <b/>
      <sz val="10"/>
      <color theme="5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7030A0"/>
      <name val="맑은 고딕"/>
      <family val="3"/>
      <charset val="129"/>
      <scheme val="minor"/>
    </font>
    <font>
      <sz val="11"/>
      <color theme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rgb="FF467886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8"/>
      <name val="돋움"/>
      <family val="3"/>
      <charset val="129"/>
    </font>
    <font>
      <sz val="9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10"/>
      <color rgb="FF156082"/>
      <name val="맑은 고딕"/>
      <family val="3"/>
      <charset val="129"/>
    </font>
    <font>
      <b/>
      <sz val="10"/>
      <color theme="1"/>
      <name val="맑은 고딕"/>
      <family val="2"/>
      <charset val="129"/>
      <scheme val="minor"/>
    </font>
    <font>
      <b/>
      <sz val="10"/>
      <name val="맑은 고딕"/>
      <family val="2"/>
      <charset val="129"/>
      <scheme val="minor"/>
    </font>
    <font>
      <b/>
      <sz val="10"/>
      <color rgb="FFFF0000"/>
      <name val="맑은 고딕"/>
      <family val="2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95DCF8"/>
        <bgColor indexed="64"/>
      </patternFill>
    </fill>
    <fill>
      <patternFill patternType="solid">
        <fgColor rgb="FFD86E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F99"/>
        <bgColor indexed="64"/>
      </patternFill>
    </fill>
    <fill>
      <patternFill patternType="solid">
        <fgColor rgb="FFB3E6A1"/>
        <bgColor indexed="64"/>
      </patternFill>
    </fill>
    <fill>
      <patternFill patternType="solid">
        <fgColor theme="7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/>
      <right style="medium">
        <color theme="1"/>
      </right>
      <top/>
      <bottom/>
      <diagonal/>
    </border>
  </borders>
  <cellStyleXfs count="7">
    <xf numFmtId="0" fontId="0" fillId="0" borderId="0">
      <alignment vertical="center"/>
    </xf>
    <xf numFmtId="177" fontId="1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1" fillId="0" borderId="0"/>
    <xf numFmtId="0" fontId="41" fillId="0" borderId="0">
      <alignment vertical="center"/>
    </xf>
    <xf numFmtId="0" fontId="42" fillId="0" borderId="0">
      <alignment vertical="center"/>
    </xf>
    <xf numFmtId="177" fontId="42" fillId="0" borderId="0">
      <alignment vertical="center"/>
    </xf>
  </cellStyleXfs>
  <cellXfs count="1410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2" fillId="5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4" fillId="6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2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8" borderId="0" xfId="0" applyFont="1" applyFill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2" xfId="0" applyFont="1" applyFill="1" applyBorder="1">
      <alignment vertical="center"/>
    </xf>
    <xf numFmtId="0" fontId="4" fillId="3" borderId="6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7" xfId="0" applyFont="1" applyFill="1" applyBorder="1">
      <alignment vertical="center"/>
    </xf>
    <xf numFmtId="0" fontId="4" fillId="9" borderId="0" xfId="0" applyFont="1" applyFill="1" applyAlignment="1">
      <alignment vertical="center" wrapText="1"/>
    </xf>
    <xf numFmtId="0" fontId="4" fillId="9" borderId="0" xfId="0" applyFont="1" applyFill="1" applyAlignment="1">
      <alignment horizontal="center" vertical="center"/>
    </xf>
    <xf numFmtId="0" fontId="4" fillId="9" borderId="0" xfId="0" applyFont="1" applyFill="1">
      <alignment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>
      <alignment vertical="center"/>
    </xf>
    <xf numFmtId="0" fontId="4" fillId="4" borderId="6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4" borderId="7" xfId="0" applyFont="1" applyFill="1" applyBorder="1">
      <alignment vertical="center"/>
    </xf>
    <xf numFmtId="0" fontId="11" fillId="4" borderId="7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4" fillId="0" borderId="15" xfId="0" applyFont="1" applyBorder="1">
      <alignment vertical="center"/>
    </xf>
    <xf numFmtId="0" fontId="3" fillId="6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2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178" fontId="11" fillId="10" borderId="33" xfId="1" applyNumberFormat="1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79" fontId="8" fillId="4" borderId="10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3" borderId="47" xfId="0" applyFont="1" applyFill="1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176" fontId="11" fillId="12" borderId="33" xfId="1" applyNumberFormat="1" applyFont="1" applyFill="1" applyBorder="1" applyAlignment="1">
      <alignment horizontal="center" vertical="center"/>
    </xf>
    <xf numFmtId="180" fontId="11" fillId="0" borderId="48" xfId="0" applyNumberFormat="1" applyFont="1" applyBorder="1" applyAlignment="1">
      <alignment horizontal="center" vertical="center"/>
    </xf>
    <xf numFmtId="2" fontId="10" fillId="3" borderId="11" xfId="0" applyNumberFormat="1" applyFont="1" applyFill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177" fontId="8" fillId="0" borderId="23" xfId="1" applyFont="1" applyFill="1" applyBorder="1">
      <alignment vertical="center"/>
    </xf>
    <xf numFmtId="177" fontId="8" fillId="0" borderId="21" xfId="1" applyFont="1" applyFill="1" applyBorder="1">
      <alignment vertical="center"/>
    </xf>
    <xf numFmtId="177" fontId="8" fillId="0" borderId="24" xfId="1" applyFont="1" applyFill="1" applyBorder="1">
      <alignment vertical="center"/>
    </xf>
    <xf numFmtId="177" fontId="11" fillId="3" borderId="21" xfId="1" applyFont="1" applyFill="1" applyBorder="1" applyAlignment="1">
      <alignment horizontal="center" vertical="center"/>
    </xf>
    <xf numFmtId="177" fontId="11" fillId="0" borderId="21" xfId="1" applyFont="1" applyFill="1" applyBorder="1" applyAlignment="1">
      <alignment horizontal="center" vertical="center"/>
    </xf>
    <xf numFmtId="177" fontId="11" fillId="3" borderId="21" xfId="1" applyFont="1" applyFill="1" applyBorder="1" applyAlignment="1">
      <alignment vertical="center"/>
    </xf>
    <xf numFmtId="177" fontId="8" fillId="0" borderId="50" xfId="1" applyFont="1" applyFill="1" applyBorder="1">
      <alignment vertical="center"/>
    </xf>
    <xf numFmtId="177" fontId="3" fillId="0" borderId="24" xfId="1" applyFont="1" applyFill="1" applyBorder="1">
      <alignment vertical="center"/>
    </xf>
    <xf numFmtId="177" fontId="3" fillId="0" borderId="15" xfId="1" applyFont="1" applyBorder="1" applyAlignment="1">
      <alignment horizontal="center" vertical="center"/>
    </xf>
    <xf numFmtId="177" fontId="3" fillId="0" borderId="32" xfId="1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8" fillId="0" borderId="46" xfId="0" applyFont="1" applyBorder="1">
      <alignment vertical="center"/>
    </xf>
    <xf numFmtId="0" fontId="8" fillId="0" borderId="22" xfId="0" applyFont="1" applyBorder="1">
      <alignment vertical="center"/>
    </xf>
    <xf numFmtId="0" fontId="8" fillId="0" borderId="47" xfId="0" applyFont="1" applyBorder="1">
      <alignment vertical="center"/>
    </xf>
    <xf numFmtId="0" fontId="8" fillId="13" borderId="46" xfId="0" applyFont="1" applyFill="1" applyBorder="1">
      <alignment vertical="center"/>
    </xf>
    <xf numFmtId="0" fontId="11" fillId="13" borderId="22" xfId="0" applyFont="1" applyFill="1" applyBorder="1" applyAlignment="1">
      <alignment horizontal="center" vertical="center"/>
    </xf>
    <xf numFmtId="0" fontId="8" fillId="13" borderId="22" xfId="0" applyFont="1" applyFill="1" applyBorder="1">
      <alignment vertical="center"/>
    </xf>
    <xf numFmtId="0" fontId="11" fillId="0" borderId="22" xfId="0" applyFont="1" applyBorder="1" applyAlignment="1">
      <alignment horizontal="center" vertical="center"/>
    </xf>
    <xf numFmtId="0" fontId="8" fillId="13" borderId="51" xfId="0" applyFont="1" applyFill="1" applyBorder="1">
      <alignment vertical="center"/>
    </xf>
    <xf numFmtId="0" fontId="3" fillId="13" borderId="47" xfId="0" applyFont="1" applyFill="1" applyBorder="1">
      <alignment vertical="center"/>
    </xf>
    <xf numFmtId="0" fontId="3" fillId="3" borderId="33" xfId="0" applyFont="1" applyFill="1" applyBorder="1" applyAlignment="1">
      <alignment horizontal="center" vertical="center"/>
    </xf>
    <xf numFmtId="177" fontId="8" fillId="0" borderId="23" xfId="1" applyFont="1" applyBorder="1" applyAlignment="1">
      <alignment horizontal="center" vertical="center"/>
    </xf>
    <xf numFmtId="177" fontId="8" fillId="0" borderId="21" xfId="1" applyFont="1" applyBorder="1" applyAlignment="1">
      <alignment horizontal="center" vertical="center"/>
    </xf>
    <xf numFmtId="177" fontId="8" fillId="0" borderId="24" xfId="1" applyFont="1" applyBorder="1" applyAlignment="1">
      <alignment horizontal="center" vertical="center"/>
    </xf>
    <xf numFmtId="177" fontId="11" fillId="4" borderId="21" xfId="1" applyFont="1" applyFill="1" applyBorder="1" applyAlignment="1">
      <alignment horizontal="center" vertical="center"/>
    </xf>
    <xf numFmtId="177" fontId="8" fillId="0" borderId="21" xfId="1" applyFont="1" applyFill="1" applyBorder="1" applyAlignment="1">
      <alignment horizontal="center" vertical="center"/>
    </xf>
    <xf numFmtId="177" fontId="11" fillId="0" borderId="24" xfId="1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177" fontId="11" fillId="0" borderId="23" xfId="1" applyFont="1" applyBorder="1" applyAlignment="1">
      <alignment horizontal="center" vertical="center"/>
    </xf>
    <xf numFmtId="177" fontId="8" fillId="0" borderId="24" xfId="1" applyFont="1" applyFill="1" applyBorder="1" applyAlignment="1">
      <alignment horizontal="center" vertical="center"/>
    </xf>
    <xf numFmtId="177" fontId="8" fillId="0" borderId="50" xfId="1" applyFont="1" applyBorder="1" applyAlignment="1">
      <alignment horizontal="center" vertical="center"/>
    </xf>
    <xf numFmtId="177" fontId="3" fillId="0" borderId="24" xfId="1" applyFont="1" applyBorder="1" applyAlignment="1">
      <alignment horizontal="center" vertical="center"/>
    </xf>
    <xf numFmtId="177" fontId="11" fillId="0" borderId="0" xfId="1" applyFont="1">
      <alignment vertical="center"/>
    </xf>
    <xf numFmtId="0" fontId="8" fillId="0" borderId="37" xfId="0" applyFont="1" applyBorder="1" applyAlignment="1">
      <alignment horizontal="center" vertical="center"/>
    </xf>
    <xf numFmtId="177" fontId="8" fillId="3" borderId="15" xfId="1" applyFont="1" applyFill="1" applyBorder="1" applyAlignment="1">
      <alignment horizontal="center" vertical="center"/>
    </xf>
    <xf numFmtId="177" fontId="8" fillId="0" borderId="15" xfId="1" applyFont="1" applyFill="1" applyBorder="1" applyAlignment="1">
      <alignment horizontal="center" vertical="center"/>
    </xf>
    <xf numFmtId="177" fontId="8" fillId="0" borderId="32" xfId="1" applyFont="1" applyFill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177" fontId="8" fillId="0" borderId="20" xfId="1" applyFont="1" applyBorder="1">
      <alignment vertical="center"/>
    </xf>
    <xf numFmtId="177" fontId="8" fillId="0" borderId="49" xfId="1" applyFont="1" applyBorder="1">
      <alignment vertical="center"/>
    </xf>
    <xf numFmtId="177" fontId="8" fillId="0" borderId="55" xfId="1" applyFont="1" applyBorder="1">
      <alignment vertical="center"/>
    </xf>
    <xf numFmtId="177" fontId="8" fillId="0" borderId="49" xfId="1" applyFont="1" applyFill="1" applyBorder="1">
      <alignment vertical="center"/>
    </xf>
    <xf numFmtId="177" fontId="8" fillId="0" borderId="55" xfId="1" applyFont="1" applyFill="1" applyBorder="1">
      <alignment vertical="center"/>
    </xf>
    <xf numFmtId="177" fontId="8" fillId="0" borderId="54" xfId="1" applyFont="1" applyBorder="1">
      <alignment vertical="center"/>
    </xf>
    <xf numFmtId="177" fontId="3" fillId="0" borderId="55" xfId="1" applyFont="1" applyBorder="1">
      <alignment vertical="center"/>
    </xf>
    <xf numFmtId="177" fontId="0" fillId="0" borderId="0" xfId="1" applyFont="1">
      <alignment vertical="center"/>
    </xf>
    <xf numFmtId="177" fontId="3" fillId="0" borderId="57" xfId="1" applyFont="1" applyBorder="1">
      <alignment vertical="center"/>
    </xf>
    <xf numFmtId="177" fontId="3" fillId="0" borderId="47" xfId="1" applyFont="1" applyBorder="1">
      <alignment vertical="center"/>
    </xf>
    <xf numFmtId="177" fontId="7" fillId="0" borderId="46" xfId="1" applyFont="1" applyBorder="1">
      <alignment vertical="center"/>
    </xf>
    <xf numFmtId="177" fontId="7" fillId="0" borderId="22" xfId="1" applyFont="1" applyBorder="1">
      <alignment vertical="center"/>
    </xf>
    <xf numFmtId="0" fontId="15" fillId="0" borderId="0" xfId="0" applyFont="1">
      <alignment vertical="center"/>
    </xf>
    <xf numFmtId="182" fontId="0" fillId="0" borderId="0" xfId="0" applyNumberFormat="1">
      <alignment vertical="center"/>
    </xf>
    <xf numFmtId="0" fontId="11" fillId="0" borderId="0" xfId="0" applyFont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2" fillId="0" borderId="0" xfId="0" applyFont="1">
      <alignment vertical="center"/>
    </xf>
    <xf numFmtId="177" fontId="8" fillId="0" borderId="50" xfId="1" applyFont="1" applyFill="1" applyBorder="1" applyAlignment="1">
      <alignment horizontal="center" vertical="center"/>
    </xf>
    <xf numFmtId="177" fontId="8" fillId="0" borderId="54" xfId="1" applyFont="1" applyFill="1" applyBorder="1">
      <alignment vertical="center"/>
    </xf>
    <xf numFmtId="177" fontId="11" fillId="0" borderId="50" xfId="1" applyFont="1" applyFill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7" fillId="0" borderId="0" xfId="0" applyFont="1">
      <alignment vertical="center"/>
    </xf>
    <xf numFmtId="177" fontId="11" fillId="0" borderId="21" xfId="1" applyFont="1" applyFill="1" applyBorder="1">
      <alignment vertical="center"/>
    </xf>
    <xf numFmtId="49" fontId="11" fillId="3" borderId="21" xfId="1" applyNumberFormat="1" applyFont="1" applyFill="1" applyBorder="1" applyAlignment="1">
      <alignment horizontal="center" vertical="center"/>
    </xf>
    <xf numFmtId="0" fontId="0" fillId="0" borderId="15" xfId="0" applyBorder="1">
      <alignment vertical="center"/>
    </xf>
    <xf numFmtId="0" fontId="5" fillId="3" borderId="15" xfId="0" applyFont="1" applyFill="1" applyBorder="1">
      <alignment vertical="center"/>
    </xf>
    <xf numFmtId="0" fontId="6" fillId="13" borderId="15" xfId="0" applyFont="1" applyFill="1" applyBorder="1">
      <alignment vertical="center"/>
    </xf>
    <xf numFmtId="0" fontId="4" fillId="3" borderId="15" xfId="0" applyFont="1" applyFill="1" applyBorder="1">
      <alignment vertical="center"/>
    </xf>
    <xf numFmtId="0" fontId="4" fillId="0" borderId="31" xfId="0" applyFont="1" applyBorder="1">
      <alignment vertical="center"/>
    </xf>
    <xf numFmtId="0" fontId="4" fillId="0" borderId="46" xfId="0" applyFont="1" applyBorder="1">
      <alignment vertical="center"/>
    </xf>
    <xf numFmtId="0" fontId="4" fillId="0" borderId="22" xfId="0" applyFont="1" applyBorder="1">
      <alignment vertical="center"/>
    </xf>
    <xf numFmtId="0" fontId="5" fillId="3" borderId="22" xfId="0" applyFont="1" applyFill="1" applyBorder="1">
      <alignment vertical="center"/>
    </xf>
    <xf numFmtId="0" fontId="6" fillId="13" borderId="22" xfId="0" applyFont="1" applyFill="1" applyBorder="1">
      <alignment vertical="center"/>
    </xf>
    <xf numFmtId="0" fontId="4" fillId="3" borderId="22" xfId="0" applyFont="1" applyFill="1" applyBorder="1">
      <alignment vertical="center"/>
    </xf>
    <xf numFmtId="0" fontId="4" fillId="0" borderId="32" xfId="0" applyFont="1" applyBorder="1">
      <alignment vertical="center"/>
    </xf>
    <xf numFmtId="0" fontId="4" fillId="0" borderId="47" xfId="0" applyFont="1" applyBorder="1">
      <alignment vertical="center"/>
    </xf>
    <xf numFmtId="0" fontId="6" fillId="0" borderId="22" xfId="0" applyFont="1" applyBorder="1">
      <alignment vertical="center"/>
    </xf>
    <xf numFmtId="0" fontId="22" fillId="0" borderId="0" xfId="2">
      <alignment vertical="center"/>
    </xf>
    <xf numFmtId="0" fontId="7" fillId="9" borderId="0" xfId="0" applyFont="1" applyFill="1" applyAlignment="1">
      <alignment horizontal="center" vertical="center"/>
    </xf>
    <xf numFmtId="183" fontId="11" fillId="0" borderId="34" xfId="0" applyNumberFormat="1" applyFont="1" applyBorder="1" applyAlignment="1">
      <alignment horizontal="center" vertical="center"/>
    </xf>
    <xf numFmtId="177" fontId="17" fillId="3" borderId="10" xfId="1" applyFont="1" applyFill="1" applyBorder="1" applyAlignment="1">
      <alignment horizontal="center" vertical="center"/>
    </xf>
    <xf numFmtId="177" fontId="17" fillId="3" borderId="10" xfId="1" applyFont="1" applyFill="1" applyBorder="1" applyAlignment="1">
      <alignment vertical="center"/>
    </xf>
    <xf numFmtId="177" fontId="8" fillId="0" borderId="0" xfId="1" applyFont="1">
      <alignment vertical="center"/>
    </xf>
    <xf numFmtId="0" fontId="4" fillId="0" borderId="15" xfId="0" applyFont="1" applyBorder="1" applyAlignment="1">
      <alignment vertical="center" wrapText="1"/>
    </xf>
    <xf numFmtId="0" fontId="9" fillId="0" borderId="15" xfId="0" applyFont="1" applyBorder="1" applyAlignment="1">
      <alignment horizontal="center" vertical="center"/>
    </xf>
    <xf numFmtId="14" fontId="9" fillId="0" borderId="15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vertical="center" wrapText="1"/>
    </xf>
    <xf numFmtId="0" fontId="3" fillId="6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0" xfId="0" applyFont="1" applyFill="1" applyBorder="1">
      <alignment vertical="center"/>
    </xf>
    <xf numFmtId="0" fontId="4" fillId="3" borderId="9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4" fillId="3" borderId="10" xfId="0" applyFont="1" applyFill="1" applyBorder="1">
      <alignment vertical="center"/>
    </xf>
    <xf numFmtId="0" fontId="7" fillId="6" borderId="28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7" fillId="6" borderId="33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4" fillId="3" borderId="7" xfId="0" quotePrefix="1" applyFont="1" applyFill="1" applyBorder="1" applyAlignment="1">
      <alignment vertical="center" wrapText="1"/>
    </xf>
    <xf numFmtId="177" fontId="11" fillId="13" borderId="21" xfId="1" applyFont="1" applyFill="1" applyBorder="1" applyAlignment="1">
      <alignment horizontal="center" vertical="center"/>
    </xf>
    <xf numFmtId="177" fontId="11" fillId="0" borderId="50" xfId="1" applyFont="1" applyFill="1" applyBorder="1" applyAlignment="1">
      <alignment vertical="center"/>
    </xf>
    <xf numFmtId="0" fontId="4" fillId="4" borderId="0" xfId="0" applyFont="1" applyFill="1" applyAlignment="1">
      <alignment vertical="center" wrapText="1"/>
    </xf>
    <xf numFmtId="0" fontId="4" fillId="4" borderId="0" xfId="0" applyFont="1" applyFill="1">
      <alignment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vertical="center" wrapText="1"/>
    </xf>
    <xf numFmtId="177" fontId="7" fillId="0" borderId="47" xfId="1" applyFont="1" applyBorder="1">
      <alignment vertical="center"/>
    </xf>
    <xf numFmtId="0" fontId="8" fillId="9" borderId="0" xfId="0" applyFont="1" applyFill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3" fillId="0" borderId="0" xfId="0" applyFont="1" applyAlignment="1" applyProtection="1">
      <alignment horizontal="center" vertical="center" wrapText="1"/>
      <protection locked="0"/>
    </xf>
    <xf numFmtId="0" fontId="12" fillId="3" borderId="2" xfId="0" applyFont="1" applyFill="1" applyBorder="1">
      <alignment vertical="center"/>
    </xf>
    <xf numFmtId="0" fontId="12" fillId="3" borderId="7" xfId="0" applyFont="1" applyFill="1" applyBorder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4" borderId="0" xfId="0" applyFont="1" applyFill="1" applyAlignment="1" applyProtection="1">
      <alignment horizontal="center" vertical="center" wrapText="1"/>
      <protection locked="0"/>
    </xf>
    <xf numFmtId="0" fontId="11" fillId="0" borderId="1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4" fillId="0" borderId="2" xfId="2" applyFont="1" applyBorder="1" applyAlignment="1">
      <alignment horizontal="center" vertical="center" wrapText="1"/>
    </xf>
    <xf numFmtId="0" fontId="24" fillId="0" borderId="10" xfId="2" applyFont="1" applyBorder="1" applyAlignment="1">
      <alignment horizontal="center" vertical="center"/>
    </xf>
    <xf numFmtId="0" fontId="24" fillId="0" borderId="2" xfId="2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6" fillId="0" borderId="0" xfId="2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>
      <alignment vertical="center"/>
    </xf>
    <xf numFmtId="177" fontId="4" fillId="0" borderId="0" xfId="1" applyFont="1">
      <alignment vertical="center"/>
    </xf>
    <xf numFmtId="0" fontId="3" fillId="6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6" fillId="4" borderId="0" xfId="2" applyFont="1" applyFill="1" applyBorder="1" applyAlignment="1">
      <alignment horizontal="center" vertical="center"/>
    </xf>
    <xf numFmtId="0" fontId="24" fillId="0" borderId="2" xfId="2" applyFont="1" applyFill="1" applyBorder="1" applyAlignment="1">
      <alignment horizontal="center" vertical="center"/>
    </xf>
    <xf numFmtId="0" fontId="4" fillId="3" borderId="31" xfId="0" applyFont="1" applyFill="1" applyBorder="1">
      <alignment vertical="center"/>
    </xf>
    <xf numFmtId="0" fontId="4" fillId="3" borderId="46" xfId="0" applyFont="1" applyFill="1" applyBorder="1">
      <alignment vertical="center"/>
    </xf>
    <xf numFmtId="0" fontId="12" fillId="3" borderId="15" xfId="0" applyFont="1" applyFill="1" applyBorder="1">
      <alignment vertical="center"/>
    </xf>
    <xf numFmtId="0" fontId="12" fillId="3" borderId="22" xfId="0" applyFont="1" applyFill="1" applyBorder="1">
      <alignment vertical="center"/>
    </xf>
    <xf numFmtId="0" fontId="13" fillId="3" borderId="31" xfId="0" applyFont="1" applyFill="1" applyBorder="1">
      <alignment vertical="center"/>
    </xf>
    <xf numFmtId="0" fontId="13" fillId="3" borderId="46" xfId="0" applyFont="1" applyFill="1" applyBorder="1">
      <alignment vertical="center"/>
    </xf>
    <xf numFmtId="0" fontId="27" fillId="0" borderId="4" xfId="0" applyFont="1" applyBorder="1" applyAlignment="1">
      <alignment vertical="center" wrapText="1"/>
    </xf>
    <xf numFmtId="0" fontId="27" fillId="0" borderId="0" xfId="0" applyFont="1" applyAlignment="1">
      <alignment vertical="center" wrapText="1"/>
    </xf>
    <xf numFmtId="0" fontId="27" fillId="0" borderId="0" xfId="0" applyFont="1">
      <alignment vertical="center"/>
    </xf>
    <xf numFmtId="0" fontId="27" fillId="0" borderId="4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7" fillId="0" borderId="2" xfId="0" applyFont="1" applyBorder="1" applyAlignment="1">
      <alignment vertical="center" wrapText="1"/>
    </xf>
    <xf numFmtId="0" fontId="27" fillId="0" borderId="2" xfId="0" applyFont="1" applyBorder="1">
      <alignment vertical="center"/>
    </xf>
    <xf numFmtId="0" fontId="4" fillId="14" borderId="0" xfId="0" applyFont="1" applyFill="1" applyAlignment="1">
      <alignment vertical="center" wrapText="1"/>
    </xf>
    <xf numFmtId="0" fontId="4" fillId="14" borderId="0" xfId="0" applyFont="1" applyFill="1">
      <alignment vertical="center"/>
    </xf>
    <xf numFmtId="0" fontId="4" fillId="14" borderId="4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177" fontId="3" fillId="0" borderId="12" xfId="1" applyFont="1" applyFill="1" applyBorder="1" applyAlignment="1" applyProtection="1">
      <alignment horizontal="center" vertical="center" wrapText="1"/>
      <protection locked="0"/>
    </xf>
    <xf numFmtId="177" fontId="3" fillId="0" borderId="14" xfId="1" applyFont="1" applyFill="1" applyBorder="1" applyAlignment="1" applyProtection="1">
      <alignment horizontal="center" vertical="center" wrapText="1"/>
      <protection locked="0"/>
    </xf>
    <xf numFmtId="0" fontId="16" fillId="0" borderId="3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77" fontId="3" fillId="0" borderId="13" xfId="1" applyFont="1" applyFill="1" applyBorder="1" applyAlignment="1" applyProtection="1">
      <alignment horizontal="center" vertical="center" wrapText="1"/>
      <protection locked="0"/>
    </xf>
    <xf numFmtId="177" fontId="3" fillId="0" borderId="12" xfId="1" applyFont="1" applyFill="1" applyBorder="1" applyAlignment="1">
      <alignment horizontal="center" vertical="center"/>
    </xf>
    <xf numFmtId="177" fontId="3" fillId="0" borderId="13" xfId="1" applyFont="1" applyFill="1" applyBorder="1" applyAlignment="1">
      <alignment horizontal="center" vertical="center"/>
    </xf>
    <xf numFmtId="0" fontId="23" fillId="0" borderId="2" xfId="2" applyFont="1" applyBorder="1" applyAlignment="1">
      <alignment horizontal="center" vertical="center"/>
    </xf>
    <xf numFmtId="177" fontId="2" fillId="0" borderId="12" xfId="1" applyFont="1" applyFill="1" applyBorder="1" applyAlignment="1">
      <alignment horizontal="center" vertical="center"/>
    </xf>
    <xf numFmtId="177" fontId="2" fillId="0" borderId="14" xfId="1" applyFont="1" applyFill="1" applyBorder="1" applyAlignment="1">
      <alignment horizontal="center" vertical="center"/>
    </xf>
    <xf numFmtId="177" fontId="2" fillId="0" borderId="13" xfId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77" fontId="3" fillId="0" borderId="14" xfId="1" applyFont="1" applyFill="1" applyBorder="1" applyAlignment="1">
      <alignment horizontal="center" vertical="center"/>
    </xf>
    <xf numFmtId="0" fontId="2" fillId="0" borderId="0" xfId="2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9" fillId="4" borderId="0" xfId="2" applyFont="1" applyFill="1" applyBorder="1" applyAlignment="1">
      <alignment horizontal="center" vertical="center"/>
    </xf>
    <xf numFmtId="0" fontId="3" fillId="4" borderId="5" xfId="0" applyFont="1" applyFill="1" applyBorder="1">
      <alignment vertical="center"/>
    </xf>
    <xf numFmtId="184" fontId="2" fillId="0" borderId="12" xfId="0" applyNumberFormat="1" applyFont="1" applyBorder="1" applyAlignment="1" applyProtection="1">
      <alignment horizontal="center" vertical="center"/>
      <protection locked="0"/>
    </xf>
    <xf numFmtId="177" fontId="3" fillId="0" borderId="33" xfId="1" applyFont="1" applyFill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>
      <alignment horizontal="center" vertical="center"/>
    </xf>
    <xf numFmtId="0" fontId="4" fillId="0" borderId="66" xfId="0" applyFont="1" applyBorder="1">
      <alignment vertical="center"/>
    </xf>
    <xf numFmtId="0" fontId="4" fillId="0" borderId="67" xfId="0" applyFont="1" applyBorder="1">
      <alignment vertical="center"/>
    </xf>
    <xf numFmtId="0" fontId="4" fillId="0" borderId="69" xfId="0" applyFont="1" applyBorder="1">
      <alignment vertical="center"/>
    </xf>
    <xf numFmtId="0" fontId="6" fillId="0" borderId="69" xfId="0" applyFont="1" applyBorder="1">
      <alignment vertical="center"/>
    </xf>
    <xf numFmtId="0" fontId="5" fillId="3" borderId="69" xfId="0" applyFont="1" applyFill="1" applyBorder="1">
      <alignment vertical="center"/>
    </xf>
    <xf numFmtId="0" fontId="4" fillId="0" borderId="71" xfId="0" applyFont="1" applyBorder="1">
      <alignment vertical="center"/>
    </xf>
    <xf numFmtId="0" fontId="4" fillId="0" borderId="72" xfId="0" applyFont="1" applyBorder="1">
      <alignment vertical="center"/>
    </xf>
    <xf numFmtId="0" fontId="3" fillId="0" borderId="1" xfId="0" applyFont="1" applyBorder="1">
      <alignment vertical="center"/>
    </xf>
    <xf numFmtId="0" fontId="28" fillId="0" borderId="2" xfId="2" applyFont="1" applyBorder="1" applyAlignment="1">
      <alignment horizontal="center" vertical="center"/>
    </xf>
    <xf numFmtId="177" fontId="3" fillId="0" borderId="12" xfId="1" applyFont="1" applyBorder="1" applyAlignment="1">
      <alignment horizontal="center" vertical="center"/>
    </xf>
    <xf numFmtId="177" fontId="3" fillId="0" borderId="14" xfId="1" applyFont="1" applyBorder="1" applyAlignment="1">
      <alignment horizontal="center" vertical="center"/>
    </xf>
    <xf numFmtId="177" fontId="3" fillId="0" borderId="3" xfId="1" applyFont="1" applyBorder="1" applyAlignment="1">
      <alignment horizontal="center" vertical="center"/>
    </xf>
    <xf numFmtId="177" fontId="3" fillId="0" borderId="5" xfId="1" applyFont="1" applyBorder="1" applyAlignment="1">
      <alignment horizontal="center" vertical="center"/>
    </xf>
    <xf numFmtId="177" fontId="3" fillId="0" borderId="13" xfId="1" applyFont="1" applyBorder="1" applyAlignment="1">
      <alignment horizontal="center" vertical="center"/>
    </xf>
    <xf numFmtId="0" fontId="8" fillId="0" borderId="51" xfId="0" applyFont="1" applyBorder="1">
      <alignment vertical="center"/>
    </xf>
    <xf numFmtId="0" fontId="3" fillId="4" borderId="5" xfId="0" applyFont="1" applyFill="1" applyBorder="1" applyAlignment="1">
      <alignment horizontal="center" vertical="center"/>
    </xf>
    <xf numFmtId="177" fontId="3" fillId="4" borderId="5" xfId="1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177" fontId="3" fillId="5" borderId="14" xfId="1" applyFont="1" applyFill="1" applyBorder="1" applyAlignment="1" applyProtection="1">
      <alignment horizontal="center" vertical="center" wrapText="1"/>
      <protection locked="0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 applyProtection="1">
      <alignment horizontal="center" vertical="center" wrapText="1"/>
      <protection locked="0"/>
    </xf>
    <xf numFmtId="177" fontId="3" fillId="5" borderId="13" xfId="1" applyFont="1" applyFill="1" applyBorder="1" applyAlignment="1" applyProtection="1">
      <alignment horizontal="center" vertical="center" wrapText="1"/>
      <protection locked="0"/>
    </xf>
    <xf numFmtId="0" fontId="26" fillId="5" borderId="0" xfId="2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7" fontId="3" fillId="15" borderId="14" xfId="1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26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77" fontId="8" fillId="0" borderId="62" xfId="1" applyFont="1" applyFill="1" applyBorder="1">
      <alignment vertical="center"/>
    </xf>
    <xf numFmtId="0" fontId="8" fillId="13" borderId="60" xfId="0" applyFont="1" applyFill="1" applyBorder="1">
      <alignment vertical="center"/>
    </xf>
    <xf numFmtId="177" fontId="8" fillId="0" borderId="62" xfId="1" applyFont="1" applyBorder="1" applyAlignment="1">
      <alignment horizontal="center" vertical="center"/>
    </xf>
    <xf numFmtId="0" fontId="8" fillId="0" borderId="60" xfId="0" applyFont="1" applyBorder="1">
      <alignment vertical="center"/>
    </xf>
    <xf numFmtId="177" fontId="11" fillId="0" borderId="62" xfId="1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177" fontId="11" fillId="0" borderId="21" xfId="1" applyFont="1" applyFill="1" applyBorder="1" applyAlignment="1">
      <alignment vertical="center"/>
    </xf>
    <xf numFmtId="0" fontId="32" fillId="13" borderId="22" xfId="0" applyFont="1" applyFill="1" applyBorder="1" applyAlignment="1">
      <alignment horizontal="center" vertical="center"/>
    </xf>
    <xf numFmtId="177" fontId="32" fillId="0" borderId="21" xfId="1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177" fontId="32" fillId="0" borderId="21" xfId="1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177" fontId="8" fillId="0" borderId="23" xfId="1" applyFont="1" applyFill="1" applyBorder="1" applyAlignment="1">
      <alignment horizontal="center" vertical="center"/>
    </xf>
    <xf numFmtId="177" fontId="11" fillId="0" borderId="23" xfId="1" applyFont="1" applyFill="1" applyBorder="1" applyAlignment="1">
      <alignment horizontal="center" vertical="center"/>
    </xf>
    <xf numFmtId="177" fontId="11" fillId="13" borderId="21" xfId="1" applyFont="1" applyFill="1" applyBorder="1" applyAlignment="1">
      <alignment vertical="center"/>
    </xf>
    <xf numFmtId="0" fontId="3" fillId="0" borderId="4" xfId="0" applyFont="1" applyBorder="1">
      <alignment vertical="center"/>
    </xf>
    <xf numFmtId="0" fontId="33" fillId="0" borderId="0" xfId="0" applyFo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24" fillId="0" borderId="0" xfId="2" applyFont="1" applyFill="1" applyBorder="1" applyAlignment="1">
      <alignment horizontal="center" vertical="center"/>
    </xf>
    <xf numFmtId="177" fontId="2" fillId="0" borderId="12" xfId="1" applyFont="1" applyFill="1" applyBorder="1" applyAlignment="1" applyProtection="1">
      <alignment horizontal="center" vertical="center" wrapText="1"/>
      <protection locked="0"/>
    </xf>
    <xf numFmtId="0" fontId="26" fillId="4" borderId="0" xfId="2" applyFont="1" applyFill="1" applyBorder="1" applyAlignment="1">
      <alignment horizontal="center" vertical="center" wrapText="1"/>
    </xf>
    <xf numFmtId="177" fontId="2" fillId="0" borderId="13" xfId="1" applyFont="1" applyFill="1" applyBorder="1" applyAlignment="1" applyProtection="1">
      <alignment horizontal="center" vertical="center" wrapText="1"/>
      <protection locked="0"/>
    </xf>
    <xf numFmtId="0" fontId="10" fillId="6" borderId="2" xfId="0" applyFont="1" applyFill="1" applyBorder="1" applyAlignment="1" applyProtection="1">
      <alignment horizontal="center" vertical="center" wrapText="1"/>
      <protection locked="0"/>
    </xf>
    <xf numFmtId="0" fontId="11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 applyProtection="1">
      <alignment horizontal="center" vertical="center" wrapText="1"/>
      <protection locked="0"/>
    </xf>
    <xf numFmtId="0" fontId="11" fillId="5" borderId="0" xfId="0" applyFont="1" applyFill="1" applyAlignment="1">
      <alignment horizontal="center" vertical="center"/>
    </xf>
    <xf numFmtId="0" fontId="22" fillId="0" borderId="2" xfId="2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4" fillId="0" borderId="2" xfId="2" applyFont="1" applyFill="1" applyBorder="1" applyAlignment="1">
      <alignment horizontal="center" vertical="center" wrapText="1"/>
    </xf>
    <xf numFmtId="177" fontId="2" fillId="4" borderId="14" xfId="1" applyFont="1" applyFill="1" applyBorder="1" applyAlignment="1" applyProtection="1">
      <alignment horizontal="center" vertical="center" wrapText="1"/>
      <protection locked="0"/>
    </xf>
    <xf numFmtId="0" fontId="3" fillId="4" borderId="5" xfId="0" applyFont="1" applyFill="1" applyBorder="1" applyAlignment="1" applyProtection="1">
      <alignment horizontal="center" vertical="center" wrapText="1"/>
      <protection locked="0"/>
    </xf>
    <xf numFmtId="177" fontId="3" fillId="0" borderId="24" xfId="1" applyFont="1" applyFill="1" applyBorder="1" applyAlignment="1">
      <alignment horizontal="center" vertical="center"/>
    </xf>
    <xf numFmtId="177" fontId="11" fillId="3" borderId="50" xfId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177" fontId="3" fillId="3" borderId="13" xfId="1" applyFont="1" applyFill="1" applyBorder="1" applyAlignment="1" applyProtection="1">
      <alignment horizontal="center" vertical="center" wrapText="1"/>
      <protection locked="0"/>
    </xf>
    <xf numFmtId="0" fontId="3" fillId="3" borderId="8" xfId="0" applyFont="1" applyFill="1" applyBorder="1" applyAlignment="1" applyProtection="1">
      <alignment horizontal="center" vertical="center" wrapText="1"/>
      <protection locked="0"/>
    </xf>
    <xf numFmtId="177" fontId="2" fillId="0" borderId="3" xfId="1" applyFont="1" applyFill="1" applyBorder="1" applyAlignment="1">
      <alignment horizontal="center" vertical="center"/>
    </xf>
    <xf numFmtId="177" fontId="2" fillId="0" borderId="8" xfId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4" fillId="0" borderId="0" xfId="2" applyFont="1" applyBorder="1" applyAlignment="1">
      <alignment horizontal="center" vertical="center"/>
    </xf>
    <xf numFmtId="0" fontId="10" fillId="6" borderId="0" xfId="0" applyFont="1" applyFill="1" applyAlignment="1" applyProtection="1">
      <alignment horizontal="center" vertical="center" wrapText="1"/>
      <protection locked="0"/>
    </xf>
    <xf numFmtId="177" fontId="3" fillId="4" borderId="14" xfId="1" applyFont="1" applyFill="1" applyBorder="1" applyAlignment="1">
      <alignment horizontal="center" vertical="center"/>
    </xf>
    <xf numFmtId="0" fontId="23" fillId="4" borderId="0" xfId="2" applyFont="1" applyFill="1" applyBorder="1" applyAlignment="1">
      <alignment horizontal="center" vertical="center"/>
    </xf>
    <xf numFmtId="0" fontId="3" fillId="5" borderId="8" xfId="0" applyFont="1" applyFill="1" applyBorder="1" applyAlignment="1" applyProtection="1">
      <alignment horizontal="center" vertical="center" wrapText="1"/>
      <protection locked="0"/>
    </xf>
    <xf numFmtId="0" fontId="3" fillId="5" borderId="8" xfId="0" applyFont="1" applyFill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6" fillId="5" borderId="0" xfId="2" applyFont="1" applyFill="1" applyBorder="1" applyAlignment="1">
      <alignment horizontal="center" vertical="center" wrapText="1"/>
    </xf>
    <xf numFmtId="177" fontId="2" fillId="5" borderId="14" xfId="1" applyFont="1" applyFill="1" applyBorder="1" applyAlignment="1" applyProtection="1">
      <alignment horizontal="center" vertical="center" wrapText="1"/>
      <protection locked="0"/>
    </xf>
    <xf numFmtId="177" fontId="3" fillId="3" borderId="14" xfId="1" applyFont="1" applyFill="1" applyBorder="1" applyAlignment="1">
      <alignment horizontal="center" vertical="center"/>
    </xf>
    <xf numFmtId="0" fontId="24" fillId="3" borderId="0" xfId="2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7" fontId="2" fillId="3" borderId="14" xfId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77" fontId="2" fillId="3" borderId="5" xfId="1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177" fontId="3" fillId="5" borderId="13" xfId="1" applyFont="1" applyFill="1" applyBorder="1" applyAlignment="1">
      <alignment horizontal="center" vertical="center"/>
    </xf>
    <xf numFmtId="0" fontId="2" fillId="4" borderId="0" xfId="2" applyFont="1" applyFill="1" applyBorder="1" applyAlignment="1">
      <alignment horizontal="center" vertical="center"/>
    </xf>
    <xf numFmtId="0" fontId="3" fillId="0" borderId="33" xfId="0" applyFont="1" applyBorder="1">
      <alignment vertical="center"/>
    </xf>
    <xf numFmtId="0" fontId="3" fillId="16" borderId="9" xfId="0" applyFont="1" applyFill="1" applyBorder="1" applyAlignment="1">
      <alignment horizontal="center" vertical="center"/>
    </xf>
    <xf numFmtId="0" fontId="2" fillId="16" borderId="33" xfId="0" applyFont="1" applyFill="1" applyBorder="1" applyAlignment="1">
      <alignment horizontal="center" vertical="center"/>
    </xf>
    <xf numFmtId="0" fontId="20" fillId="16" borderId="33" xfId="0" applyFont="1" applyFill="1" applyBorder="1" applyAlignment="1">
      <alignment horizontal="center" vertical="center"/>
    </xf>
    <xf numFmtId="0" fontId="3" fillId="16" borderId="33" xfId="0" applyFont="1" applyFill="1" applyBorder="1" applyAlignment="1">
      <alignment horizontal="center" vertical="center"/>
    </xf>
    <xf numFmtId="0" fontId="3" fillId="16" borderId="10" xfId="0" applyFont="1" applyFill="1" applyBorder="1" applyAlignment="1">
      <alignment horizontal="center" vertical="center"/>
    </xf>
    <xf numFmtId="0" fontId="26" fillId="16" borderId="10" xfId="2" applyFont="1" applyFill="1" applyBorder="1" applyAlignment="1">
      <alignment horizontal="center" vertical="center" wrapText="1"/>
    </xf>
    <xf numFmtId="177" fontId="3" fillId="16" borderId="33" xfId="1" applyFont="1" applyFill="1" applyBorder="1" applyAlignment="1">
      <alignment horizontal="center" vertical="center"/>
    </xf>
    <xf numFmtId="0" fontId="3" fillId="16" borderId="11" xfId="0" applyFont="1" applyFill="1" applyBorder="1" applyAlignment="1">
      <alignment horizontal="center" vertical="center"/>
    </xf>
    <xf numFmtId="0" fontId="3" fillId="16" borderId="9" xfId="0" applyFont="1" applyFill="1" applyBorder="1">
      <alignment vertical="center"/>
    </xf>
    <xf numFmtId="0" fontId="25" fillId="16" borderId="33" xfId="0" applyFont="1" applyFill="1" applyBorder="1" applyAlignment="1">
      <alignment horizontal="center" vertical="center" wrapText="1"/>
    </xf>
    <xf numFmtId="0" fontId="2" fillId="16" borderId="10" xfId="0" applyFont="1" applyFill="1" applyBorder="1" applyAlignment="1">
      <alignment horizontal="center" vertical="center"/>
    </xf>
    <xf numFmtId="177" fontId="2" fillId="16" borderId="33" xfId="1" applyFont="1" applyFill="1" applyBorder="1" applyAlignment="1">
      <alignment horizontal="center" vertical="center"/>
    </xf>
    <xf numFmtId="0" fontId="11" fillId="16" borderId="25" xfId="0" applyFont="1" applyFill="1" applyBorder="1" applyAlignment="1">
      <alignment horizontal="center" vertical="center"/>
    </xf>
    <xf numFmtId="0" fontId="3" fillId="16" borderId="48" xfId="0" applyFont="1" applyFill="1" applyBorder="1" applyAlignment="1">
      <alignment horizontal="center" vertical="center"/>
    </xf>
    <xf numFmtId="0" fontId="26" fillId="15" borderId="0" xfId="2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/>
    </xf>
    <xf numFmtId="0" fontId="26" fillId="15" borderId="7" xfId="2" applyFont="1" applyFill="1" applyBorder="1" applyAlignment="1">
      <alignment horizontal="center" vertical="center" wrapText="1"/>
    </xf>
    <xf numFmtId="0" fontId="3" fillId="15" borderId="7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177" fontId="3" fillId="15" borderId="13" xfId="1" applyFont="1" applyFill="1" applyBorder="1" applyAlignment="1">
      <alignment horizontal="center" vertical="center"/>
    </xf>
    <xf numFmtId="0" fontId="24" fillId="4" borderId="2" xfId="2" applyFont="1" applyFill="1" applyBorder="1" applyAlignment="1">
      <alignment horizontal="center" vertical="center"/>
    </xf>
    <xf numFmtId="177" fontId="3" fillId="4" borderId="12" xfId="1" applyFont="1" applyFill="1" applyBorder="1" applyAlignment="1">
      <alignment horizontal="center" vertical="center"/>
    </xf>
    <xf numFmtId="177" fontId="3" fillId="4" borderId="13" xfId="1" applyFont="1" applyFill="1" applyBorder="1" applyAlignment="1">
      <alignment horizontal="center" vertical="center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177" fontId="3" fillId="4" borderId="12" xfId="1" applyFont="1" applyFill="1" applyBorder="1" applyAlignment="1" applyProtection="1">
      <alignment horizontal="center" vertical="center" wrapText="1"/>
      <protection locked="0"/>
    </xf>
    <xf numFmtId="0" fontId="10" fillId="6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 applyProtection="1">
      <alignment horizontal="center" vertical="center" wrapText="1"/>
      <protection locked="0"/>
    </xf>
    <xf numFmtId="177" fontId="3" fillId="4" borderId="13" xfId="1" applyFont="1" applyFill="1" applyBorder="1" applyAlignment="1" applyProtection="1">
      <alignment horizontal="center" vertical="center" wrapText="1"/>
      <protection locked="0"/>
    </xf>
    <xf numFmtId="0" fontId="3" fillId="10" borderId="0" xfId="0" applyFont="1" applyFill="1" applyAlignment="1">
      <alignment horizontal="center" vertical="center"/>
    </xf>
    <xf numFmtId="177" fontId="3" fillId="10" borderId="14" xfId="1" applyFont="1" applyFill="1" applyBorder="1" applyAlignment="1">
      <alignment horizontal="center" vertical="center"/>
    </xf>
    <xf numFmtId="0" fontId="12" fillId="16" borderId="0" xfId="0" applyFont="1" applyFill="1">
      <alignment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4" borderId="46" xfId="0" applyFont="1" applyFill="1" applyBorder="1" applyAlignment="1">
      <alignment horizontal="center" vertical="center"/>
    </xf>
    <xf numFmtId="177" fontId="3" fillId="4" borderId="19" xfId="1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177" fontId="3" fillId="4" borderId="45" xfId="1" applyFont="1" applyFill="1" applyBorder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2" fillId="16" borderId="14" xfId="0" applyFont="1" applyFill="1" applyBorder="1" applyAlignment="1">
      <alignment horizontal="center" vertical="center"/>
    </xf>
    <xf numFmtId="0" fontId="19" fillId="16" borderId="14" xfId="0" applyFont="1" applyFill="1" applyBorder="1" applyAlignment="1">
      <alignment horizontal="center" vertical="center"/>
    </xf>
    <xf numFmtId="0" fontId="3" fillId="16" borderId="0" xfId="0" applyFont="1" applyFill="1" applyAlignment="1" applyProtection="1">
      <alignment horizontal="center" vertical="center" wrapText="1"/>
      <protection locked="0"/>
    </xf>
    <xf numFmtId="177" fontId="3" fillId="16" borderId="14" xfId="1" applyFont="1" applyFill="1" applyBorder="1" applyAlignment="1" applyProtection="1">
      <alignment horizontal="center" vertical="center" wrapText="1"/>
      <protection locked="0"/>
    </xf>
    <xf numFmtId="0" fontId="3" fillId="16" borderId="4" xfId="0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4" xfId="0" applyFont="1" applyFill="1" applyBorder="1" applyAlignment="1">
      <alignment horizontal="center" vertical="center"/>
    </xf>
    <xf numFmtId="0" fontId="3" fillId="16" borderId="58" xfId="0" applyFont="1" applyFill="1" applyBorder="1" applyAlignment="1">
      <alignment horizontal="center" vertical="center"/>
    </xf>
    <xf numFmtId="177" fontId="11" fillId="0" borderId="62" xfId="1" applyFont="1" applyFill="1" applyBorder="1" applyAlignment="1">
      <alignment horizontal="center" vertical="center"/>
    </xf>
    <xf numFmtId="0" fontId="11" fillId="0" borderId="60" xfId="0" applyFont="1" applyBorder="1" applyAlignment="1">
      <alignment horizontal="center" vertical="center"/>
    </xf>
    <xf numFmtId="177" fontId="8" fillId="0" borderId="62" xfId="1" applyFont="1" applyFill="1" applyBorder="1" applyAlignment="1">
      <alignment horizontal="center" vertical="center"/>
    </xf>
    <xf numFmtId="177" fontId="8" fillId="0" borderId="73" xfId="1" applyFont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7" fillId="6" borderId="74" xfId="0" applyFont="1" applyFill="1" applyBorder="1" applyAlignment="1">
      <alignment horizontal="center" vertical="center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>
      <alignment horizontal="center" vertical="center"/>
    </xf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24" fillId="4" borderId="0" xfId="2" applyFont="1" applyFill="1" applyBorder="1" applyAlignment="1">
      <alignment horizontal="center" vertical="center"/>
    </xf>
    <xf numFmtId="177" fontId="3" fillId="4" borderId="14" xfId="1" applyFont="1" applyFill="1" applyBorder="1" applyAlignment="1" applyProtection="1">
      <alignment horizontal="center" vertical="center" wrapText="1"/>
      <protection locked="0"/>
    </xf>
    <xf numFmtId="177" fontId="8" fillId="0" borderId="1" xfId="1" applyFont="1" applyBorder="1" applyAlignment="1">
      <alignment vertical="center"/>
    </xf>
    <xf numFmtId="177" fontId="8" fillId="0" borderId="2" xfId="1" applyFont="1" applyBorder="1" applyAlignment="1">
      <alignment vertical="center"/>
    </xf>
    <xf numFmtId="177" fontId="8" fillId="0" borderId="3" xfId="1" applyFont="1" applyBorder="1" applyAlignment="1">
      <alignment vertical="center"/>
    </xf>
    <xf numFmtId="177" fontId="8" fillId="0" borderId="4" xfId="1" applyFont="1" applyBorder="1" applyAlignment="1">
      <alignment vertical="center"/>
    </xf>
    <xf numFmtId="177" fontId="8" fillId="0" borderId="0" xfId="1" applyFont="1" applyBorder="1" applyAlignment="1">
      <alignment vertical="center"/>
    </xf>
    <xf numFmtId="177" fontId="8" fillId="0" borderId="5" xfId="1" applyFont="1" applyBorder="1" applyAlignment="1">
      <alignment vertical="center"/>
    </xf>
    <xf numFmtId="177" fontId="8" fillId="0" borderId="6" xfId="1" applyFont="1" applyBorder="1" applyAlignment="1">
      <alignment vertical="center"/>
    </xf>
    <xf numFmtId="177" fontId="8" fillId="0" borderId="7" xfId="1" applyFont="1" applyBorder="1" applyAlignment="1">
      <alignment vertical="center"/>
    </xf>
    <xf numFmtId="177" fontId="8" fillId="0" borderId="8" xfId="1" applyFont="1" applyBorder="1" applyAlignment="1">
      <alignment vertical="center"/>
    </xf>
    <xf numFmtId="177" fontId="11" fillId="3" borderId="64" xfId="1" applyFont="1" applyFill="1" applyBorder="1" applyAlignment="1">
      <alignment vertical="center"/>
    </xf>
    <xf numFmtId="0" fontId="11" fillId="0" borderId="58" xfId="0" applyFont="1" applyBorder="1" applyAlignment="1">
      <alignment horizontal="center" vertical="center"/>
    </xf>
    <xf numFmtId="177" fontId="8" fillId="0" borderId="64" xfId="1" applyFont="1" applyFill="1" applyBorder="1" applyAlignment="1">
      <alignment horizontal="center" vertical="center"/>
    </xf>
    <xf numFmtId="0" fontId="8" fillId="0" borderId="58" xfId="0" applyFont="1" applyBorder="1">
      <alignment vertical="center"/>
    </xf>
    <xf numFmtId="0" fontId="8" fillId="0" borderId="58" xfId="0" applyFont="1" applyBorder="1" applyAlignment="1">
      <alignment horizontal="center" vertical="center"/>
    </xf>
    <xf numFmtId="177" fontId="8" fillId="0" borderId="5" xfId="1" applyFont="1" applyBorder="1">
      <alignment vertical="center"/>
    </xf>
    <xf numFmtId="177" fontId="11" fillId="0" borderId="24" xfId="1" applyFont="1" applyFill="1" applyBorder="1" applyAlignment="1">
      <alignment vertical="center"/>
    </xf>
    <xf numFmtId="0" fontId="23" fillId="4" borderId="31" xfId="2" applyFont="1" applyFill="1" applyBorder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6" borderId="0" xfId="0" applyFont="1" applyFill="1" applyAlignment="1">
      <alignment horizontal="center" vertical="center"/>
    </xf>
    <xf numFmtId="0" fontId="36" fillId="4" borderId="0" xfId="0" applyFont="1" applyFill="1" applyAlignment="1">
      <alignment horizontal="center" vertical="center"/>
    </xf>
    <xf numFmtId="0" fontId="36" fillId="18" borderId="0" xfId="0" applyFont="1" applyFill="1" applyAlignment="1">
      <alignment horizontal="center" vertical="center"/>
    </xf>
    <xf numFmtId="0" fontId="36" fillId="11" borderId="0" xfId="0" applyFont="1" applyFill="1" applyAlignment="1">
      <alignment horizontal="center" vertical="center"/>
    </xf>
    <xf numFmtId="184" fontId="0" fillId="0" borderId="0" xfId="0" applyNumberFormat="1">
      <alignment vertical="center"/>
    </xf>
    <xf numFmtId="20" fontId="16" fillId="0" borderId="46" xfId="0" applyNumberFormat="1" applyFont="1" applyBorder="1">
      <alignment vertical="center"/>
    </xf>
    <xf numFmtId="20" fontId="16" fillId="0" borderId="47" xfId="0" applyNumberFormat="1" applyFont="1" applyBorder="1">
      <alignment vertical="center"/>
    </xf>
    <xf numFmtId="0" fontId="4" fillId="3" borderId="0" xfId="0" applyFont="1" applyFill="1">
      <alignment vertical="center"/>
    </xf>
    <xf numFmtId="0" fontId="0" fillId="3" borderId="0" xfId="0" applyFill="1">
      <alignment vertical="center"/>
    </xf>
    <xf numFmtId="0" fontId="7" fillId="3" borderId="0" xfId="0" applyFont="1" applyFill="1">
      <alignment vertical="center"/>
    </xf>
    <xf numFmtId="177" fontId="8" fillId="19" borderId="15" xfId="1" applyFont="1" applyFill="1" applyBorder="1" applyAlignment="1">
      <alignment horizontal="center" vertical="center"/>
    </xf>
    <xf numFmtId="177" fontId="11" fillId="4" borderId="50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177" fontId="8" fillId="13" borderId="15" xfId="1" applyFont="1" applyFill="1" applyBorder="1" applyAlignment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177" fontId="3" fillId="13" borderId="15" xfId="1" applyFont="1" applyFill="1" applyBorder="1" applyAlignment="1">
      <alignment horizontal="center" vertical="center"/>
    </xf>
    <xf numFmtId="0" fontId="7" fillId="6" borderId="77" xfId="0" applyFont="1" applyFill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7" fillId="0" borderId="7" xfId="0" applyFont="1" applyBorder="1">
      <alignment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4" fillId="4" borderId="3" xfId="0" applyFont="1" applyFill="1" applyBorder="1">
      <alignment vertical="center"/>
    </xf>
    <xf numFmtId="0" fontId="4" fillId="4" borderId="5" xfId="0" applyFont="1" applyFill="1" applyBorder="1">
      <alignment vertical="center"/>
    </xf>
    <xf numFmtId="0" fontId="4" fillId="4" borderId="11" xfId="0" applyFont="1" applyFill="1" applyBorder="1">
      <alignment vertical="center"/>
    </xf>
    <xf numFmtId="0" fontId="7" fillId="6" borderId="48" xfId="0" applyFont="1" applyFill="1" applyBorder="1" applyAlignment="1">
      <alignment horizontal="center" vertical="center"/>
    </xf>
    <xf numFmtId="0" fontId="13" fillId="0" borderId="4" xfId="0" applyFont="1" applyBorder="1" applyAlignment="1">
      <alignment vertical="center" wrapText="1"/>
    </xf>
    <xf numFmtId="0" fontId="13" fillId="0" borderId="0" xfId="0" quotePrefix="1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2" fillId="3" borderId="2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12" fillId="3" borderId="0" xfId="0" applyFont="1" applyFill="1">
      <alignment vertical="center"/>
    </xf>
    <xf numFmtId="0" fontId="12" fillId="3" borderId="3" xfId="0" applyFont="1" applyFill="1" applyBorder="1">
      <alignment vertical="center"/>
    </xf>
    <xf numFmtId="0" fontId="12" fillId="3" borderId="6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2" fillId="3" borderId="8" xfId="0" applyFont="1" applyFill="1" applyBorder="1">
      <alignment vertical="center"/>
    </xf>
    <xf numFmtId="177" fontId="17" fillId="3" borderId="2" xfId="1" applyFont="1" applyFill="1" applyBorder="1" applyAlignment="1">
      <alignment horizontal="center" vertical="center"/>
    </xf>
    <xf numFmtId="2" fontId="10" fillId="3" borderId="3" xfId="0" applyNumberFormat="1" applyFont="1" applyFill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8" fillId="0" borderId="7" xfId="0" applyFont="1" applyBorder="1">
      <alignment vertical="center"/>
    </xf>
    <xf numFmtId="177" fontId="8" fillId="0" borderId="21" xfId="1" applyFont="1" applyBorder="1" applyAlignment="1">
      <alignment vertical="center"/>
    </xf>
    <xf numFmtId="177" fontId="8" fillId="0" borderId="22" xfId="1" applyFont="1" applyBorder="1" applyAlignment="1">
      <alignment vertical="center"/>
    </xf>
    <xf numFmtId="177" fontId="8" fillId="0" borderId="24" xfId="1" applyFont="1" applyBorder="1" applyAlignment="1">
      <alignment vertical="center"/>
    </xf>
    <xf numFmtId="177" fontId="8" fillId="0" borderId="47" xfId="1" applyFont="1" applyBorder="1" applyAlignment="1">
      <alignment vertical="center"/>
    </xf>
    <xf numFmtId="177" fontId="8" fillId="0" borderId="23" xfId="1" applyFont="1" applyBorder="1" applyAlignment="1">
      <alignment vertical="center"/>
    </xf>
    <xf numFmtId="177" fontId="8" fillId="0" borderId="46" xfId="1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77" fontId="8" fillId="0" borderId="49" xfId="1" applyFont="1" applyBorder="1" applyAlignment="1">
      <alignment vertical="center"/>
    </xf>
    <xf numFmtId="177" fontId="8" fillId="0" borderId="55" xfId="1" applyFont="1" applyBorder="1" applyAlignment="1">
      <alignment vertical="center"/>
    </xf>
    <xf numFmtId="177" fontId="8" fillId="0" borderId="20" xfId="1" applyFont="1" applyBorder="1" applyAlignment="1">
      <alignment vertical="center"/>
    </xf>
    <xf numFmtId="177" fontId="11" fillId="0" borderId="23" xfId="1" applyFont="1" applyBorder="1" applyAlignment="1">
      <alignment vertical="center"/>
    </xf>
    <xf numFmtId="177" fontId="3" fillId="0" borderId="28" xfId="1" applyFont="1" applyBorder="1">
      <alignment vertical="center"/>
    </xf>
    <xf numFmtId="177" fontId="3" fillId="0" borderId="30" xfId="1" applyFont="1" applyBorder="1">
      <alignment vertical="center"/>
    </xf>
    <xf numFmtId="177" fontId="30" fillId="0" borderId="29" xfId="1" applyFont="1" applyBorder="1">
      <alignment vertical="center"/>
    </xf>
    <xf numFmtId="0" fontId="38" fillId="0" borderId="0" xfId="2" applyFont="1" applyAlignment="1">
      <alignment horizontal="left" vertical="center"/>
    </xf>
    <xf numFmtId="0" fontId="38" fillId="0" borderId="0" xfId="2" applyFont="1" applyFill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center" vertical="center"/>
    </xf>
    <xf numFmtId="177" fontId="8" fillId="13" borderId="21" xfId="1" applyFont="1" applyFill="1" applyBorder="1" applyAlignment="1">
      <alignment horizontal="center" vertical="center"/>
    </xf>
    <xf numFmtId="0" fontId="8" fillId="13" borderId="22" xfId="0" applyFont="1" applyFill="1" applyBorder="1" applyAlignment="1">
      <alignment horizontal="center" vertical="center"/>
    </xf>
    <xf numFmtId="177" fontId="20" fillId="0" borderId="21" xfId="1" applyFont="1" applyFill="1" applyBorder="1" applyAlignment="1">
      <alignment horizontal="center" vertical="center"/>
    </xf>
    <xf numFmtId="177" fontId="11" fillId="13" borderId="50" xfId="1" applyFont="1" applyFill="1" applyBorder="1" applyAlignment="1">
      <alignment horizontal="center" vertical="center"/>
    </xf>
    <xf numFmtId="0" fontId="11" fillId="13" borderId="51" xfId="0" applyFont="1" applyFill="1" applyBorder="1" applyAlignment="1">
      <alignment horizontal="center" vertical="center"/>
    </xf>
    <xf numFmtId="177" fontId="3" fillId="0" borderId="15" xfId="1" applyFont="1" applyFill="1" applyBorder="1" applyAlignment="1">
      <alignment horizontal="center" vertical="center"/>
    </xf>
    <xf numFmtId="0" fontId="8" fillId="13" borderId="0" xfId="0" applyFont="1" applyFill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2" fillId="0" borderId="0" xfId="2" applyFill="1" applyAlignment="1">
      <alignment horizontal="left" vertical="center"/>
    </xf>
    <xf numFmtId="15" fontId="12" fillId="0" borderId="0" xfId="0" applyNumberFormat="1" applyFont="1">
      <alignment vertical="center"/>
    </xf>
    <xf numFmtId="15" fontId="7" fillId="0" borderId="0" xfId="0" applyNumberFormat="1" applyFont="1">
      <alignment vertical="center"/>
    </xf>
    <xf numFmtId="0" fontId="0" fillId="20" borderId="0" xfId="0" applyFill="1">
      <alignment vertical="center"/>
    </xf>
    <xf numFmtId="15" fontId="3" fillId="20" borderId="0" xfId="0" applyNumberFormat="1" applyFont="1" applyFill="1">
      <alignment vertical="center"/>
    </xf>
    <xf numFmtId="0" fontId="3" fillId="20" borderId="0" xfId="0" applyFont="1" applyFill="1" applyAlignment="1">
      <alignment horizontal="center" vertical="center"/>
    </xf>
    <xf numFmtId="20" fontId="3" fillId="20" borderId="0" xfId="0" applyNumberFormat="1" applyFont="1" applyFill="1" applyAlignment="1">
      <alignment horizontal="center" vertical="center"/>
    </xf>
    <xf numFmtId="0" fontId="40" fillId="20" borderId="0" xfId="2" applyFont="1" applyFill="1" applyAlignment="1">
      <alignment horizontal="left" vertical="center"/>
    </xf>
    <xf numFmtId="0" fontId="0" fillId="14" borderId="0" xfId="0" applyFill="1">
      <alignment vertical="center"/>
    </xf>
    <xf numFmtId="0" fontId="22" fillId="14" borderId="0" xfId="2" applyFill="1" applyAlignment="1">
      <alignment horizontal="left" vertical="center"/>
    </xf>
    <xf numFmtId="0" fontId="7" fillId="14" borderId="0" xfId="0" applyFont="1" applyFill="1" applyAlignment="1">
      <alignment horizontal="left" vertical="center"/>
    </xf>
    <xf numFmtId="0" fontId="7" fillId="14" borderId="0" xfId="0" applyFont="1" applyFill="1" applyAlignment="1">
      <alignment horizontal="center" vertical="center"/>
    </xf>
    <xf numFmtId="20" fontId="4" fillId="14" borderId="0" xfId="0" applyNumberFormat="1" applyFont="1" applyFill="1" applyAlignment="1">
      <alignment horizontal="center" vertical="center"/>
    </xf>
    <xf numFmtId="15" fontId="7" fillId="14" borderId="0" xfId="0" applyNumberFormat="1" applyFont="1" applyFill="1">
      <alignment vertical="center"/>
    </xf>
    <xf numFmtId="0" fontId="7" fillId="14" borderId="0" xfId="0" applyFont="1" applyFill="1">
      <alignment vertical="center"/>
    </xf>
    <xf numFmtId="0" fontId="41" fillId="0" borderId="0" xfId="4">
      <alignment vertical="center"/>
    </xf>
    <xf numFmtId="0" fontId="43" fillId="0" borderId="0" xfId="5" applyFont="1">
      <alignment vertical="center"/>
    </xf>
    <xf numFmtId="177" fontId="43" fillId="0" borderId="0" xfId="6" applyFont="1">
      <alignment vertical="center"/>
    </xf>
    <xf numFmtId="0" fontId="44" fillId="0" borderId="35" xfId="5" applyFont="1" applyBorder="1" applyAlignment="1">
      <alignment horizontal="center" vertical="center"/>
    </xf>
    <xf numFmtId="0" fontId="43" fillId="3" borderId="33" xfId="5" applyFont="1" applyFill="1" applyBorder="1" applyAlignment="1">
      <alignment horizontal="center" vertical="center"/>
    </xf>
    <xf numFmtId="0" fontId="43" fillId="0" borderId="19" xfId="5" applyFont="1" applyBorder="1" applyAlignment="1">
      <alignment horizontal="center" vertical="center"/>
    </xf>
    <xf numFmtId="0" fontId="43" fillId="0" borderId="37" xfId="5" applyFont="1" applyBorder="1" applyAlignment="1">
      <alignment horizontal="center" vertical="center"/>
    </xf>
    <xf numFmtId="0" fontId="43" fillId="0" borderId="31" xfId="5" applyFont="1" applyBorder="1" applyAlignment="1">
      <alignment horizontal="center" vertical="center"/>
    </xf>
    <xf numFmtId="0" fontId="43" fillId="0" borderId="57" xfId="5" applyFont="1" applyBorder="1" applyAlignment="1">
      <alignment horizontal="center" vertical="center"/>
    </xf>
    <xf numFmtId="0" fontId="45" fillId="0" borderId="0" xfId="5" applyFont="1">
      <alignment vertical="center"/>
    </xf>
    <xf numFmtId="0" fontId="46" fillId="0" borderId="0" xfId="5" applyFont="1" applyAlignment="1">
      <alignment horizontal="center" vertical="center"/>
    </xf>
    <xf numFmtId="0" fontId="42" fillId="0" borderId="0" xfId="5">
      <alignment vertical="center"/>
    </xf>
    <xf numFmtId="0" fontId="43" fillId="0" borderId="23" xfId="5" applyFont="1" applyBorder="1" applyAlignment="1">
      <alignment horizontal="center" vertical="center"/>
    </xf>
    <xf numFmtId="0" fontId="43" fillId="0" borderId="46" xfId="5" applyFont="1" applyBorder="1" applyAlignment="1">
      <alignment horizontal="center" vertical="center"/>
    </xf>
    <xf numFmtId="0" fontId="43" fillId="0" borderId="21" xfId="5" applyFont="1" applyBorder="1" applyAlignment="1">
      <alignment horizontal="center" vertical="center"/>
    </xf>
    <xf numFmtId="177" fontId="43" fillId="3" borderId="15" xfId="6" applyFont="1" applyFill="1" applyBorder="1" applyAlignment="1">
      <alignment horizontal="center" vertical="center"/>
    </xf>
    <xf numFmtId="0" fontId="43" fillId="0" borderId="15" xfId="5" applyFont="1" applyBorder="1" applyAlignment="1">
      <alignment horizontal="center" vertical="center"/>
    </xf>
    <xf numFmtId="177" fontId="43" fillId="0" borderId="15" xfId="6" applyFont="1" applyBorder="1" applyAlignment="1">
      <alignment horizontal="center" vertical="center"/>
    </xf>
    <xf numFmtId="0" fontId="44" fillId="0" borderId="15" xfId="5" applyFont="1" applyBorder="1" applyAlignment="1">
      <alignment horizontal="center" vertical="center"/>
    </xf>
    <xf numFmtId="0" fontId="48" fillId="0" borderId="0" xfId="5" applyFont="1">
      <alignment vertical="center"/>
    </xf>
    <xf numFmtId="0" fontId="43" fillId="0" borderId="22" xfId="5" applyFont="1" applyBorder="1" applyAlignment="1">
      <alignment horizontal="center" vertical="center"/>
    </xf>
    <xf numFmtId="0" fontId="43" fillId="0" borderId="24" xfId="5" applyFont="1" applyBorder="1" applyAlignment="1">
      <alignment horizontal="center" vertical="center"/>
    </xf>
    <xf numFmtId="0" fontId="43" fillId="3" borderId="32" xfId="5" applyFont="1" applyFill="1" applyBorder="1" applyAlignment="1">
      <alignment horizontal="center" vertical="center"/>
    </xf>
    <xf numFmtId="0" fontId="43" fillId="0" borderId="32" xfId="5" applyFont="1" applyBorder="1" applyAlignment="1">
      <alignment horizontal="center" vertical="center"/>
    </xf>
    <xf numFmtId="0" fontId="43" fillId="3" borderId="47" xfId="5" applyFont="1" applyFill="1" applyBorder="1" applyAlignment="1">
      <alignment horizontal="center" vertical="center"/>
    </xf>
    <xf numFmtId="0" fontId="43" fillId="21" borderId="9" xfId="5" applyFont="1" applyFill="1" applyBorder="1" applyAlignment="1">
      <alignment horizontal="center" vertical="center"/>
    </xf>
    <xf numFmtId="14" fontId="43" fillId="0" borderId="10" xfId="5" applyNumberFormat="1" applyFont="1" applyBorder="1" applyAlignment="1">
      <alignment horizontal="center" vertical="center"/>
    </xf>
    <xf numFmtId="179" fontId="43" fillId="21" borderId="10" xfId="5" applyNumberFormat="1" applyFont="1" applyFill="1" applyBorder="1" applyAlignment="1">
      <alignment horizontal="center" vertical="center"/>
    </xf>
    <xf numFmtId="14" fontId="43" fillId="0" borderId="11" xfId="5" applyNumberFormat="1" applyFont="1" applyBorder="1" applyAlignment="1">
      <alignment horizontal="center" vertical="center"/>
    </xf>
    <xf numFmtId="0" fontId="43" fillId="0" borderId="1" xfId="5" applyFont="1" applyBorder="1" applyAlignment="1">
      <alignment horizontal="center" vertical="center"/>
    </xf>
    <xf numFmtId="178" fontId="46" fillId="22" borderId="33" xfId="6" applyNumberFormat="1" applyFont="1" applyFill="1" applyBorder="1" applyAlignment="1">
      <alignment horizontal="center" vertical="center"/>
    </xf>
    <xf numFmtId="0" fontId="43" fillId="0" borderId="2" xfId="5" applyFont="1" applyBorder="1" applyAlignment="1">
      <alignment horizontal="center" vertical="center"/>
    </xf>
    <xf numFmtId="176" fontId="46" fillId="23" borderId="33" xfId="6" applyNumberFormat="1" applyFont="1" applyFill="1" applyBorder="1" applyAlignment="1">
      <alignment horizontal="center" vertical="center"/>
    </xf>
    <xf numFmtId="177" fontId="43" fillId="0" borderId="32" xfId="6" applyFont="1" applyBorder="1" applyAlignment="1">
      <alignment horizontal="center" vertical="center"/>
    </xf>
    <xf numFmtId="0" fontId="43" fillId="0" borderId="25" xfId="5" applyFont="1" applyBorder="1" applyAlignment="1">
      <alignment horizontal="center" vertical="center"/>
    </xf>
    <xf numFmtId="183" fontId="46" fillId="0" borderId="34" xfId="5" applyNumberFormat="1" applyFont="1" applyBorder="1" applyAlignment="1">
      <alignment horizontal="center" vertical="center"/>
    </xf>
    <xf numFmtId="0" fontId="43" fillId="0" borderId="34" xfId="5" applyFont="1" applyBorder="1" applyAlignment="1">
      <alignment horizontal="center" vertical="center"/>
    </xf>
    <xf numFmtId="180" fontId="46" fillId="0" borderId="48" xfId="5" applyNumberFormat="1" applyFont="1" applyBorder="1" applyAlignment="1">
      <alignment horizontal="center" vertical="center"/>
    </xf>
    <xf numFmtId="0" fontId="43" fillId="0" borderId="0" xfId="5" applyFont="1" applyAlignment="1">
      <alignment horizontal="center" vertical="center"/>
    </xf>
    <xf numFmtId="0" fontId="43" fillId="0" borderId="9" xfId="5" applyFont="1" applyBorder="1" applyAlignment="1">
      <alignment horizontal="center" vertical="center"/>
    </xf>
    <xf numFmtId="177" fontId="49" fillId="3" borderId="10" xfId="6" applyFont="1" applyFill="1" applyBorder="1" applyAlignment="1">
      <alignment horizontal="center" vertical="center"/>
    </xf>
    <xf numFmtId="0" fontId="43" fillId="0" borderId="10" xfId="5" applyFont="1" applyBorder="1" applyAlignment="1">
      <alignment horizontal="center" vertical="center"/>
    </xf>
    <xf numFmtId="2" fontId="49" fillId="3" borderId="11" xfId="5" applyNumberFormat="1" applyFont="1" applyFill="1" applyBorder="1" applyAlignment="1">
      <alignment horizontal="center" vertical="center"/>
    </xf>
    <xf numFmtId="0" fontId="43" fillId="0" borderId="50" xfId="5" applyFont="1" applyBorder="1" applyAlignment="1">
      <alignment horizontal="center" vertical="center"/>
    </xf>
    <xf numFmtId="0" fontId="43" fillId="0" borderId="51" xfId="5" applyFont="1" applyBorder="1" applyAlignment="1">
      <alignment horizontal="center" vertical="center"/>
    </xf>
    <xf numFmtId="20" fontId="50" fillId="0" borderId="46" xfId="5" applyNumberFormat="1" applyFont="1" applyBorder="1">
      <alignment vertical="center"/>
    </xf>
    <xf numFmtId="177" fontId="43" fillId="0" borderId="23" xfId="6" applyFont="1" applyBorder="1">
      <alignment vertical="center"/>
    </xf>
    <xf numFmtId="0" fontId="43" fillId="0" borderId="46" xfId="5" applyFont="1" applyBorder="1">
      <alignment vertical="center"/>
    </xf>
    <xf numFmtId="177" fontId="43" fillId="0" borderId="23" xfId="6" applyFont="1" applyBorder="1" applyAlignment="1">
      <alignment horizontal="center" vertical="center"/>
    </xf>
    <xf numFmtId="177" fontId="46" fillId="0" borderId="23" xfId="6" applyFont="1" applyBorder="1" applyAlignment="1">
      <alignment horizontal="center" vertical="center"/>
    </xf>
    <xf numFmtId="177" fontId="43" fillId="0" borderId="20" xfId="6" applyFont="1" applyBorder="1">
      <alignment vertical="center"/>
    </xf>
    <xf numFmtId="177" fontId="43" fillId="0" borderId="21" xfId="6" applyFont="1" applyBorder="1">
      <alignment vertical="center"/>
    </xf>
    <xf numFmtId="0" fontId="43" fillId="0" borderId="22" xfId="5" applyFont="1" applyBorder="1">
      <alignment vertical="center"/>
    </xf>
    <xf numFmtId="177" fontId="43" fillId="0" borderId="21" xfId="6" applyFont="1" applyBorder="1" applyAlignment="1">
      <alignment horizontal="center" vertical="center"/>
    </xf>
    <xf numFmtId="177" fontId="43" fillId="0" borderId="49" xfId="6" applyFont="1" applyBorder="1">
      <alignment vertical="center"/>
    </xf>
    <xf numFmtId="177" fontId="43" fillId="0" borderId="24" xfId="6" applyFont="1" applyBorder="1">
      <alignment vertical="center"/>
    </xf>
    <xf numFmtId="0" fontId="43" fillId="0" borderId="47" xfId="5" applyFont="1" applyBorder="1">
      <alignment vertical="center"/>
    </xf>
    <xf numFmtId="177" fontId="43" fillId="0" borderId="24" xfId="6" applyFont="1" applyBorder="1" applyAlignment="1">
      <alignment horizontal="center" vertical="center"/>
    </xf>
    <xf numFmtId="0" fontId="43" fillId="0" borderId="47" xfId="5" applyFont="1" applyBorder="1" applyAlignment="1">
      <alignment horizontal="center" vertical="center"/>
    </xf>
    <xf numFmtId="177" fontId="43" fillId="0" borderId="55" xfId="6" applyFont="1" applyBorder="1">
      <alignment vertical="center"/>
    </xf>
    <xf numFmtId="0" fontId="43" fillId="24" borderId="46" xfId="5" applyFont="1" applyFill="1" applyBorder="1">
      <alignment vertical="center"/>
    </xf>
    <xf numFmtId="0" fontId="51" fillId="0" borderId="0" xfId="5" applyFont="1">
      <alignment vertical="center"/>
    </xf>
    <xf numFmtId="177" fontId="43" fillId="0" borderId="62" xfId="6" applyFont="1" applyBorder="1">
      <alignment vertical="center"/>
    </xf>
    <xf numFmtId="0" fontId="43" fillId="24" borderId="60" xfId="5" applyFont="1" applyFill="1" applyBorder="1">
      <alignment vertical="center"/>
    </xf>
    <xf numFmtId="177" fontId="43" fillId="0" borderId="62" xfId="6" applyFont="1" applyBorder="1" applyAlignment="1">
      <alignment horizontal="center" vertical="center"/>
    </xf>
    <xf numFmtId="0" fontId="43" fillId="0" borderId="60" xfId="5" applyFont="1" applyBorder="1">
      <alignment vertical="center"/>
    </xf>
    <xf numFmtId="177" fontId="46" fillId="0" borderId="62" xfId="6" applyFont="1" applyBorder="1" applyAlignment="1">
      <alignment horizontal="center" vertical="center"/>
    </xf>
    <xf numFmtId="0" fontId="43" fillId="0" borderId="60" xfId="5" applyFont="1" applyBorder="1" applyAlignment="1">
      <alignment horizontal="center" vertical="center"/>
    </xf>
    <xf numFmtId="177" fontId="43" fillId="0" borderId="73" xfId="6" applyFont="1" applyBorder="1">
      <alignment vertical="center"/>
    </xf>
    <xf numFmtId="177" fontId="46" fillId="3" borderId="21" xfId="6" applyFont="1" applyFill="1" applyBorder="1" applyAlignment="1">
      <alignment horizontal="center" vertical="center"/>
    </xf>
    <xf numFmtId="0" fontId="46" fillId="0" borderId="22" xfId="5" applyFont="1" applyBorder="1" applyAlignment="1">
      <alignment horizontal="center" vertical="center"/>
    </xf>
    <xf numFmtId="177" fontId="46" fillId="21" borderId="21" xfId="6" applyFont="1" applyFill="1" applyBorder="1" applyAlignment="1">
      <alignment horizontal="center" vertical="center"/>
    </xf>
    <xf numFmtId="177" fontId="46" fillId="0" borderId="21" xfId="6" applyFont="1" applyBorder="1" applyAlignment="1">
      <alignment horizontal="center" vertical="center"/>
    </xf>
    <xf numFmtId="177" fontId="43" fillId="0" borderId="50" xfId="6" applyFont="1" applyBorder="1" applyAlignment="1">
      <alignment horizontal="center" vertical="center"/>
    </xf>
    <xf numFmtId="177" fontId="46" fillId="0" borderId="50" xfId="6" applyFont="1" applyBorder="1" applyAlignment="1">
      <alignment horizontal="center" vertical="center"/>
    </xf>
    <xf numFmtId="0" fontId="46" fillId="0" borderId="51" xfId="5" applyFont="1" applyBorder="1" applyAlignment="1">
      <alignment horizontal="center" vertical="center"/>
    </xf>
    <xf numFmtId="177" fontId="43" fillId="0" borderId="50" xfId="6" applyFont="1" applyBorder="1">
      <alignment vertical="center"/>
    </xf>
    <xf numFmtId="0" fontId="43" fillId="0" borderId="51" xfId="5" applyFont="1" applyBorder="1">
      <alignment vertical="center"/>
    </xf>
    <xf numFmtId="0" fontId="43" fillId="24" borderId="47" xfId="5" applyFont="1" applyFill="1" applyBorder="1">
      <alignment vertical="center"/>
    </xf>
    <xf numFmtId="177" fontId="46" fillId="0" borderId="24" xfId="6" applyFont="1" applyBorder="1" applyAlignment="1">
      <alignment horizontal="center" vertical="center"/>
    </xf>
    <xf numFmtId="0" fontId="46" fillId="0" borderId="47" xfId="5" applyFont="1" applyBorder="1" applyAlignment="1">
      <alignment horizontal="center" vertical="center"/>
    </xf>
    <xf numFmtId="177" fontId="46" fillId="0" borderId="0" xfId="6" applyFont="1">
      <alignment vertical="center"/>
    </xf>
    <xf numFmtId="177" fontId="42" fillId="0" borderId="0" xfId="6">
      <alignment vertical="center"/>
    </xf>
    <xf numFmtId="182" fontId="42" fillId="0" borderId="0" xfId="5" applyNumberFormat="1">
      <alignment vertical="center"/>
    </xf>
    <xf numFmtId="177" fontId="43" fillId="0" borderId="57" xfId="6" applyFont="1" applyBorder="1">
      <alignment vertical="center"/>
    </xf>
    <xf numFmtId="177" fontId="43" fillId="0" borderId="47" xfId="6" applyFont="1" applyBorder="1">
      <alignment vertical="center"/>
    </xf>
    <xf numFmtId="0" fontId="38" fillId="14" borderId="0" xfId="2" applyFont="1" applyFill="1" applyAlignment="1">
      <alignment horizontal="left" vertical="center"/>
    </xf>
    <xf numFmtId="177" fontId="16" fillId="4" borderId="21" xfId="1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39" fillId="0" borderId="15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vertical="center" wrapText="1"/>
    </xf>
    <xf numFmtId="0" fontId="4" fillId="0" borderId="34" xfId="0" applyFont="1" applyBorder="1" applyAlignment="1">
      <alignment vertical="center" wrapText="1"/>
    </xf>
    <xf numFmtId="0" fontId="27" fillId="0" borderId="10" xfId="0" applyFont="1" applyBorder="1">
      <alignment vertical="center"/>
    </xf>
    <xf numFmtId="0" fontId="27" fillId="0" borderId="9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13" fillId="4" borderId="7" xfId="0" applyFont="1" applyFill="1" applyBorder="1" applyAlignment="1">
      <alignment vertical="center" wrapText="1"/>
    </xf>
    <xf numFmtId="177" fontId="8" fillId="27" borderId="15" xfId="1" applyFont="1" applyFill="1" applyBorder="1" applyAlignment="1">
      <alignment horizontal="center" vertical="center"/>
    </xf>
    <xf numFmtId="184" fontId="8" fillId="0" borderId="0" xfId="0" applyNumberFormat="1" applyFont="1">
      <alignment vertical="center"/>
    </xf>
    <xf numFmtId="0" fontId="3" fillId="0" borderId="2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9" fillId="0" borderId="62" xfId="0" applyFont="1" applyBorder="1">
      <alignment vertical="center"/>
    </xf>
    <xf numFmtId="14" fontId="39" fillId="0" borderId="76" xfId="0" applyNumberFormat="1" applyFont="1" applyBorder="1" applyAlignment="1">
      <alignment horizontal="center" vertical="center"/>
    </xf>
    <xf numFmtId="0" fontId="39" fillId="0" borderId="73" xfId="0" applyFont="1" applyBorder="1" applyAlignment="1">
      <alignment horizontal="center" vertical="center"/>
    </xf>
    <xf numFmtId="0" fontId="39" fillId="0" borderId="21" xfId="0" applyFont="1" applyBorder="1">
      <alignment vertical="center"/>
    </xf>
    <xf numFmtId="14" fontId="39" fillId="0" borderId="17" xfId="0" applyNumberFormat="1" applyFont="1" applyBorder="1" applyAlignment="1">
      <alignment horizontal="center" vertical="center"/>
    </xf>
    <xf numFmtId="0" fontId="39" fillId="0" borderId="49" xfId="0" applyFont="1" applyBorder="1" applyAlignment="1">
      <alignment horizontal="center" vertical="center"/>
    </xf>
    <xf numFmtId="0" fontId="39" fillId="0" borderId="62" xfId="0" applyFont="1" applyBorder="1" applyAlignment="1">
      <alignment vertical="center" wrapText="1"/>
    </xf>
    <xf numFmtId="0" fontId="39" fillId="0" borderId="76" xfId="0" applyFont="1" applyBorder="1" applyAlignment="1">
      <alignment horizontal="center" vertical="center"/>
    </xf>
    <xf numFmtId="0" fontId="39" fillId="14" borderId="62" xfId="0" applyFont="1" applyFill="1" applyBorder="1">
      <alignment vertical="center"/>
    </xf>
    <xf numFmtId="14" fontId="39" fillId="14" borderId="15" xfId="0" applyNumberFormat="1" applyFont="1" applyFill="1" applyBorder="1" applyAlignment="1">
      <alignment horizontal="center" vertical="center"/>
    </xf>
    <xf numFmtId="0" fontId="39" fillId="14" borderId="22" xfId="0" applyFont="1" applyFill="1" applyBorder="1" applyAlignment="1">
      <alignment horizontal="right" vertical="center"/>
    </xf>
    <xf numFmtId="0" fontId="39" fillId="14" borderId="24" xfId="0" applyFont="1" applyFill="1" applyBorder="1" applyAlignment="1">
      <alignment vertical="center" wrapText="1"/>
    </xf>
    <xf numFmtId="14" fontId="39" fillId="14" borderId="32" xfId="0" applyNumberFormat="1" applyFont="1" applyFill="1" applyBorder="1" applyAlignment="1">
      <alignment horizontal="center" vertical="center"/>
    </xf>
    <xf numFmtId="0" fontId="39" fillId="14" borderId="47" xfId="0" applyFont="1" applyFill="1" applyBorder="1" applyAlignment="1">
      <alignment horizontal="right" vertical="center"/>
    </xf>
    <xf numFmtId="177" fontId="8" fillId="13" borderId="32" xfId="1" applyFont="1" applyFill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4" borderId="65" xfId="0" applyFont="1" applyFill="1" applyBorder="1" applyAlignment="1">
      <alignment horizontal="center" vertical="center"/>
    </xf>
    <xf numFmtId="0" fontId="4" fillId="4" borderId="68" xfId="0" applyFont="1" applyFill="1" applyBorder="1" applyAlignment="1">
      <alignment horizontal="center" vertical="center"/>
    </xf>
    <xf numFmtId="0" fontId="4" fillId="4" borderId="70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 wrapText="1"/>
    </xf>
    <xf numFmtId="0" fontId="20" fillId="3" borderId="13" xfId="0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7" xfId="0" applyFont="1" applyFill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16" fillId="0" borderId="12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27" xfId="0" applyFont="1" applyBorder="1" applyAlignment="1">
      <alignment horizontal="center" vertical="center"/>
    </xf>
    <xf numFmtId="0" fontId="3" fillId="4" borderId="4" xfId="0" applyFont="1" applyFill="1" applyBorder="1" applyAlignment="1" applyProtection="1">
      <alignment horizontal="center" vertical="center" wrapText="1"/>
      <protection locked="0"/>
    </xf>
    <xf numFmtId="0" fontId="3" fillId="4" borderId="0" xfId="0" applyFont="1" applyFill="1" applyAlignment="1" applyProtection="1">
      <alignment horizontal="center" vertical="center" wrapText="1"/>
      <protection locked="0"/>
    </xf>
    <xf numFmtId="0" fontId="3" fillId="5" borderId="4" xfId="0" applyFont="1" applyFill="1" applyBorder="1" applyAlignment="1" applyProtection="1">
      <alignment horizontal="center" vertical="center" wrapText="1"/>
      <protection locked="0"/>
    </xf>
    <xf numFmtId="0" fontId="3" fillId="5" borderId="0" xfId="0" applyFont="1" applyFill="1" applyAlignment="1" applyProtection="1">
      <alignment horizontal="center" vertical="center" wrapText="1"/>
      <protection locked="0"/>
    </xf>
    <xf numFmtId="0" fontId="2" fillId="0" borderId="26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3" borderId="6" xfId="0" applyFont="1" applyFill="1" applyBorder="1" applyAlignment="1" applyProtection="1">
      <alignment horizontal="center" vertical="center" wrapText="1"/>
      <protection locked="0"/>
    </xf>
    <xf numFmtId="0" fontId="3" fillId="3" borderId="7" xfId="0" applyFont="1" applyFill="1" applyBorder="1" applyAlignment="1" applyProtection="1">
      <alignment horizontal="center" vertical="center" wrapText="1"/>
      <protection locked="0"/>
    </xf>
    <xf numFmtId="0" fontId="10" fillId="4" borderId="7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3" fillId="15" borderId="6" xfId="0" applyFont="1" applyFill="1" applyBorder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32" fillId="17" borderId="28" xfId="0" applyFont="1" applyFill="1" applyBorder="1" applyAlignment="1">
      <alignment horizontal="center" vertical="center" wrapText="1"/>
    </xf>
    <xf numFmtId="0" fontId="32" fillId="17" borderId="30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11" fillId="11" borderId="38" xfId="0" applyFont="1" applyFill="1" applyBorder="1" applyAlignment="1">
      <alignment horizontal="center" vertical="center"/>
    </xf>
    <xf numFmtId="0" fontId="11" fillId="11" borderId="32" xfId="0" applyFont="1" applyFill="1" applyBorder="1" applyAlignment="1">
      <alignment horizontal="center" vertical="center"/>
    </xf>
    <xf numFmtId="0" fontId="11" fillId="11" borderId="47" xfId="0" applyFont="1" applyFill="1" applyBorder="1" applyAlignment="1">
      <alignment horizontal="center" vertical="center"/>
    </xf>
    <xf numFmtId="177" fontId="3" fillId="0" borderId="24" xfId="1" applyFont="1" applyBorder="1" applyAlignment="1">
      <alignment horizontal="center" vertical="center"/>
    </xf>
    <xf numFmtId="177" fontId="3" fillId="0" borderId="32" xfId="1" applyFont="1" applyBorder="1" applyAlignment="1">
      <alignment horizontal="center" vertical="center"/>
    </xf>
    <xf numFmtId="0" fontId="20" fillId="3" borderId="32" xfId="0" applyFont="1" applyFill="1" applyBorder="1" applyAlignment="1">
      <alignment horizontal="center" vertical="center"/>
    </xf>
    <xf numFmtId="177" fontId="3" fillId="0" borderId="26" xfId="1" applyFont="1" applyBorder="1" applyAlignment="1">
      <alignment horizontal="center" vertical="center"/>
    </xf>
    <xf numFmtId="177" fontId="3" fillId="0" borderId="42" xfId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18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8" fillId="0" borderId="28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8" fillId="4" borderId="21" xfId="0" applyFont="1" applyFill="1" applyBorder="1" applyAlignment="1">
      <alignment horizontal="left" vertical="center"/>
    </xf>
    <xf numFmtId="0" fontId="18" fillId="4" borderId="15" xfId="0" applyFont="1" applyFill="1" applyBorder="1" applyAlignment="1">
      <alignment horizontal="left" vertical="center"/>
    </xf>
    <xf numFmtId="0" fontId="18" fillId="4" borderId="22" xfId="0" applyFont="1" applyFill="1" applyBorder="1" applyAlignment="1">
      <alignment horizontal="left" vertical="center"/>
    </xf>
    <xf numFmtId="0" fontId="11" fillId="0" borderId="39" xfId="0" applyFont="1" applyBorder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0" fontId="11" fillId="0" borderId="49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19" fillId="4" borderId="39" xfId="0" applyFont="1" applyFill="1" applyBorder="1" applyAlignment="1">
      <alignment horizontal="left" vertical="center"/>
    </xf>
    <xf numFmtId="0" fontId="19" fillId="4" borderId="41" xfId="0" applyFont="1" applyFill="1" applyBorder="1" applyAlignment="1">
      <alignment horizontal="left" vertical="center"/>
    </xf>
    <xf numFmtId="0" fontId="19" fillId="4" borderId="49" xfId="0" applyFont="1" applyFill="1" applyBorder="1" applyAlignment="1">
      <alignment horizontal="left" vertical="center"/>
    </xf>
    <xf numFmtId="0" fontId="8" fillId="0" borderId="39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2" fillId="0" borderId="39" xfId="0" applyFont="1" applyBorder="1" applyAlignment="1">
      <alignment horizontal="left" vertical="center"/>
    </xf>
    <xf numFmtId="0" fontId="2" fillId="0" borderId="41" xfId="0" applyFont="1" applyBorder="1" applyAlignment="1">
      <alignment horizontal="left" vertical="center"/>
    </xf>
    <xf numFmtId="0" fontId="2" fillId="0" borderId="49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4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31" xfId="0" applyFont="1" applyBorder="1" applyAlignment="1">
      <alignment horizontal="left" vertical="center"/>
    </xf>
    <xf numFmtId="0" fontId="8" fillId="0" borderId="46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9" fillId="4" borderId="21" xfId="0" applyFont="1" applyFill="1" applyBorder="1" applyAlignment="1">
      <alignment horizontal="left" vertical="center"/>
    </xf>
    <xf numFmtId="0" fontId="19" fillId="4" borderId="15" xfId="0" applyFont="1" applyFill="1" applyBorder="1" applyAlignment="1">
      <alignment horizontal="left" vertical="center"/>
    </xf>
    <xf numFmtId="0" fontId="19" fillId="4" borderId="22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11" fillId="13" borderId="39" xfId="0" applyFont="1" applyFill="1" applyBorder="1" applyAlignment="1">
      <alignment horizontal="left" vertical="center"/>
    </xf>
    <xf numFmtId="0" fontId="11" fillId="13" borderId="41" xfId="0" applyFont="1" applyFill="1" applyBorder="1" applyAlignment="1">
      <alignment horizontal="left" vertical="center"/>
    </xf>
    <xf numFmtId="0" fontId="11" fillId="13" borderId="49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8" fillId="0" borderId="37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32" xfId="0" applyFont="1" applyBorder="1" applyAlignment="1">
      <alignment horizontal="left" vertical="center"/>
    </xf>
    <xf numFmtId="0" fontId="8" fillId="0" borderId="47" xfId="0" applyFont="1" applyBorder="1" applyAlignment="1">
      <alignment horizontal="left"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185" fontId="3" fillId="0" borderId="15" xfId="0" applyNumberFormat="1" applyFont="1" applyBorder="1" applyAlignment="1">
      <alignment horizontal="center" vertical="center"/>
    </xf>
    <xf numFmtId="185" fontId="3" fillId="0" borderId="52" xfId="0" applyNumberFormat="1" applyFont="1" applyBorder="1" applyAlignment="1">
      <alignment horizontal="center" vertical="center"/>
    </xf>
    <xf numFmtId="0" fontId="3" fillId="3" borderId="16" xfId="0" applyFont="1" applyFill="1" applyBorder="1" applyAlignment="1">
      <alignment horizontal="left" vertical="center"/>
    </xf>
    <xf numFmtId="0" fontId="3" fillId="3" borderId="56" xfId="0" applyFont="1" applyFill="1" applyBorder="1" applyAlignment="1">
      <alignment horizontal="left" vertical="center"/>
    </xf>
    <xf numFmtId="177" fontId="11" fillId="0" borderId="51" xfId="1" applyFont="1" applyBorder="1" applyAlignment="1">
      <alignment horizontal="left" vertical="center"/>
    </xf>
    <xf numFmtId="177" fontId="11" fillId="0" borderId="58" xfId="1" applyFont="1" applyBorder="1" applyAlignment="1">
      <alignment horizontal="left" vertical="center"/>
    </xf>
    <xf numFmtId="177" fontId="11" fillId="0" borderId="59" xfId="1" applyFont="1" applyBorder="1" applyAlignment="1">
      <alignment horizontal="left" vertical="center"/>
    </xf>
    <xf numFmtId="0" fontId="3" fillId="0" borderId="15" xfId="0" applyFont="1" applyBorder="1">
      <alignment vertical="center"/>
    </xf>
    <xf numFmtId="0" fontId="3" fillId="0" borderId="22" xfId="0" applyFont="1" applyBorder="1">
      <alignment vertical="center"/>
    </xf>
    <xf numFmtId="0" fontId="3" fillId="3" borderId="41" xfId="0" applyFont="1" applyFill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185" fontId="3" fillId="0" borderId="32" xfId="0" applyNumberFormat="1" applyFont="1" applyBorder="1" applyAlignment="1">
      <alignment horizontal="center" vertical="center"/>
    </xf>
    <xf numFmtId="185" fontId="3" fillId="0" borderId="43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2" fillId="13" borderId="39" xfId="0" applyFont="1" applyFill="1" applyBorder="1" applyAlignment="1">
      <alignment horizontal="left" vertical="center"/>
    </xf>
    <xf numFmtId="0" fontId="2" fillId="13" borderId="41" xfId="0" applyFont="1" applyFill="1" applyBorder="1" applyAlignment="1">
      <alignment horizontal="left" vertical="center"/>
    </xf>
    <xf numFmtId="0" fontId="2" fillId="13" borderId="49" xfId="0" applyFont="1" applyFill="1" applyBorder="1" applyAlignment="1">
      <alignment horizontal="left" vertical="center"/>
    </xf>
    <xf numFmtId="0" fontId="8" fillId="0" borderId="61" xfId="0" applyFont="1" applyBorder="1" applyAlignment="1">
      <alignment horizontal="center" vertical="center"/>
    </xf>
    <xf numFmtId="0" fontId="35" fillId="0" borderId="39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49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62" xfId="0" applyFont="1" applyBorder="1" applyAlignment="1">
      <alignment horizontal="left" vertical="center"/>
    </xf>
    <xf numFmtId="0" fontId="8" fillId="0" borderId="52" xfId="0" applyFont="1" applyBorder="1" applyAlignment="1">
      <alignment horizontal="left" vertical="center"/>
    </xf>
    <xf numFmtId="0" fontId="8" fillId="0" borderId="60" xfId="0" applyFont="1" applyBorder="1" applyAlignment="1">
      <alignment horizontal="left" vertical="center"/>
    </xf>
    <xf numFmtId="0" fontId="8" fillId="0" borderId="61" xfId="0" applyFont="1" applyBorder="1" applyAlignment="1">
      <alignment horizontal="left" vertical="center"/>
    </xf>
    <xf numFmtId="0" fontId="8" fillId="0" borderId="56" xfId="0" applyFont="1" applyBorder="1" applyAlignment="1">
      <alignment horizontal="left" vertical="center"/>
    </xf>
    <xf numFmtId="0" fontId="8" fillId="0" borderId="73" xfId="0" applyFont="1" applyBorder="1" applyAlignment="1">
      <alignment horizontal="left" vertical="center"/>
    </xf>
    <xf numFmtId="0" fontId="18" fillId="4" borderId="39" xfId="0" applyFont="1" applyFill="1" applyBorder="1" applyAlignment="1">
      <alignment horizontal="left" vertical="center"/>
    </xf>
    <xf numFmtId="0" fontId="18" fillId="4" borderId="41" xfId="0" applyFont="1" applyFill="1" applyBorder="1" applyAlignment="1">
      <alignment horizontal="left" vertical="center"/>
    </xf>
    <xf numFmtId="0" fontId="18" fillId="4" borderId="49" xfId="0" applyFont="1" applyFill="1" applyBorder="1" applyAlignment="1">
      <alignment horizontal="left" vertical="center"/>
    </xf>
    <xf numFmtId="0" fontId="12" fillId="0" borderId="40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7" fontId="7" fillId="0" borderId="18" xfId="1" applyFont="1" applyBorder="1" applyAlignment="1">
      <alignment vertical="center"/>
    </xf>
    <xf numFmtId="177" fontId="7" fillId="0" borderId="20" xfId="1" applyFont="1" applyBorder="1" applyAlignment="1">
      <alignment vertical="center"/>
    </xf>
    <xf numFmtId="0" fontId="7" fillId="14" borderId="18" xfId="0" applyFont="1" applyFill="1" applyBorder="1" applyAlignment="1">
      <alignment horizontal="center" vertical="center"/>
    </xf>
    <xf numFmtId="0" fontId="7" fillId="14" borderId="20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177" fontId="7" fillId="0" borderId="39" xfId="1" applyFont="1" applyBorder="1" applyAlignment="1">
      <alignment vertical="center"/>
    </xf>
    <xf numFmtId="177" fontId="7" fillId="0" borderId="49" xfId="1" applyFont="1" applyBorder="1" applyAlignment="1">
      <alignment vertical="center"/>
    </xf>
    <xf numFmtId="0" fontId="7" fillId="14" borderId="39" xfId="0" applyFont="1" applyFill="1" applyBorder="1" applyAlignment="1">
      <alignment horizontal="center" vertical="center"/>
    </xf>
    <xf numFmtId="0" fontId="7" fillId="14" borderId="49" xfId="0" applyFont="1" applyFill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77" fontId="7" fillId="0" borderId="39" xfId="1" applyFont="1" applyFill="1" applyBorder="1" applyAlignment="1">
      <alignment vertical="center"/>
    </xf>
    <xf numFmtId="177" fontId="7" fillId="0" borderId="49" xfId="1" applyFont="1" applyFill="1" applyBorder="1" applyAlignment="1">
      <alignment vertical="center"/>
    </xf>
    <xf numFmtId="0" fontId="7" fillId="0" borderId="40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177" fontId="7" fillId="0" borderId="40" xfId="1" applyFont="1" applyBorder="1" applyAlignment="1">
      <alignment vertical="center"/>
    </xf>
    <xf numFmtId="177" fontId="7" fillId="0" borderId="55" xfId="1" applyFont="1" applyBorder="1" applyAlignment="1">
      <alignment vertical="center"/>
    </xf>
    <xf numFmtId="0" fontId="7" fillId="14" borderId="40" xfId="0" applyFont="1" applyFill="1" applyBorder="1" applyAlignment="1">
      <alignment horizontal="center" vertical="center"/>
    </xf>
    <xf numFmtId="0" fontId="7" fillId="14" borderId="55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77" fontId="3" fillId="0" borderId="18" xfId="1" applyFont="1" applyBorder="1" applyAlignment="1">
      <alignment horizontal="center" vertical="center"/>
    </xf>
    <xf numFmtId="177" fontId="3" fillId="0" borderId="37" xfId="1" applyFont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1" fillId="11" borderId="40" xfId="0" applyFont="1" applyFill="1" applyBorder="1" applyAlignment="1">
      <alignment horizontal="center" vertical="center"/>
    </xf>
    <xf numFmtId="0" fontId="11" fillId="11" borderId="45" xfId="0" applyFont="1" applyFill="1" applyBorder="1" applyAlignment="1">
      <alignment horizontal="center" vertical="center"/>
    </xf>
    <xf numFmtId="0" fontId="11" fillId="11" borderId="55" xfId="0" applyFont="1" applyFill="1" applyBorder="1" applyAlignment="1">
      <alignment horizontal="center" vertical="center"/>
    </xf>
    <xf numFmtId="177" fontId="3" fillId="0" borderId="40" xfId="1" applyFont="1" applyBorder="1" applyAlignment="1">
      <alignment horizontal="center" vertical="center"/>
    </xf>
    <xf numFmtId="177" fontId="3" fillId="0" borderId="45" xfId="1" applyFont="1" applyBorder="1" applyAlignment="1">
      <alignment horizontal="center" vertical="center"/>
    </xf>
    <xf numFmtId="177" fontId="3" fillId="0" borderId="38" xfId="1" applyFont="1" applyBorder="1" applyAlignment="1">
      <alignment horizontal="center" vertical="center"/>
    </xf>
    <xf numFmtId="0" fontId="20" fillId="3" borderId="63" xfId="0" applyFont="1" applyFill="1" applyBorder="1" applyAlignment="1">
      <alignment horizontal="center" vertical="center"/>
    </xf>
    <xf numFmtId="0" fontId="20" fillId="3" borderId="45" xfId="0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left" vertical="center"/>
    </xf>
    <xf numFmtId="0" fontId="2" fillId="4" borderId="15" xfId="0" applyFont="1" applyFill="1" applyBorder="1" applyAlignment="1">
      <alignment horizontal="left" vertical="center"/>
    </xf>
    <xf numFmtId="0" fontId="2" fillId="4" borderId="22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177" fontId="7" fillId="0" borderId="19" xfId="1" applyFont="1" applyBorder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177" fontId="7" fillId="0" borderId="41" xfId="1" applyFont="1" applyBorder="1" applyAlignment="1">
      <alignment vertical="center"/>
    </xf>
    <xf numFmtId="177" fontId="7" fillId="0" borderId="41" xfId="1" applyFont="1" applyFill="1" applyBorder="1" applyAlignment="1">
      <alignment vertical="center"/>
    </xf>
    <xf numFmtId="0" fontId="7" fillId="0" borderId="3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177" fontId="7" fillId="0" borderId="45" xfId="1" applyFont="1" applyBorder="1" applyAlignment="1">
      <alignment vertical="center"/>
    </xf>
    <xf numFmtId="0" fontId="3" fillId="3" borderId="17" xfId="0" applyFont="1" applyFill="1" applyBorder="1" applyAlignment="1">
      <alignment horizontal="left" vertical="center"/>
    </xf>
    <xf numFmtId="0" fontId="2" fillId="0" borderId="50" xfId="0" applyFont="1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0" fontId="2" fillId="0" borderId="51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40" xfId="0" applyFont="1" applyFill="1" applyBorder="1" applyAlignment="1">
      <alignment horizontal="center" vertical="center"/>
    </xf>
    <xf numFmtId="0" fontId="12" fillId="3" borderId="45" xfId="0" applyFont="1" applyFill="1" applyBorder="1" applyAlignment="1">
      <alignment horizontal="center" vertical="center"/>
    </xf>
    <xf numFmtId="0" fontId="12" fillId="3" borderId="38" xfId="0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7" fillId="3" borderId="4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38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3" borderId="47" xfId="0" applyFont="1" applyFill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3" fillId="13" borderId="16" xfId="0" applyFont="1" applyFill="1" applyBorder="1" applyAlignment="1">
      <alignment horizontal="center" vertical="center"/>
    </xf>
    <xf numFmtId="0" fontId="3" fillId="13" borderId="56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47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27" borderId="16" xfId="0" applyFont="1" applyFill="1" applyBorder="1" applyAlignment="1">
      <alignment horizontal="left" vertical="center"/>
    </xf>
    <xf numFmtId="0" fontId="3" fillId="27" borderId="56" xfId="0" applyFont="1" applyFill="1" applyBorder="1" applyAlignment="1">
      <alignment horizontal="left" vertical="center"/>
    </xf>
    <xf numFmtId="0" fontId="30" fillId="0" borderId="21" xfId="0" applyFont="1" applyBorder="1" applyAlignment="1">
      <alignment horizontal="left" vertical="center"/>
    </xf>
    <xf numFmtId="0" fontId="30" fillId="0" borderId="15" xfId="0" applyFont="1" applyBorder="1" applyAlignment="1">
      <alignment horizontal="left" vertical="center"/>
    </xf>
    <xf numFmtId="0" fontId="30" fillId="0" borderId="22" xfId="0" applyFont="1" applyBorder="1" applyAlignment="1">
      <alignment horizontal="left" vertical="center"/>
    </xf>
    <xf numFmtId="181" fontId="3" fillId="0" borderId="15" xfId="0" applyNumberFormat="1" applyFont="1" applyBorder="1" applyAlignment="1">
      <alignment horizontal="center" vertical="center"/>
    </xf>
    <xf numFmtId="181" fontId="3" fillId="0" borderId="52" xfId="0" applyNumberFormat="1" applyFont="1" applyBorder="1" applyAlignment="1">
      <alignment horizontal="center" vertical="center"/>
    </xf>
    <xf numFmtId="181" fontId="3" fillId="0" borderId="32" xfId="0" applyNumberFormat="1" applyFont="1" applyBorder="1" applyAlignment="1">
      <alignment horizontal="center" vertical="center"/>
    </xf>
    <xf numFmtId="181" fontId="3" fillId="0" borderId="43" xfId="0" applyNumberFormat="1" applyFont="1" applyBorder="1" applyAlignment="1">
      <alignment horizontal="center" vertical="center"/>
    </xf>
    <xf numFmtId="0" fontId="12" fillId="16" borderId="17" xfId="0" applyFont="1" applyFill="1" applyBorder="1" applyAlignment="1">
      <alignment horizontal="center" vertical="center"/>
    </xf>
    <xf numFmtId="0" fontId="12" fillId="16" borderId="15" xfId="0" applyFont="1" applyFill="1" applyBorder="1" applyAlignment="1">
      <alignment horizontal="center" vertical="center"/>
    </xf>
    <xf numFmtId="0" fontId="12" fillId="16" borderId="22" xfId="0" applyFont="1" applyFill="1" applyBorder="1" applyAlignment="1">
      <alignment horizontal="center" vertical="center"/>
    </xf>
    <xf numFmtId="177" fontId="12" fillId="16" borderId="39" xfId="1" applyFont="1" applyFill="1" applyBorder="1" applyAlignment="1">
      <alignment vertical="center"/>
    </xf>
    <xf numFmtId="177" fontId="12" fillId="16" borderId="41" xfId="1" applyFont="1" applyFill="1" applyBorder="1" applyAlignment="1">
      <alignment vertical="center"/>
    </xf>
    <xf numFmtId="0" fontId="12" fillId="16" borderId="39" xfId="0" applyFont="1" applyFill="1" applyBorder="1" applyAlignment="1">
      <alignment horizontal="center" vertical="center"/>
    </xf>
    <xf numFmtId="0" fontId="12" fillId="16" borderId="49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77" fontId="6" fillId="0" borderId="39" xfId="1" applyFont="1" applyFill="1" applyBorder="1" applyAlignment="1">
      <alignment vertical="center"/>
    </xf>
    <xf numFmtId="177" fontId="6" fillId="0" borderId="41" xfId="1" applyFont="1" applyFill="1" applyBorder="1" applyAlignment="1">
      <alignment vertical="center"/>
    </xf>
    <xf numFmtId="0" fontId="6" fillId="0" borderId="39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177" fontId="6" fillId="0" borderId="18" xfId="1" applyFont="1" applyFill="1" applyBorder="1" applyAlignment="1">
      <alignment vertical="center"/>
    </xf>
    <xf numFmtId="177" fontId="6" fillId="0" borderId="19" xfId="1" applyFont="1" applyFill="1" applyBorder="1" applyAlignment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177" fontId="6" fillId="0" borderId="40" xfId="1" applyFont="1" applyFill="1" applyBorder="1" applyAlignment="1">
      <alignment vertical="center"/>
    </xf>
    <xf numFmtId="177" fontId="6" fillId="0" borderId="45" xfId="1" applyFont="1" applyFill="1" applyBorder="1" applyAlignment="1">
      <alignment vertical="center"/>
    </xf>
    <xf numFmtId="0" fontId="6" fillId="0" borderId="40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3" fillId="0" borderId="56" xfId="0" applyFont="1" applyBorder="1" applyAlignment="1">
      <alignment horizontal="left" vertical="center"/>
    </xf>
    <xf numFmtId="177" fontId="8" fillId="0" borderId="1" xfId="1" applyFont="1" applyBorder="1" applyAlignment="1">
      <alignment horizontal="center" vertical="center"/>
    </xf>
    <xf numFmtId="177" fontId="8" fillId="0" borderId="2" xfId="1" applyFont="1" applyBorder="1" applyAlignment="1">
      <alignment horizontal="center" vertical="center"/>
    </xf>
    <xf numFmtId="177" fontId="8" fillId="0" borderId="3" xfId="1" applyFont="1" applyBorder="1" applyAlignment="1">
      <alignment horizontal="center" vertical="center"/>
    </xf>
    <xf numFmtId="177" fontId="8" fillId="0" borderId="4" xfId="1" applyFont="1" applyBorder="1" applyAlignment="1">
      <alignment horizontal="center" vertical="center"/>
    </xf>
    <xf numFmtId="177" fontId="8" fillId="0" borderId="0" xfId="1" applyFont="1" applyBorder="1" applyAlignment="1">
      <alignment horizontal="center" vertical="center"/>
    </xf>
    <xf numFmtId="177" fontId="8" fillId="0" borderId="5" xfId="1" applyFont="1" applyBorder="1" applyAlignment="1">
      <alignment horizontal="center" vertical="center"/>
    </xf>
    <xf numFmtId="177" fontId="8" fillId="0" borderId="6" xfId="1" applyFont="1" applyBorder="1" applyAlignment="1">
      <alignment horizontal="center" vertical="center"/>
    </xf>
    <xf numFmtId="177" fontId="8" fillId="0" borderId="7" xfId="1" applyFont="1" applyBorder="1" applyAlignment="1">
      <alignment horizontal="center" vertical="center"/>
    </xf>
    <xf numFmtId="177" fontId="8" fillId="0" borderId="8" xfId="1" applyFont="1" applyBorder="1" applyAlignment="1">
      <alignment horizontal="center" vertical="center"/>
    </xf>
    <xf numFmtId="0" fontId="3" fillId="19" borderId="16" xfId="0" applyFont="1" applyFill="1" applyBorder="1" applyAlignment="1">
      <alignment horizontal="left" vertical="center"/>
    </xf>
    <xf numFmtId="0" fontId="3" fillId="19" borderId="17" xfId="0" applyFont="1" applyFill="1" applyBorder="1" applyAlignment="1">
      <alignment horizontal="left" vertical="center"/>
    </xf>
    <xf numFmtId="0" fontId="8" fillId="0" borderId="26" xfId="0" applyFont="1" applyBorder="1" applyAlignment="1">
      <alignment horizontal="center" vertical="center" wrapText="1"/>
    </xf>
    <xf numFmtId="0" fontId="8" fillId="0" borderId="64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185" fontId="3" fillId="0" borderId="75" xfId="0" applyNumberFormat="1" applyFont="1" applyBorder="1" applyAlignment="1">
      <alignment horizontal="center" vertical="center"/>
    </xf>
    <xf numFmtId="185" fontId="3" fillId="0" borderId="76" xfId="0" applyNumberFormat="1" applyFont="1" applyBorder="1" applyAlignment="1">
      <alignment horizontal="center" vertical="center"/>
    </xf>
    <xf numFmtId="0" fontId="3" fillId="3" borderId="75" xfId="0" applyFont="1" applyFill="1" applyBorder="1" applyAlignment="1">
      <alignment horizontal="left" vertical="center"/>
    </xf>
    <xf numFmtId="0" fontId="3" fillId="3" borderId="76" xfId="0" applyFont="1" applyFill="1" applyBorder="1" applyAlignment="1">
      <alignment horizontal="left" vertical="center"/>
    </xf>
    <xf numFmtId="185" fontId="3" fillId="0" borderId="16" xfId="0" applyNumberFormat="1" applyFont="1" applyBorder="1" applyAlignment="1">
      <alignment horizontal="center" vertical="center"/>
    </xf>
    <xf numFmtId="185" fontId="3" fillId="0" borderId="17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185" fontId="3" fillId="0" borderId="63" xfId="0" applyNumberFormat="1" applyFont="1" applyBorder="1" applyAlignment="1">
      <alignment horizontal="center" vertical="center"/>
    </xf>
    <xf numFmtId="185" fontId="3" fillId="0" borderId="38" xfId="0" applyNumberFormat="1" applyFont="1" applyBorder="1" applyAlignment="1">
      <alignment horizontal="center" vertical="center"/>
    </xf>
    <xf numFmtId="0" fontId="3" fillId="0" borderId="63" xfId="0" applyFont="1" applyBorder="1" applyAlignment="1">
      <alignment horizontal="left" vertical="center"/>
    </xf>
    <xf numFmtId="0" fontId="2" fillId="0" borderId="61" xfId="0" applyFont="1" applyBorder="1" applyAlignment="1">
      <alignment horizontal="left" vertical="center"/>
    </xf>
    <xf numFmtId="0" fontId="2" fillId="0" borderId="56" xfId="0" applyFont="1" applyBorder="1" applyAlignment="1">
      <alignment horizontal="left" vertical="center"/>
    </xf>
    <xf numFmtId="0" fontId="2" fillId="0" borderId="73" xfId="0" applyFont="1" applyBorder="1" applyAlignment="1">
      <alignment horizontal="left" vertical="center"/>
    </xf>
    <xf numFmtId="0" fontId="8" fillId="0" borderId="50" xfId="0" applyFont="1" applyBorder="1" applyAlignment="1">
      <alignment horizontal="left" vertical="center"/>
    </xf>
    <xf numFmtId="0" fontId="8" fillId="0" borderId="44" xfId="0" applyFont="1" applyBorder="1" applyAlignment="1">
      <alignment horizontal="left" vertical="center"/>
    </xf>
    <xf numFmtId="0" fontId="8" fillId="0" borderId="51" xfId="0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1" fillId="11" borderId="24" xfId="0" applyFont="1" applyFill="1" applyBorder="1" applyAlignment="1">
      <alignment horizontal="center" vertical="center"/>
    </xf>
    <xf numFmtId="177" fontId="3" fillId="0" borderId="63" xfId="1" applyFont="1" applyBorder="1" applyAlignment="1">
      <alignment horizontal="center" vertical="center"/>
    </xf>
    <xf numFmtId="0" fontId="20" fillId="3" borderId="24" xfId="0" applyFont="1" applyFill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49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77" fontId="3" fillId="3" borderId="23" xfId="1" applyFont="1" applyFill="1" applyBorder="1" applyAlignment="1">
      <alignment horizontal="center" vertical="center"/>
    </xf>
    <xf numFmtId="177" fontId="3" fillId="3" borderId="31" xfId="1" applyFont="1" applyFill="1" applyBorder="1" applyAlignment="1">
      <alignment horizontal="center" vertical="center"/>
    </xf>
    <xf numFmtId="177" fontId="3" fillId="3" borderId="35" xfId="1" applyFont="1" applyFill="1" applyBorder="1" applyAlignment="1">
      <alignment horizontal="center" vertical="center"/>
    </xf>
    <xf numFmtId="177" fontId="30" fillId="3" borderId="21" xfId="1" applyFont="1" applyFill="1" applyBorder="1" applyAlignment="1">
      <alignment horizontal="center" vertical="center"/>
    </xf>
    <xf numFmtId="177" fontId="30" fillId="3" borderId="15" xfId="1" applyFont="1" applyFill="1" applyBorder="1" applyAlignment="1">
      <alignment horizontal="center" vertical="center"/>
    </xf>
    <xf numFmtId="177" fontId="30" fillId="3" borderId="16" xfId="1" applyFont="1" applyFill="1" applyBorder="1" applyAlignment="1">
      <alignment horizontal="center" vertical="center"/>
    </xf>
    <xf numFmtId="177" fontId="8" fillId="0" borderId="1" xfId="1" applyFont="1" applyFill="1" applyBorder="1" applyAlignment="1">
      <alignment horizontal="center" vertical="center"/>
    </xf>
    <xf numFmtId="177" fontId="8" fillId="0" borderId="2" xfId="1" applyFont="1" applyFill="1" applyBorder="1" applyAlignment="1">
      <alignment horizontal="center" vertical="center"/>
    </xf>
    <xf numFmtId="177" fontId="8" fillId="0" borderId="3" xfId="1" applyFont="1" applyFill="1" applyBorder="1" applyAlignment="1">
      <alignment horizontal="center" vertical="center"/>
    </xf>
    <xf numFmtId="177" fontId="8" fillId="0" borderId="4" xfId="1" applyFont="1" applyFill="1" applyBorder="1" applyAlignment="1">
      <alignment horizontal="center" vertical="center"/>
    </xf>
    <xf numFmtId="177" fontId="8" fillId="0" borderId="0" xfId="1" applyFont="1" applyFill="1" applyBorder="1" applyAlignment="1">
      <alignment horizontal="center" vertical="center"/>
    </xf>
    <xf numFmtId="177" fontId="8" fillId="0" borderId="5" xfId="1" applyFont="1" applyFill="1" applyBorder="1" applyAlignment="1">
      <alignment horizontal="center" vertical="center"/>
    </xf>
    <xf numFmtId="177" fontId="8" fillId="0" borderId="6" xfId="1" applyFont="1" applyFill="1" applyBorder="1" applyAlignment="1">
      <alignment horizontal="center" vertical="center"/>
    </xf>
    <xf numFmtId="177" fontId="8" fillId="0" borderId="7" xfId="1" applyFont="1" applyFill="1" applyBorder="1" applyAlignment="1">
      <alignment horizontal="center" vertical="center"/>
    </xf>
    <xf numFmtId="177" fontId="8" fillId="0" borderId="8" xfId="1" applyFont="1" applyFill="1" applyBorder="1" applyAlignment="1">
      <alignment horizontal="center" vertical="center"/>
    </xf>
    <xf numFmtId="0" fontId="46" fillId="0" borderId="18" xfId="5" applyFont="1" applyBorder="1" applyAlignment="1">
      <alignment horizontal="center" vertical="center"/>
    </xf>
    <xf numFmtId="0" fontId="46" fillId="0" borderId="19" xfId="5" applyFont="1" applyBorder="1" applyAlignment="1">
      <alignment horizontal="center" vertical="center"/>
    </xf>
    <xf numFmtId="0" fontId="46" fillId="0" borderId="20" xfId="5" applyFont="1" applyBorder="1" applyAlignment="1">
      <alignment horizontal="center" vertical="center"/>
    </xf>
    <xf numFmtId="0" fontId="43" fillId="0" borderId="1" xfId="5" applyFont="1" applyBorder="1">
      <alignment vertical="center"/>
    </xf>
    <xf numFmtId="177" fontId="43" fillId="0" borderId="37" xfId="6" applyFont="1" applyBorder="1" applyAlignment="1">
      <alignment horizontal="center" vertical="center"/>
    </xf>
    <xf numFmtId="0" fontId="43" fillId="3" borderId="35" xfId="5" applyFont="1" applyFill="1" applyBorder="1" applyAlignment="1">
      <alignment horizontal="center" vertical="center"/>
    </xf>
    <xf numFmtId="0" fontId="43" fillId="3" borderId="37" xfId="5" applyFont="1" applyFill="1" applyBorder="1" applyAlignment="1">
      <alignment horizontal="center" vertical="center"/>
    </xf>
    <xf numFmtId="0" fontId="43" fillId="0" borderId="35" xfId="5" applyFont="1" applyBorder="1" applyAlignment="1">
      <alignment horizontal="center" vertical="center"/>
    </xf>
    <xf numFmtId="0" fontId="43" fillId="0" borderId="19" xfId="5" applyFont="1" applyBorder="1" applyAlignment="1">
      <alignment horizontal="center" vertical="center"/>
    </xf>
    <xf numFmtId="0" fontId="43" fillId="0" borderId="37" xfId="5" applyFont="1" applyBorder="1" applyAlignment="1">
      <alignment horizontal="center" vertical="center"/>
    </xf>
    <xf numFmtId="0" fontId="46" fillId="26" borderId="40" xfId="5" applyFont="1" applyFill="1" applyBorder="1" applyAlignment="1">
      <alignment horizontal="center" vertical="center"/>
    </xf>
    <xf numFmtId="0" fontId="46" fillId="26" borderId="45" xfId="5" applyFont="1" applyFill="1" applyBorder="1" applyAlignment="1">
      <alignment horizontal="center" vertical="center"/>
    </xf>
    <xf numFmtId="0" fontId="46" fillId="26" borderId="55" xfId="5" applyFont="1" applyFill="1" applyBorder="1" applyAlignment="1">
      <alignment horizontal="center" vertical="center"/>
    </xf>
    <xf numFmtId="177" fontId="43" fillId="0" borderId="40" xfId="6" applyFont="1" applyBorder="1" applyAlignment="1">
      <alignment horizontal="center" vertical="center"/>
    </xf>
    <xf numFmtId="177" fontId="43" fillId="0" borderId="45" xfId="6" applyFont="1" applyBorder="1" applyAlignment="1">
      <alignment horizontal="center" vertical="center"/>
    </xf>
    <xf numFmtId="177" fontId="43" fillId="0" borderId="38" xfId="6" applyFont="1" applyBorder="1" applyAlignment="1">
      <alignment horizontal="center" vertical="center"/>
    </xf>
    <xf numFmtId="0" fontId="50" fillId="3" borderId="63" xfId="5" applyFont="1" applyFill="1" applyBorder="1" applyAlignment="1">
      <alignment horizontal="center" vertical="center"/>
    </xf>
    <xf numFmtId="0" fontId="50" fillId="3" borderId="45" xfId="5" applyFont="1" applyFill="1" applyBorder="1" applyAlignment="1">
      <alignment horizontal="center" vertical="center"/>
    </xf>
    <xf numFmtId="0" fontId="50" fillId="3" borderId="38" xfId="5" applyFont="1" applyFill="1" applyBorder="1" applyAlignment="1">
      <alignment horizontal="center" vertical="center"/>
    </xf>
    <xf numFmtId="0" fontId="46" fillId="25" borderId="21" xfId="5" applyFont="1" applyFill="1" applyBorder="1" applyAlignment="1">
      <alignment horizontal="left" vertical="center"/>
    </xf>
    <xf numFmtId="0" fontId="46" fillId="25" borderId="15" xfId="5" applyFont="1" applyFill="1" applyBorder="1" applyAlignment="1">
      <alignment horizontal="left" vertical="center"/>
    </xf>
    <xf numFmtId="0" fontId="46" fillId="25" borderId="22" xfId="5" applyFont="1" applyFill="1" applyBorder="1" applyAlignment="1">
      <alignment horizontal="left" vertical="center"/>
    </xf>
    <xf numFmtId="0" fontId="43" fillId="24" borderId="21" xfId="5" applyFont="1" applyFill="1" applyBorder="1" applyAlignment="1">
      <alignment horizontal="left" vertical="center"/>
    </xf>
    <xf numFmtId="0" fontId="46" fillId="24" borderId="15" xfId="5" applyFont="1" applyFill="1" applyBorder="1" applyAlignment="1">
      <alignment horizontal="left" vertical="center"/>
    </xf>
    <xf numFmtId="0" fontId="46" fillId="24" borderId="22" xfId="5" applyFont="1" applyFill="1" applyBorder="1" applyAlignment="1">
      <alignment horizontal="left" vertical="center"/>
    </xf>
    <xf numFmtId="0" fontId="52" fillId="21" borderId="21" xfId="5" applyFont="1" applyFill="1" applyBorder="1" applyAlignment="1">
      <alignment horizontal="left" vertical="center"/>
    </xf>
    <xf numFmtId="0" fontId="52" fillId="21" borderId="15" xfId="5" applyFont="1" applyFill="1" applyBorder="1" applyAlignment="1">
      <alignment horizontal="left" vertical="center"/>
    </xf>
    <xf numFmtId="0" fontId="52" fillId="21" borderId="22" xfId="5" applyFont="1" applyFill="1" applyBorder="1" applyAlignment="1">
      <alignment horizontal="left" vertical="center"/>
    </xf>
    <xf numFmtId="0" fontId="43" fillId="0" borderId="24" xfId="5" applyFont="1" applyBorder="1" applyAlignment="1">
      <alignment horizontal="left" vertical="center"/>
    </xf>
    <xf numFmtId="0" fontId="43" fillId="0" borderId="32" xfId="5" applyFont="1" applyBorder="1" applyAlignment="1">
      <alignment horizontal="left" vertical="center"/>
    </xf>
    <xf numFmtId="0" fontId="43" fillId="0" borderId="47" xfId="5" applyFont="1" applyBorder="1" applyAlignment="1">
      <alignment horizontal="left" vertical="center"/>
    </xf>
    <xf numFmtId="0" fontId="43" fillId="0" borderId="12" xfId="5" applyFont="1" applyBorder="1" applyAlignment="1">
      <alignment horizontal="center" vertical="center"/>
    </xf>
    <xf numFmtId="0" fontId="43" fillId="0" borderId="13" xfId="5" applyFont="1" applyBorder="1" applyAlignment="1">
      <alignment horizontal="center" vertical="center"/>
    </xf>
    <xf numFmtId="0" fontId="43" fillId="0" borderId="1" xfId="5" applyFont="1" applyBorder="1" applyAlignment="1">
      <alignment horizontal="center" vertical="center"/>
    </xf>
    <xf numFmtId="0" fontId="43" fillId="0" borderId="4" xfId="5" applyFont="1" applyBorder="1" applyAlignment="1">
      <alignment horizontal="center" vertical="center"/>
    </xf>
    <xf numFmtId="0" fontId="43" fillId="0" borderId="6" xfId="5" applyFont="1" applyBorder="1" applyAlignment="1">
      <alignment horizontal="center" vertical="center"/>
    </xf>
    <xf numFmtId="0" fontId="43" fillId="0" borderId="23" xfId="5" applyFont="1" applyBorder="1" applyAlignment="1">
      <alignment horizontal="left" vertical="center"/>
    </xf>
    <xf numFmtId="0" fontId="43" fillId="0" borderId="31" xfId="5" applyFont="1" applyBorder="1" applyAlignment="1">
      <alignment horizontal="left" vertical="center"/>
    </xf>
    <xf numFmtId="0" fontId="43" fillId="0" borderId="46" xfId="5" applyFont="1" applyBorder="1" applyAlignment="1">
      <alignment horizontal="left" vertical="center"/>
    </xf>
    <xf numFmtId="0" fontId="43" fillId="0" borderId="14" xfId="5" applyFont="1" applyBorder="1" applyAlignment="1">
      <alignment horizontal="center" vertical="center"/>
    </xf>
    <xf numFmtId="0" fontId="8" fillId="0" borderId="21" xfId="5" applyFont="1" applyBorder="1" applyAlignment="1">
      <alignment horizontal="left" vertical="center"/>
    </xf>
    <xf numFmtId="0" fontId="8" fillId="0" borderId="15" xfId="5" applyFont="1" applyBorder="1" applyAlignment="1">
      <alignment horizontal="left" vertical="center"/>
    </xf>
    <xf numFmtId="0" fontId="8" fillId="0" borderId="22" xfId="5" applyFont="1" applyBorder="1" applyAlignment="1">
      <alignment horizontal="left" vertical="center"/>
    </xf>
    <xf numFmtId="0" fontId="46" fillId="0" borderId="2" xfId="5" applyFont="1" applyBorder="1" applyAlignment="1">
      <alignment horizontal="center" vertical="center"/>
    </xf>
    <xf numFmtId="0" fontId="43" fillId="0" borderId="23" xfId="5" applyFont="1" applyBorder="1" applyAlignment="1">
      <alignment horizontal="center" vertical="center"/>
    </xf>
    <xf numFmtId="0" fontId="43" fillId="0" borderId="46" xfId="5" applyFont="1" applyBorder="1" applyAlignment="1">
      <alignment horizontal="center" vertical="center"/>
    </xf>
    <xf numFmtId="0" fontId="50" fillId="0" borderId="20" xfId="5" applyFont="1" applyBorder="1" applyAlignment="1">
      <alignment horizontal="center" vertical="center"/>
    </xf>
    <xf numFmtId="0" fontId="50" fillId="0" borderId="54" xfId="5" applyFont="1" applyBorder="1" applyAlignment="1">
      <alignment horizontal="center" vertical="center"/>
    </xf>
    <xf numFmtId="0" fontId="43" fillId="0" borderId="18" xfId="5" applyFont="1" applyBorder="1" applyAlignment="1">
      <alignment horizontal="left" vertical="center"/>
    </xf>
    <xf numFmtId="0" fontId="43" fillId="0" borderId="37" xfId="5" applyFont="1" applyBorder="1" applyAlignment="1">
      <alignment horizontal="left" vertical="center"/>
    </xf>
    <xf numFmtId="0" fontId="43" fillId="0" borderId="21" xfId="5" applyFont="1" applyBorder="1" applyAlignment="1">
      <alignment horizontal="left" vertical="center"/>
    </xf>
    <xf numFmtId="0" fontId="43" fillId="0" borderId="15" xfId="5" applyFont="1" applyBorder="1" applyAlignment="1">
      <alignment horizontal="left" vertical="center"/>
    </xf>
    <xf numFmtId="0" fontId="43" fillId="0" borderId="22" xfId="5" applyFont="1" applyBorder="1" applyAlignment="1">
      <alignment horizontal="left" vertical="center"/>
    </xf>
    <xf numFmtId="0" fontId="43" fillId="0" borderId="0" xfId="5" applyFont="1">
      <alignment vertical="center"/>
    </xf>
    <xf numFmtId="0" fontId="43" fillId="0" borderId="21" xfId="5" applyFont="1" applyBorder="1" applyAlignment="1">
      <alignment horizontal="center" vertical="center"/>
    </xf>
    <xf numFmtId="0" fontId="43" fillId="0" borderId="24" xfId="5" applyFont="1" applyBorder="1" applyAlignment="1">
      <alignment horizontal="center" vertical="center"/>
    </xf>
    <xf numFmtId="0" fontId="43" fillId="0" borderId="31" xfId="5" applyFont="1" applyBorder="1" applyAlignment="1">
      <alignment horizontal="center" vertical="center"/>
    </xf>
    <xf numFmtId="186" fontId="43" fillId="0" borderId="15" xfId="5" applyNumberFormat="1" applyFont="1" applyBorder="1" applyAlignment="1">
      <alignment horizontal="center" vertical="center"/>
    </xf>
    <xf numFmtId="186" fontId="43" fillId="0" borderId="52" xfId="5" applyNumberFormat="1" applyFont="1" applyBorder="1" applyAlignment="1">
      <alignment horizontal="center" vertical="center"/>
    </xf>
    <xf numFmtId="0" fontId="43" fillId="3" borderId="16" xfId="5" applyFont="1" applyFill="1" applyBorder="1" applyAlignment="1">
      <alignment horizontal="left" vertical="center"/>
    </xf>
    <xf numFmtId="0" fontId="43" fillId="3" borderId="56" xfId="5" applyFont="1" applyFill="1" applyBorder="1" applyAlignment="1">
      <alignment horizontal="left" vertical="center"/>
    </xf>
    <xf numFmtId="177" fontId="46" fillId="0" borderId="51" xfId="6" applyFont="1" applyBorder="1" applyAlignment="1">
      <alignment horizontal="left" vertical="center"/>
    </xf>
    <xf numFmtId="177" fontId="46" fillId="0" borderId="58" xfId="6" applyFont="1" applyBorder="1" applyAlignment="1">
      <alignment horizontal="left" vertical="center"/>
    </xf>
    <xf numFmtId="177" fontId="46" fillId="0" borderId="59" xfId="6" applyFont="1" applyBorder="1" applyAlignment="1">
      <alignment horizontal="left" vertical="center"/>
    </xf>
    <xf numFmtId="0" fontId="43" fillId="0" borderId="15" xfId="5" applyFont="1" applyBorder="1" applyAlignment="1">
      <alignment horizontal="center" vertical="center"/>
    </xf>
    <xf numFmtId="0" fontId="43" fillId="0" borderId="22" xfId="5" applyFont="1" applyBorder="1" applyAlignment="1">
      <alignment horizontal="center" vertical="center"/>
    </xf>
    <xf numFmtId="0" fontId="49" fillId="0" borderId="32" xfId="5" applyFont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3" fillId="4" borderId="63" xfId="0" applyFont="1" applyFill="1" applyBorder="1" applyAlignment="1">
      <alignment horizontal="center" vertical="center"/>
    </xf>
    <xf numFmtId="0" fontId="3" fillId="16" borderId="79" xfId="0" applyFont="1" applyFill="1" applyBorder="1" applyAlignment="1">
      <alignment horizontal="center" vertical="center"/>
    </xf>
    <xf numFmtId="0" fontId="3" fillId="0" borderId="80" xfId="0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3" fillId="4" borderId="81" xfId="0" applyFont="1" applyFill="1" applyBorder="1" applyAlignment="1">
      <alignment horizontal="center" vertical="center"/>
    </xf>
    <xf numFmtId="0" fontId="3" fillId="4" borderId="78" xfId="0" applyFont="1" applyFill="1" applyBorder="1" applyAlignment="1">
      <alignment horizontal="center" vertical="center"/>
    </xf>
    <xf numFmtId="0" fontId="3" fillId="16" borderId="78" xfId="0" applyFont="1" applyFill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0" fontId="3" fillId="0" borderId="80" xfId="0" applyFont="1" applyBorder="1" applyAlignment="1" applyProtection="1">
      <alignment horizontal="center" vertical="center" wrapText="1"/>
      <protection locked="0"/>
    </xf>
    <xf numFmtId="0" fontId="3" fillId="4" borderId="78" xfId="0" applyFont="1" applyFill="1" applyBorder="1" applyAlignment="1" applyProtection="1">
      <alignment horizontal="center" vertical="center" wrapText="1"/>
      <protection locked="0"/>
    </xf>
    <xf numFmtId="0" fontId="3" fillId="4" borderId="0" xfId="0" applyFont="1" applyFill="1" applyBorder="1" applyAlignment="1" applyProtection="1">
      <alignment horizontal="center" vertical="center" wrapText="1"/>
      <protection locked="0"/>
    </xf>
    <xf numFmtId="0" fontId="3" fillId="5" borderId="78" xfId="0" applyFont="1" applyFill="1" applyBorder="1" applyAlignment="1" applyProtection="1">
      <alignment horizontal="center" vertical="center" wrapText="1"/>
      <protection locked="0"/>
    </xf>
    <xf numFmtId="0" fontId="3" fillId="5" borderId="0" xfId="0" applyFont="1" applyFill="1" applyBorder="1" applyAlignment="1" applyProtection="1">
      <alignment horizontal="center" vertical="center" wrapText="1"/>
      <protection locked="0"/>
    </xf>
    <xf numFmtId="0" fontId="3" fillId="0" borderId="81" xfId="0" applyFont="1" applyBorder="1" applyAlignment="1" applyProtection="1">
      <alignment horizontal="center" vertical="center" wrapText="1"/>
      <protection locked="0"/>
    </xf>
    <xf numFmtId="0" fontId="3" fillId="0" borderId="80" xfId="0" applyFont="1" applyBorder="1" applyAlignment="1">
      <alignment horizontal="center" vertical="center"/>
    </xf>
    <xf numFmtId="0" fontId="3" fillId="3" borderId="78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45" xfId="0" applyFont="1" applyFill="1" applyBorder="1" applyAlignment="1">
      <alignment horizontal="center" vertical="center"/>
    </xf>
    <xf numFmtId="190" fontId="3" fillId="0" borderId="2" xfId="0" applyNumberFormat="1" applyFont="1" applyBorder="1" applyAlignment="1" applyProtection="1">
      <alignment horizontal="center" vertical="center" wrapText="1"/>
      <protection locked="0"/>
    </xf>
    <xf numFmtId="190" fontId="3" fillId="4" borderId="0" xfId="0" applyNumberFormat="1" applyFont="1" applyFill="1" applyAlignment="1" applyProtection="1">
      <alignment horizontal="center" vertical="center" wrapText="1"/>
      <protection locked="0"/>
    </xf>
    <xf numFmtId="190" fontId="3" fillId="5" borderId="0" xfId="0" applyNumberFormat="1" applyFont="1" applyFill="1" applyAlignment="1" applyProtection="1">
      <alignment horizontal="center" vertical="center" wrapText="1"/>
      <protection locked="0"/>
    </xf>
    <xf numFmtId="190" fontId="3" fillId="0" borderId="7" xfId="0" applyNumberFormat="1" applyFont="1" applyBorder="1" applyAlignment="1" applyProtection="1">
      <alignment horizontal="center" vertical="center" wrapText="1"/>
      <protection locked="0"/>
    </xf>
    <xf numFmtId="190" fontId="2" fillId="0" borderId="2" xfId="0" applyNumberFormat="1" applyFont="1" applyBorder="1" applyAlignment="1">
      <alignment horizontal="center" vertical="center"/>
    </xf>
    <xf numFmtId="190" fontId="2" fillId="3" borderId="0" xfId="0" applyNumberFormat="1" applyFont="1" applyFill="1" applyBorder="1" applyAlignment="1">
      <alignment horizontal="center" vertical="center"/>
    </xf>
    <xf numFmtId="190" fontId="2" fillId="0" borderId="7" xfId="0" applyNumberFormat="1" applyFont="1" applyBorder="1" applyAlignment="1">
      <alignment horizontal="center" vertical="center"/>
    </xf>
    <xf numFmtId="0" fontId="24" fillId="0" borderId="2" xfId="2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11" fillId="0" borderId="82" xfId="0" applyFont="1" applyBorder="1" applyAlignment="1">
      <alignment horizontal="left" vertical="center" wrapText="1"/>
    </xf>
    <xf numFmtId="0" fontId="26" fillId="4" borderId="0" xfId="2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11" fillId="0" borderId="83" xfId="0" applyFont="1" applyBorder="1" applyAlignment="1">
      <alignment horizontal="left" vertical="center" wrapText="1"/>
    </xf>
    <xf numFmtId="0" fontId="26" fillId="5" borderId="0" xfId="2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11" fillId="0" borderId="84" xfId="0" applyFont="1" applyBorder="1" applyAlignment="1">
      <alignment horizontal="left" vertical="center" wrapText="1"/>
    </xf>
    <xf numFmtId="0" fontId="24" fillId="0" borderId="2" xfId="2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20" fillId="0" borderId="82" xfId="0" applyFont="1" applyBorder="1" applyAlignment="1">
      <alignment horizontal="left" vertical="center" wrapText="1"/>
    </xf>
    <xf numFmtId="0" fontId="24" fillId="3" borderId="0" xfId="2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20" fillId="0" borderId="8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20" fillId="0" borderId="84" xfId="0" applyFont="1" applyBorder="1" applyAlignment="1">
      <alignment horizontal="left" vertical="center"/>
    </xf>
    <xf numFmtId="0" fontId="24" fillId="0" borderId="0" xfId="2" applyFont="1" applyFill="1" applyBorder="1" applyAlignment="1">
      <alignment horizontal="left" vertical="center"/>
    </xf>
    <xf numFmtId="0" fontId="12" fillId="0" borderId="83" xfId="0" applyFont="1" applyBorder="1" applyAlignment="1">
      <alignment horizontal="left" vertical="center" wrapText="1"/>
    </xf>
    <xf numFmtId="0" fontId="25" fillId="0" borderId="83" xfId="0" applyFont="1" applyBorder="1" applyAlignment="1">
      <alignment horizontal="left" vertical="center" wrapText="1"/>
    </xf>
    <xf numFmtId="0" fontId="25" fillId="0" borderId="84" xfId="0" applyFont="1" applyBorder="1" applyAlignment="1">
      <alignment horizontal="left" vertical="center" wrapText="1"/>
    </xf>
    <xf numFmtId="0" fontId="19" fillId="0" borderId="82" xfId="0" applyFont="1" applyBorder="1" applyAlignment="1">
      <alignment horizontal="left" vertical="center"/>
    </xf>
    <xf numFmtId="0" fontId="19" fillId="0" borderId="84" xfId="0" applyFont="1" applyBorder="1" applyAlignment="1">
      <alignment horizontal="left" vertical="center"/>
    </xf>
    <xf numFmtId="0" fontId="16" fillId="0" borderId="82" xfId="0" applyFont="1" applyBorder="1" applyAlignment="1">
      <alignment horizontal="left" vertical="center"/>
    </xf>
    <xf numFmtId="0" fontId="53" fillId="0" borderId="84" xfId="0" applyFont="1" applyBorder="1" applyAlignment="1">
      <alignment horizontal="left" vertical="center"/>
    </xf>
    <xf numFmtId="0" fontId="16" fillId="0" borderId="82" xfId="0" applyFont="1" applyBorder="1" applyAlignment="1">
      <alignment horizontal="left" vertical="center" wrapText="1"/>
    </xf>
    <xf numFmtId="0" fontId="16" fillId="0" borderId="83" xfId="0" applyFont="1" applyBorder="1" applyAlignment="1">
      <alignment horizontal="left" vertical="center"/>
    </xf>
    <xf numFmtId="0" fontId="19" fillId="0" borderId="83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3" fillId="15" borderId="0" xfId="0" applyFont="1" applyFill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0" fontId="24" fillId="0" borderId="2" xfId="2" applyFont="1" applyBorder="1" applyAlignment="1">
      <alignment horizontal="left" vertical="center"/>
    </xf>
    <xf numFmtId="0" fontId="22" fillId="0" borderId="2" xfId="2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26" fillId="16" borderId="10" xfId="2" applyFont="1" applyFill="1" applyBorder="1" applyAlignment="1">
      <alignment horizontal="left" vertical="center" wrapText="1"/>
    </xf>
    <xf numFmtId="0" fontId="3" fillId="16" borderId="10" xfId="0" applyFont="1" applyFill="1" applyBorder="1" applyAlignment="1">
      <alignment horizontal="left" vertical="center"/>
    </xf>
    <xf numFmtId="0" fontId="3" fillId="16" borderId="33" xfId="0" applyFont="1" applyFill="1" applyBorder="1" applyAlignment="1">
      <alignment horizontal="left" vertical="center"/>
    </xf>
    <xf numFmtId="0" fontId="20" fillId="16" borderId="33" xfId="0" applyFont="1" applyFill="1" applyBorder="1" applyAlignment="1">
      <alignment horizontal="left" vertical="center"/>
    </xf>
    <xf numFmtId="0" fontId="23" fillId="4" borderId="31" xfId="2" applyFont="1" applyFill="1" applyBorder="1" applyAlignment="1">
      <alignment horizontal="left" vertical="center"/>
    </xf>
    <xf numFmtId="0" fontId="3" fillId="4" borderId="23" xfId="0" applyFont="1" applyFill="1" applyBorder="1" applyAlignment="1">
      <alignment horizontal="left" vertical="center"/>
    </xf>
    <xf numFmtId="0" fontId="3" fillId="4" borderId="31" xfId="0" applyFont="1" applyFill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2" fillId="17" borderId="28" xfId="0" applyFont="1" applyFill="1" applyBorder="1" applyAlignment="1">
      <alignment horizontal="left" vertical="center" wrapText="1"/>
    </xf>
    <xf numFmtId="0" fontId="3" fillId="4" borderId="32" xfId="0" applyFont="1" applyFill="1" applyBorder="1" applyAlignment="1">
      <alignment horizontal="left" vertical="center"/>
    </xf>
    <xf numFmtId="0" fontId="3" fillId="4" borderId="24" xfId="0" applyFont="1" applyFill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2" fillId="17" borderId="30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left" vertical="center"/>
    </xf>
    <xf numFmtId="0" fontId="11" fillId="4" borderId="7" xfId="0" applyFont="1" applyFill="1" applyBorder="1" applyAlignment="1">
      <alignment horizontal="left" vertical="center"/>
    </xf>
    <xf numFmtId="0" fontId="24" fillId="0" borderId="0" xfId="2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24" fillId="4" borderId="2" xfId="2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11" fillId="0" borderId="12" xfId="0" applyFont="1" applyBorder="1" applyAlignment="1">
      <alignment horizontal="left" vertical="center" wrapText="1"/>
    </xf>
    <xf numFmtId="0" fontId="26" fillId="4" borderId="0" xfId="2" applyFont="1" applyFill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20" fillId="3" borderId="12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/>
    </xf>
    <xf numFmtId="0" fontId="20" fillId="3" borderId="13" xfId="0" applyFont="1" applyFill="1" applyBorder="1" applyAlignment="1">
      <alignment horizontal="left" vertical="center"/>
    </xf>
    <xf numFmtId="0" fontId="24" fillId="0" borderId="0" xfId="2" applyFont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19" fillId="16" borderId="14" xfId="0" applyFont="1" applyFill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4" fillId="0" borderId="0" xfId="2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54" fillId="2" borderId="0" xfId="0" applyFont="1" applyFill="1" applyAlignment="1">
      <alignment horizontal="center" vertical="center"/>
    </xf>
    <xf numFmtId="0" fontId="54" fillId="2" borderId="12" xfId="0" applyFont="1" applyFill="1" applyBorder="1" applyAlignment="1">
      <alignment horizontal="center" vertical="center"/>
    </xf>
    <xf numFmtId="0" fontId="54" fillId="2" borderId="0" xfId="0" applyFont="1" applyFill="1" applyAlignment="1" applyProtection="1">
      <alignment horizontal="center" vertical="center"/>
      <protection locked="0"/>
    </xf>
    <xf numFmtId="0" fontId="54" fillId="3" borderId="78" xfId="0" applyFont="1" applyFill="1" applyBorder="1" applyAlignment="1" applyProtection="1">
      <alignment horizontal="center" vertical="center"/>
      <protection locked="0"/>
    </xf>
    <xf numFmtId="0" fontId="54" fillId="3" borderId="0" xfId="0" applyFont="1" applyFill="1" applyBorder="1" applyAlignment="1" applyProtection="1">
      <alignment horizontal="center" vertical="center"/>
      <protection locked="0"/>
    </xf>
    <xf numFmtId="0" fontId="54" fillId="5" borderId="0" xfId="0" applyFont="1" applyFill="1" applyBorder="1" applyAlignment="1" applyProtection="1">
      <alignment horizontal="center" vertical="center"/>
      <protection locked="0"/>
    </xf>
    <xf numFmtId="0" fontId="54" fillId="8" borderId="0" xfId="0" applyFont="1" applyFill="1" applyAlignment="1" applyProtection="1">
      <alignment horizontal="center" vertical="center"/>
      <protection locked="0"/>
    </xf>
    <xf numFmtId="0" fontId="54" fillId="0" borderId="1" xfId="0" applyFont="1" applyBorder="1" applyAlignment="1" applyProtection="1">
      <alignment horizontal="center" vertical="center"/>
      <protection locked="0"/>
    </xf>
    <xf numFmtId="0" fontId="54" fillId="0" borderId="3" xfId="0" applyFont="1" applyBorder="1" applyAlignment="1" applyProtection="1">
      <alignment horizontal="center" vertical="center"/>
      <protection locked="0"/>
    </xf>
    <xf numFmtId="0" fontId="53" fillId="0" borderId="26" xfId="0" applyFont="1" applyBorder="1" applyAlignment="1">
      <alignment horizontal="center" vertical="center"/>
    </xf>
    <xf numFmtId="0" fontId="53" fillId="0" borderId="57" xfId="0" applyFont="1" applyBorder="1" applyAlignment="1">
      <alignment horizontal="center" vertical="center"/>
    </xf>
    <xf numFmtId="0" fontId="55" fillId="0" borderId="1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90" fontId="2" fillId="0" borderId="0" xfId="0" applyNumberFormat="1" applyFont="1" applyFill="1" applyBorder="1" applyAlignment="1">
      <alignment horizontal="center" vertical="center"/>
    </xf>
    <xf numFmtId="190" fontId="2" fillId="0" borderId="7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80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2" fillId="0" borderId="1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78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6" fillId="0" borderId="0" xfId="2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/>
    </xf>
    <xf numFmtId="0" fontId="26" fillId="0" borderId="7" xfId="2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190" fontId="2" fillId="0" borderId="85" xfId="0" applyNumberFormat="1" applyFont="1" applyFill="1" applyBorder="1" applyAlignment="1">
      <alignment horizontal="center" vertical="center"/>
    </xf>
  </cellXfs>
  <cellStyles count="7">
    <cellStyle name="쉼표 [0]" xfId="1" builtinId="6"/>
    <cellStyle name="쉼표 [0] 2" xfId="6" xr:uid="{70371A3A-9499-4BD1-8327-6C91EC0897F7}"/>
    <cellStyle name="표준" xfId="0" builtinId="0"/>
    <cellStyle name="표준 2" xfId="5" xr:uid="{6A1D2B9A-CC15-47CB-8856-49C7DEA281C9}"/>
    <cellStyle name="하이퍼링크" xfId="2" builtinId="8"/>
    <cellStyle name="하이퍼링크 2" xfId="4" xr:uid="{43DF1FC7-6948-4431-A03A-8FE72EAF972F}"/>
    <cellStyle name="Normal 2 2" xfId="3" xr:uid="{64332133-C2D2-4F31-A539-B6B7464B54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hanatour.com/trp/htl/CHPC0HTL0200M200?hotelCode=H07165&amp;countryCode=SG&amp;newWin=true" TargetMode="External"/><Relationship Id="rId18" Type="http://schemas.openxmlformats.org/officeDocument/2006/relationships/hyperlink" Target="https://www.hanatour.com/trp/htl/CHPC0HTL0200M200?hotelCode=H33791&amp;countryCode=SG&amp;newWin=true" TargetMode="External"/><Relationship Id="rId26" Type="http://schemas.openxmlformats.org/officeDocument/2006/relationships/hyperlink" Target="https://www.hanatour.com/trp/htl/CHPC0HTL0200M200?hotelCode=G97468&amp;countryCode=SG&amp;newWin=true" TargetMode="External"/><Relationship Id="rId39" Type="http://schemas.openxmlformats.org/officeDocument/2006/relationships/hyperlink" Target="https://www.hanatour.com/trp/htl/CHPC0HTL0200M200?hotelCode=H000311183&amp;countryCode=SG&amp;newWin=true" TargetMode="External"/><Relationship Id="rId21" Type="http://schemas.openxmlformats.org/officeDocument/2006/relationships/hyperlink" Target="https://www.hanatour.com/trp/htl/CHPC0HTL0200M200?hotelCode=G63061&amp;countryCode=SG&amp;newWin=true" TargetMode="External"/><Relationship Id="rId34" Type="http://schemas.openxmlformats.org/officeDocument/2006/relationships/hyperlink" Target="https://www.hanatour.com/trp/htl/CHPC0HTL0200M200?hotelCode=G97195&amp;countryCode=SG&amp;newWin=true" TargetMode="External"/><Relationship Id="rId42" Type="http://schemas.openxmlformats.org/officeDocument/2006/relationships/hyperlink" Target="https://www.hanatour.com/trp/htl/CHPC0HTL0200M200?hotelCode=H33791&amp;countryCode=SG&amp;newWin=true" TargetMode="External"/><Relationship Id="rId47" Type="http://schemas.openxmlformats.org/officeDocument/2006/relationships/hyperlink" Target="https://www.hanatour.com/trp/htl/CHPC0HTL0200M200?hotelCode=H000300391&amp;countryCode=SG&amp;newWin=true" TargetMode="External"/><Relationship Id="rId50" Type="http://schemas.openxmlformats.org/officeDocument/2006/relationships/printerSettings" Target="../printerSettings/printerSettings2.bin"/><Relationship Id="rId7" Type="http://schemas.openxmlformats.org/officeDocument/2006/relationships/hyperlink" Target="https://www.hanatour.com/trp/htl/CHPC0HTL0200M200?hotelCode=H000313468&amp;countryCode=SG&amp;newWin=true" TargetMode="External"/><Relationship Id="rId2" Type="http://schemas.openxmlformats.org/officeDocument/2006/relationships/hyperlink" Target="https://www.hanatour.com/trp/htl/CHPC0HTL0200M200?hotelCode=H33520&amp;countryCode=SG&amp;newWin=true" TargetMode="External"/><Relationship Id="rId16" Type="http://schemas.openxmlformats.org/officeDocument/2006/relationships/hyperlink" Target="https://www.hanatour.com/trp/htl/CHPC0HTL0200M200?hotelCode=G23702&amp;countryCode=SG&amp;newWin=true" TargetMode="External"/><Relationship Id="rId29" Type="http://schemas.openxmlformats.org/officeDocument/2006/relationships/hyperlink" Target="https://www.hanatour.com/trp/htl/CHPC0HTL0200M200?hotelCode=G95358&amp;countryCode=SG&amp;newWin=true" TargetMode="External"/><Relationship Id="rId11" Type="http://schemas.openxmlformats.org/officeDocument/2006/relationships/hyperlink" Target="https://www.hanatour.com/trp/htl/CHPC0HTL0200M200?hotelCode=H37520&amp;countryCode=SG&amp;newWin=true" TargetMode="External"/><Relationship Id="rId24" Type="http://schemas.openxmlformats.org/officeDocument/2006/relationships/hyperlink" Target="https://www.hanatour.com/trp/htl/CHPC0HTL0200M200?hotelCode=H000308515&amp;countryCode=SG&amp;newWin=true" TargetMode="External"/><Relationship Id="rId32" Type="http://schemas.openxmlformats.org/officeDocument/2006/relationships/hyperlink" Target="https://www.hanatour.com/trp/htl/CHPC0HTL0200M200?hotelCode=G20921&amp;countryCode=SG&amp;newWin=true" TargetMode="External"/><Relationship Id="rId37" Type="http://schemas.openxmlformats.org/officeDocument/2006/relationships/hyperlink" Target="https://www.hanatour.com/trp/htl/CHPC0HTL0200M200?hotelCode=H83980&amp;countryCode=SG&amp;newWin=true" TargetMode="External"/><Relationship Id="rId40" Type="http://schemas.openxmlformats.org/officeDocument/2006/relationships/hyperlink" Target="https://www.hanatour.com/trp/htl/CHPC0HTL0200M200?hotelCode=H87213&amp;countryCode=SG&amp;newWin=true" TargetMode="External"/><Relationship Id="rId45" Type="http://schemas.openxmlformats.org/officeDocument/2006/relationships/hyperlink" Target="https://www.hanatour.com/trp/htl/CHPC0HTL0200M200?hotelCode=H000313388&amp;countryCode=SG&amp;newWin=true" TargetMode="External"/><Relationship Id="rId5" Type="http://schemas.openxmlformats.org/officeDocument/2006/relationships/hyperlink" Target="https://www.hanatour.com/trp/htl/CHPC0HTL0200M200?hotelCode=H73085&amp;countryCode=SG&amp;newWin=true" TargetMode="External"/><Relationship Id="rId15" Type="http://schemas.openxmlformats.org/officeDocument/2006/relationships/hyperlink" Target="https://www.hanatour.com/trp/htl/CHPC0HTL0200M200?hotelCode=G07273&amp;countryCode=SG&amp;newWin=true" TargetMode="External"/><Relationship Id="rId23" Type="http://schemas.openxmlformats.org/officeDocument/2006/relationships/hyperlink" Target="https://www.hanatour.com/trp/htl/CHPC0HTL0200M200?hotelCode=K26344&amp;countryCode=SG&amp;newWin=true" TargetMode="External"/><Relationship Id="rId28" Type="http://schemas.openxmlformats.org/officeDocument/2006/relationships/hyperlink" Target="https://www.hanatour.com/trp/htl/CHPC0HTL0200M200?hotelCode=G97836&amp;countryCode=SG&amp;newWin=true" TargetMode="External"/><Relationship Id="rId36" Type="http://schemas.openxmlformats.org/officeDocument/2006/relationships/hyperlink" Target="https://www.hanatour.com/trp/htl/CHPC0HTL0200M200?hotelCode=H39889&amp;countryCode=SG&amp;newWin=true" TargetMode="External"/><Relationship Id="rId49" Type="http://schemas.openxmlformats.org/officeDocument/2006/relationships/hyperlink" Target="https://www.hanatour.com/trp/htl/CHPC0HTL0200M200?hotelCode=G22042&amp;countryCode=SG&amp;newWin=true" TargetMode="External"/><Relationship Id="rId10" Type="http://schemas.openxmlformats.org/officeDocument/2006/relationships/hyperlink" Target="https://www.hanatour.com/trp/htl/CHPC0HTL0200M200?hotelCode=H34450&amp;countryCode=SG&amp;newWin=true" TargetMode="External"/><Relationship Id="rId19" Type="http://schemas.openxmlformats.org/officeDocument/2006/relationships/hyperlink" Target="https://www.hanatour.com/trp/htl/CHPC0HTL0200M200?hotelCode=H01825&amp;countryCode=SG&amp;newWin=true" TargetMode="External"/><Relationship Id="rId31" Type="http://schemas.openxmlformats.org/officeDocument/2006/relationships/hyperlink" Target="https://www.hanatour.com/trp/htl/CHPC0HTL0200M200?hotelCode=G04225&amp;countryCode=SG&amp;newWin=true" TargetMode="External"/><Relationship Id="rId44" Type="http://schemas.openxmlformats.org/officeDocument/2006/relationships/hyperlink" Target="https://www.hanatour.com/trp/htl/CHPC0HTL0200M200?hotelCode=H91654&amp;countryCode=SG&amp;newWin=true" TargetMode="External"/><Relationship Id="rId4" Type="http://schemas.openxmlformats.org/officeDocument/2006/relationships/hyperlink" Target="https://www.hanatour.com/trp/htl/CHPC0HTL0200M200?hotelCode=H34434&amp;countryCode=SG&amp;newWin=true" TargetMode="External"/><Relationship Id="rId9" Type="http://schemas.openxmlformats.org/officeDocument/2006/relationships/hyperlink" Target="https://www.hanatour.com/trp/htl/CHPC0HTL0200M200?hotelCode=H31003&amp;countryCode=SG&amp;newWin=true" TargetMode="External"/><Relationship Id="rId14" Type="http://schemas.openxmlformats.org/officeDocument/2006/relationships/hyperlink" Target="https://www.hanatour.com/trp/htl/CHPC0HTL0200M200?hotelCode=H000310898&amp;countryCode=SG&amp;newWin=true" TargetMode="External"/><Relationship Id="rId22" Type="http://schemas.openxmlformats.org/officeDocument/2006/relationships/hyperlink" Target="https://www.hanatour.com/trp/htl/CHPC0HTL0200M200?hotelCode=G86756&amp;countryCode=SG&amp;newWin=true" TargetMode="External"/><Relationship Id="rId27" Type="http://schemas.openxmlformats.org/officeDocument/2006/relationships/hyperlink" Target="https://www.hanatour.com/trp/htl/CHPC0HTL0200M200?hotelCode=G95235&amp;countryCode=SG&amp;newWin=true" TargetMode="External"/><Relationship Id="rId30" Type="http://schemas.openxmlformats.org/officeDocument/2006/relationships/hyperlink" Target="https://www.hanatour.com/trp/htl/CHPC0HTL0200M200?hotelCode=G00068&amp;countryCode=SG&amp;newWin=true" TargetMode="External"/><Relationship Id="rId35" Type="http://schemas.openxmlformats.org/officeDocument/2006/relationships/hyperlink" Target="https://www.hanatour.com/trp/htl/CHPC0HTL0200M200?hotelCode=H91657&amp;countryCode=SG&amp;newWin=true" TargetMode="External"/><Relationship Id="rId43" Type="http://schemas.openxmlformats.org/officeDocument/2006/relationships/hyperlink" Target="https://www.hanatour.com/trp/htl/CHPC0HTL0200M200?hotelCode=H67629&amp;countryCode=SG&amp;newWin=true" TargetMode="External"/><Relationship Id="rId48" Type="http://schemas.openxmlformats.org/officeDocument/2006/relationships/hyperlink" Target="https://www.hanatour.com/trp/htl/CHPC0HTL0200M200?hotelCode=H91657&amp;countryCode=SG&amp;newWin=true" TargetMode="External"/><Relationship Id="rId8" Type="http://schemas.openxmlformats.org/officeDocument/2006/relationships/hyperlink" Target="https://www.hanatour.com/trp/htl/CHPC0HTL0200M200?hotelCode=H23151&amp;countryCode=SG&amp;newWin=true" TargetMode="External"/><Relationship Id="rId3" Type="http://schemas.openxmlformats.org/officeDocument/2006/relationships/hyperlink" Target="https://www.hanatour.com/trp/htl/CHPC0HTL0200M200?hotelCode=H87213&amp;countryCode=SG&amp;newWin=true" TargetMode="External"/><Relationship Id="rId12" Type="http://schemas.openxmlformats.org/officeDocument/2006/relationships/hyperlink" Target="https://www.hanatour.com/trp/htl/CHPC0HTL0200M200?hotelCode=K26095&amp;countryCode=SG&amp;newWin=true" TargetMode="External"/><Relationship Id="rId17" Type="http://schemas.openxmlformats.org/officeDocument/2006/relationships/hyperlink" Target="https://www.hanatour.com/trp/htl/CHPC0HTL0200M200?hotelCode=H33791&amp;countryCode=SG&amp;newWin=true" TargetMode="External"/><Relationship Id="rId25" Type="http://schemas.openxmlformats.org/officeDocument/2006/relationships/hyperlink" Target="https://www.hanatour.com/trp/htl/CHPC0HTL0200M200?hotelCode=H26576&amp;countryCode=SG&amp;newWin=true" TargetMode="External"/><Relationship Id="rId33" Type="http://schemas.openxmlformats.org/officeDocument/2006/relationships/hyperlink" Target="https://www.hanatour.com/trp/htl/CHPC0HTL0200M200?hotelCode=G07786&amp;countryCode=SG&amp;newWin=true" TargetMode="External"/><Relationship Id="rId38" Type="http://schemas.openxmlformats.org/officeDocument/2006/relationships/hyperlink" Target="https://www.hanatour.com/trp/htl/CHPC0HTL0200M200?hotelCode=H000308331&amp;countryCode=SG&amp;newWin=true" TargetMode="External"/><Relationship Id="rId46" Type="http://schemas.openxmlformats.org/officeDocument/2006/relationships/hyperlink" Target="https://www.hanatour.com/trp/htl/CHPC0HTL0200M200?hotelCode=H88311&amp;countryCode=SG&amp;newWin=true" TargetMode="External"/><Relationship Id="rId20" Type="http://schemas.openxmlformats.org/officeDocument/2006/relationships/hyperlink" Target="https://www.hanatour.com/trp/htl/CHPC0HTL0200M200?hotelCode=G16330&amp;countryCode=SG&amp;newWin=true" TargetMode="External"/><Relationship Id="rId41" Type="http://schemas.openxmlformats.org/officeDocument/2006/relationships/hyperlink" Target="https://www.hanatour.com/trp/htl/CHPC0HTL0200M200?direction=A&amp;subDirection=H&amp;stateCode&amp;guGunCodes&amp;cityCatgAreaCd&amp;cityCatgNm=%EC%8B%B1%EA%B0%80%ED%8F%AC%EB%A5%B4&amp;dispCityName=%ED%99%80%EB%A6%AC%EB%8D%B0%EC%9D%B4%20%EC%9D%B8%20%EC%9D%B5%EC%8A%A4%ED%94%84%EB%A0%88%EC%8A%A4%20%EC%8B%B1%EA%B0%80%ED%8F%AC%EB%A5%B4%20%EC%B9%B4%ED%86%B5,%20IHG%20%ED%98%B8%ED%85%94&amp;hotelCodes&amp;searchType=C&amp;eanCityCode&amp;eanCityNm&amp;landMarkCode&amp;landMarkName&amp;hotelCode=H000302515&amp;hotelName=%ED%99%80%EB%A6%AC%EB%8D%B0%EC%9D%B4%20%EC%9D%B8%20%EC%9D%B5%EC%8A%A4%ED%94%84%EB%A0%88%EC%8A%A4%20%EC%8B%B1%EA%B0%80%ED%8F%AC%EB%A5%B4%20%EC%B9%B4%ED%86%B5,%20IHG%20%ED%98%B8%ED%85%94&amp;areaNm&amp;cityCatgAreaDvCd&amp;areaSearchType&amp;cntryCd&amp;cntryNm=%EC%8B%B1%EA%B0%80%ED%8F%AC%EB%A5%B4&amp;rooms=%5B%7B%22adultNum%22%3A2,%22childNum%22%3A0,%22childAge%22%3A%5B%5D%7D%5D&amp;checkInDate=20240702&amp;checkOutDate=20240703" TargetMode="External"/><Relationship Id="rId1" Type="http://schemas.openxmlformats.org/officeDocument/2006/relationships/hyperlink" Target="https://www.hanatour.com/trp/htl/CHPC0HTL0200M200?hotelCode=H000304907&amp;countryCode=SG&amp;newWin=true" TargetMode="External"/><Relationship Id="rId6" Type="http://schemas.openxmlformats.org/officeDocument/2006/relationships/hyperlink" Target="https://www.hanatour.com/trp/htl/CHPC0HTL0200M200?hotelCode=K25319&amp;countryCode=SG&amp;newWin=true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anatour.com/trp/htl/CHPC0HTL0200M200?hotelCode=G16330&amp;countryCode=SG&amp;newWin=true" TargetMode="External"/><Relationship Id="rId13" Type="http://schemas.openxmlformats.org/officeDocument/2006/relationships/hyperlink" Target="https://www.hanatour.com/trp/htl/CHPC0HTL0200M200?hotelCode=H26576&amp;countryCode=SG&amp;newWin=true" TargetMode="External"/><Relationship Id="rId18" Type="http://schemas.openxmlformats.org/officeDocument/2006/relationships/hyperlink" Target="https://www.hanatour.com/trp/htl/CHPC0HTL0200M200?hotelCode=G00068&amp;countryCode=SG&amp;newWin=true" TargetMode="External"/><Relationship Id="rId26" Type="http://schemas.openxmlformats.org/officeDocument/2006/relationships/hyperlink" Target="https://www.hanatour.com/trp/htl/CHPC0HTL0200M200?hotelCode=H91654&amp;countryCode=SG&amp;newWin=true" TargetMode="External"/><Relationship Id="rId3" Type="http://schemas.openxmlformats.org/officeDocument/2006/relationships/hyperlink" Target="https://www.hanatour.com/trp/htl/CHPC0HTL0200M200?hotelCode=H34434&amp;countryCode=SG&amp;newWin=true" TargetMode="External"/><Relationship Id="rId21" Type="http://schemas.openxmlformats.org/officeDocument/2006/relationships/hyperlink" Target="https://www.hanatour.com/trp/htl/CHPC0HTL0200M200?hotelCode=G07786&amp;countryCode=SG&amp;newWin=true" TargetMode="External"/><Relationship Id="rId7" Type="http://schemas.openxmlformats.org/officeDocument/2006/relationships/hyperlink" Target="https://www.hanatour.com/trp/htl/CHPC0HTL0200M200?hotelCode=G23702&amp;countryCode=SG&amp;newWin=true" TargetMode="External"/><Relationship Id="rId12" Type="http://schemas.openxmlformats.org/officeDocument/2006/relationships/hyperlink" Target="https://www.hanatour.com/trp/htl/CHPC0HTL0200M200?hotelCode=H000308515&amp;countryCode=SG&amp;newWin=true" TargetMode="External"/><Relationship Id="rId17" Type="http://schemas.openxmlformats.org/officeDocument/2006/relationships/hyperlink" Target="https://www.hanatour.com/trp/htl/CHPC0HTL0200M200?hotelCode=G95358&amp;countryCode=SG&amp;newWin=true" TargetMode="External"/><Relationship Id="rId25" Type="http://schemas.openxmlformats.org/officeDocument/2006/relationships/hyperlink" Target="https://www.hanatour.com/trp/htl/CHPC0HTL0200M200?direction=A&amp;subDirection=H&amp;stateCode&amp;guGunCodes&amp;cityCatgAreaCd&amp;cityCatgNm=%EC%8B%B1%EA%B0%80%ED%8F%AC%EB%A5%B4&amp;dispCityName=%ED%99%80%EB%A6%AC%EB%8D%B0%EC%9D%B4%20%EC%9D%B8%20%EC%9D%B5%EC%8A%A4%ED%94%84%EB%A0%88%EC%8A%A4%20%EC%8B%B1%EA%B0%80%ED%8F%AC%EB%A5%B4%20%EC%B9%B4%ED%86%B5,%20IHG%20%ED%98%B8%ED%85%94&amp;hotelCodes&amp;searchType=C&amp;eanCityCode&amp;eanCityNm&amp;landMarkCode&amp;landMarkName&amp;hotelCode=H000302515&amp;hotelName=%ED%99%80%EB%A6%AC%EB%8D%B0%EC%9D%B4%20%EC%9D%B8%20%EC%9D%B5%EC%8A%A4%ED%94%84%EB%A0%88%EC%8A%A4%20%EC%8B%B1%EA%B0%80%ED%8F%AC%EB%A5%B4%20%EC%B9%B4%ED%86%B5,%20IHG%20%ED%98%B8%ED%85%94&amp;areaNm&amp;cityCatgAreaDvCd&amp;areaSearchType&amp;cntryCd&amp;cntryNm=%EC%8B%B1%EA%B0%80%ED%8F%AC%EB%A5%B4&amp;rooms=%5B%7B%22adultNum%22%3A2,%22childNum%22%3A0,%22childAge%22%3A%5B%5D%7D%5D&amp;checkInDate=20240702&amp;checkOutDate=20240703" TargetMode="External"/><Relationship Id="rId2" Type="http://schemas.openxmlformats.org/officeDocument/2006/relationships/hyperlink" Target="https://www.hanatour.com/trp/htl/CHPC0HTL0200M200?hotelCode=H87213&amp;countryCode=SG&amp;newWin=true" TargetMode="External"/><Relationship Id="rId16" Type="http://schemas.openxmlformats.org/officeDocument/2006/relationships/hyperlink" Target="https://www.hanatour.com/trp/htl/CHPC0HTL0200M200?hotelCode=G97836&amp;countryCode=SG&amp;newWin=true" TargetMode="External"/><Relationship Id="rId20" Type="http://schemas.openxmlformats.org/officeDocument/2006/relationships/hyperlink" Target="https://www.hanatour.com/trp/htl/CHPC0HTL0200M200?hotelCode=G20921&amp;countryCode=SG&amp;newWin=true" TargetMode="External"/><Relationship Id="rId29" Type="http://schemas.openxmlformats.org/officeDocument/2006/relationships/hyperlink" Target="https://www.hanatour.com/trp/htl/CHPC0HTL0200M200?hotelCode=H33520&amp;countryCode=SG&amp;newWin=true" TargetMode="External"/><Relationship Id="rId1" Type="http://schemas.openxmlformats.org/officeDocument/2006/relationships/hyperlink" Target="https://www.hanatour.com/trp/htl/CHPC0HTL0200M200?hotelCode=H33520&amp;countryCode=SG&amp;newWin=true" TargetMode="External"/><Relationship Id="rId6" Type="http://schemas.openxmlformats.org/officeDocument/2006/relationships/hyperlink" Target="https://www.hanatour.com/trp/htl/CHPC0HTL0200M200?hotelCode=H000313468&amp;countryCode=SG&amp;newWin=true" TargetMode="External"/><Relationship Id="rId11" Type="http://schemas.openxmlformats.org/officeDocument/2006/relationships/hyperlink" Target="https://www.hanatour.com/trp/htl/CHPC0HTL0200M200?hotelCode=K26344&amp;countryCode=SG&amp;newWin=true" TargetMode="External"/><Relationship Id="rId24" Type="http://schemas.openxmlformats.org/officeDocument/2006/relationships/hyperlink" Target="https://www.hanatour.com/trp/htl/CHPC0HTL0200M200?hotelCode=H87213&amp;countryCode=SG&amp;newWin=true" TargetMode="External"/><Relationship Id="rId5" Type="http://schemas.openxmlformats.org/officeDocument/2006/relationships/hyperlink" Target="https://www.hanatour.com/trp/htl/CHPC0HTL0200M200?hotelCode=K25319&amp;countryCode=SG&amp;newWin=true" TargetMode="External"/><Relationship Id="rId15" Type="http://schemas.openxmlformats.org/officeDocument/2006/relationships/hyperlink" Target="https://www.hanatour.com/trp/htl/CHPC0HTL0200M200?hotelCode=G95235&amp;countryCode=SG&amp;newWin=true" TargetMode="External"/><Relationship Id="rId23" Type="http://schemas.openxmlformats.org/officeDocument/2006/relationships/hyperlink" Target="https://www.hanatour.com/trp/htl/CHPC0HTL0200M200?hotelCode=H39889&amp;countryCode=SG&amp;newWin=true" TargetMode="External"/><Relationship Id="rId28" Type="http://schemas.openxmlformats.org/officeDocument/2006/relationships/hyperlink" Target="https://www.hanatour.com/trp/htl/CHPC0HTL0200M200?hotelCode=G22042&amp;countryCode=SG&amp;newWin=true" TargetMode="External"/><Relationship Id="rId10" Type="http://schemas.openxmlformats.org/officeDocument/2006/relationships/hyperlink" Target="https://www.hanatour.com/trp/htl/CHPC0HTL0200M200?hotelCode=G86756&amp;countryCode=SG&amp;newWin=true" TargetMode="External"/><Relationship Id="rId19" Type="http://schemas.openxmlformats.org/officeDocument/2006/relationships/hyperlink" Target="https://www.hanatour.com/trp/htl/CHPC0HTL0200M200?hotelCode=G04225&amp;countryCode=SG&amp;newWin=true" TargetMode="External"/><Relationship Id="rId4" Type="http://schemas.openxmlformats.org/officeDocument/2006/relationships/hyperlink" Target="https://www.hanatour.com/trp/htl/CHPC0HTL0200M200?hotelCode=H73085&amp;countryCode=SG&amp;newWin=true" TargetMode="External"/><Relationship Id="rId9" Type="http://schemas.openxmlformats.org/officeDocument/2006/relationships/hyperlink" Target="https://www.hanatour.com/trp/htl/CHPC0HTL0200M200?hotelCode=G63061&amp;countryCode=SG&amp;newWin=true" TargetMode="External"/><Relationship Id="rId14" Type="http://schemas.openxmlformats.org/officeDocument/2006/relationships/hyperlink" Target="https://www.hanatour.com/trp/htl/CHPC0HTL0200M200?hotelCode=G97468&amp;countryCode=SG&amp;newWin=true" TargetMode="External"/><Relationship Id="rId22" Type="http://schemas.openxmlformats.org/officeDocument/2006/relationships/hyperlink" Target="https://www.hanatour.com/trp/htl/CHPC0HTL0200M200?hotelCode=G97195&amp;countryCode=SG&amp;newWin=true" TargetMode="External"/><Relationship Id="rId27" Type="http://schemas.openxmlformats.org/officeDocument/2006/relationships/hyperlink" Target="https://www.hanatour.com/trp/htl/CHPC0HTL0200M200?hotelCode=H000300391&amp;countryCode=SG&amp;newWin=true" TargetMode="External"/><Relationship Id="rId30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7CC3-8E2F-485B-8EAA-E748EA45EA97}">
  <dimension ref="A1:H18"/>
  <sheetViews>
    <sheetView zoomScale="141" workbookViewId="0">
      <selection activeCell="E27" sqref="E27"/>
    </sheetView>
  </sheetViews>
  <sheetFormatPr baseColWidth="10" defaultColWidth="8.83203125" defaultRowHeight="17"/>
  <cols>
    <col min="1" max="1" width="15.33203125" customWidth="1"/>
    <col min="2" max="3" width="9" bestFit="1" customWidth="1"/>
    <col min="4" max="4" width="20.6640625" bestFit="1" customWidth="1"/>
    <col min="6" max="6" width="19.33203125" bestFit="1" customWidth="1"/>
    <col min="7" max="8" width="4.5" bestFit="1" customWidth="1"/>
  </cols>
  <sheetData>
    <row r="1" spans="1:8">
      <c r="A1" s="553" t="s">
        <v>1153</v>
      </c>
      <c r="B1" s="553" t="s">
        <v>1154</v>
      </c>
      <c r="C1" s="553" t="s">
        <v>1155</v>
      </c>
      <c r="D1" s="553" t="s">
        <v>1156</v>
      </c>
    </row>
    <row r="2" spans="1:8">
      <c r="A2" s="553" t="s">
        <v>1158</v>
      </c>
      <c r="B2" s="553">
        <v>4</v>
      </c>
      <c r="C2" s="553">
        <v>160</v>
      </c>
      <c r="D2" s="552"/>
      <c r="F2" s="494" t="s">
        <v>926</v>
      </c>
      <c r="G2" s="10">
        <v>190</v>
      </c>
      <c r="H2" s="10">
        <v>180</v>
      </c>
    </row>
    <row r="3" spans="1:8">
      <c r="A3" s="553" t="s">
        <v>1159</v>
      </c>
      <c r="B3" s="553">
        <v>4</v>
      </c>
      <c r="C3" s="553">
        <v>160</v>
      </c>
      <c r="D3" s="552"/>
      <c r="F3" s="494" t="s">
        <v>918</v>
      </c>
      <c r="G3" s="10">
        <v>180</v>
      </c>
      <c r="H3" s="10">
        <v>180</v>
      </c>
    </row>
    <row r="4" spans="1:8">
      <c r="A4" s="553" t="s">
        <v>1152</v>
      </c>
      <c r="B4" s="553">
        <v>4</v>
      </c>
      <c r="C4" s="553">
        <v>180</v>
      </c>
      <c r="D4" s="552" t="s">
        <v>1168</v>
      </c>
      <c r="F4" s="494" t="s">
        <v>925</v>
      </c>
      <c r="G4" s="10">
        <v>180</v>
      </c>
      <c r="H4" s="10">
        <v>180</v>
      </c>
    </row>
    <row r="5" spans="1:8">
      <c r="A5" s="553" t="s">
        <v>1157</v>
      </c>
      <c r="B5" s="553">
        <v>4</v>
      </c>
      <c r="C5" s="553">
        <v>180</v>
      </c>
      <c r="D5" s="552" t="s">
        <v>1163</v>
      </c>
      <c r="F5" s="494" t="s">
        <v>924</v>
      </c>
      <c r="G5" s="10">
        <v>230</v>
      </c>
      <c r="H5" s="10">
        <v>230</v>
      </c>
    </row>
    <row r="6" spans="1:8">
      <c r="A6" s="553" t="s">
        <v>665</v>
      </c>
      <c r="B6" s="553">
        <v>4</v>
      </c>
      <c r="C6" s="553" t="s">
        <v>1167</v>
      </c>
      <c r="D6" s="552" t="s">
        <v>1166</v>
      </c>
      <c r="F6" s="494" t="s">
        <v>920</v>
      </c>
      <c r="G6" s="10">
        <v>230</v>
      </c>
      <c r="H6" s="10">
        <v>230</v>
      </c>
    </row>
    <row r="7" spans="1:8">
      <c r="A7" s="553" t="s">
        <v>609</v>
      </c>
      <c r="B7" s="553">
        <v>4</v>
      </c>
      <c r="C7" s="553">
        <v>210</v>
      </c>
      <c r="D7" s="552" t="s">
        <v>1165</v>
      </c>
      <c r="F7" s="494" t="s">
        <v>927</v>
      </c>
      <c r="G7" s="10">
        <v>210</v>
      </c>
      <c r="H7" s="10">
        <v>210</v>
      </c>
    </row>
    <row r="8" spans="1:8">
      <c r="A8" s="553" t="s">
        <v>624</v>
      </c>
      <c r="B8" s="553">
        <v>4</v>
      </c>
      <c r="C8" s="553">
        <v>215</v>
      </c>
      <c r="D8" s="552" t="s">
        <v>1162</v>
      </c>
      <c r="F8" s="494" t="s">
        <v>930</v>
      </c>
      <c r="G8" s="10">
        <v>220</v>
      </c>
      <c r="H8" s="10">
        <v>220</v>
      </c>
    </row>
    <row r="9" spans="1:8">
      <c r="A9" s="553" t="s">
        <v>1160</v>
      </c>
      <c r="B9" s="553">
        <v>5</v>
      </c>
      <c r="C9" s="553">
        <v>230</v>
      </c>
      <c r="D9" s="552"/>
      <c r="F9" s="495" t="s">
        <v>919</v>
      </c>
      <c r="G9" s="10">
        <v>230</v>
      </c>
      <c r="H9" s="10">
        <v>230</v>
      </c>
    </row>
    <row r="10" spans="1:8">
      <c r="A10" s="553" t="s">
        <v>1161</v>
      </c>
      <c r="B10" s="553">
        <v>5</v>
      </c>
      <c r="C10" s="553">
        <v>260</v>
      </c>
      <c r="D10" s="552" t="s">
        <v>1164</v>
      </c>
      <c r="F10" s="495" t="s">
        <v>929</v>
      </c>
      <c r="G10" s="10">
        <v>240</v>
      </c>
      <c r="H10" s="10">
        <v>240</v>
      </c>
    </row>
    <row r="11" spans="1:8">
      <c r="F11" s="495" t="s">
        <v>921</v>
      </c>
      <c r="G11" s="10">
        <v>240</v>
      </c>
      <c r="H11" s="10">
        <v>240</v>
      </c>
    </row>
    <row r="12" spans="1:8">
      <c r="F12" s="496" t="s">
        <v>932</v>
      </c>
      <c r="G12" s="10">
        <v>170</v>
      </c>
      <c r="H12" s="10">
        <v>170</v>
      </c>
    </row>
    <row r="13" spans="1:8">
      <c r="F13" s="496" t="s">
        <v>922</v>
      </c>
      <c r="G13" s="10">
        <v>185</v>
      </c>
      <c r="H13" s="10">
        <v>185</v>
      </c>
    </row>
    <row r="14" spans="1:8">
      <c r="F14" s="496" t="s">
        <v>726</v>
      </c>
      <c r="G14" s="10">
        <v>185</v>
      </c>
      <c r="H14" s="10">
        <v>185</v>
      </c>
    </row>
    <row r="15" spans="1:8">
      <c r="F15" s="496" t="s">
        <v>931</v>
      </c>
      <c r="G15" s="10">
        <v>155</v>
      </c>
      <c r="H15" s="10">
        <v>155</v>
      </c>
    </row>
    <row r="16" spans="1:8">
      <c r="F16" s="496" t="s">
        <v>923</v>
      </c>
      <c r="G16" s="10">
        <v>185</v>
      </c>
      <c r="H16" s="10">
        <v>185</v>
      </c>
    </row>
    <row r="17" spans="6:8">
      <c r="F17" s="497" t="s">
        <v>928</v>
      </c>
      <c r="G17" s="10">
        <v>240</v>
      </c>
      <c r="H17" s="10">
        <v>240</v>
      </c>
    </row>
    <row r="18" spans="6:8">
      <c r="F18" s="497" t="s">
        <v>442</v>
      </c>
      <c r="G18" s="10">
        <v>540</v>
      </c>
      <c r="H18" s="10">
        <v>540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F3318-1EF6-4F3B-9392-46045257DF19}">
  <dimension ref="A1:K63"/>
  <sheetViews>
    <sheetView zoomScale="157" zoomScaleNormal="100" workbookViewId="0">
      <selection activeCell="G21" sqref="G21:O30"/>
    </sheetView>
  </sheetViews>
  <sheetFormatPr baseColWidth="10" defaultColWidth="9" defaultRowHeight="14"/>
  <cols>
    <col min="1" max="1" width="19.33203125" style="7" customWidth="1"/>
    <col min="2" max="2" width="29.5" style="7" customWidth="1"/>
    <col min="3" max="16384" width="9" style="7"/>
  </cols>
  <sheetData>
    <row r="1" spans="1:11" ht="12" customHeight="1">
      <c r="A1" s="7" t="s">
        <v>717</v>
      </c>
      <c r="B1" s="7">
        <v>1100</v>
      </c>
      <c r="C1" s="10"/>
    </row>
    <row r="2" spans="1:11" ht="12" customHeight="1" thickBot="1">
      <c r="A2" s="10" t="s">
        <v>105</v>
      </c>
      <c r="B2" s="10" t="s">
        <v>119</v>
      </c>
      <c r="C2" s="10" t="s">
        <v>123</v>
      </c>
      <c r="H2" s="7">
        <v>45</v>
      </c>
      <c r="I2" s="7">
        <v>49</v>
      </c>
      <c r="J2" s="7">
        <v>23</v>
      </c>
      <c r="K2" s="7">
        <v>13</v>
      </c>
    </row>
    <row r="3" spans="1:11" ht="12" customHeight="1">
      <c r="A3" s="702" t="s">
        <v>121</v>
      </c>
      <c r="B3" s="256" t="s">
        <v>120</v>
      </c>
      <c r="C3" s="257">
        <v>150</v>
      </c>
      <c r="G3" s="7">
        <v>150</v>
      </c>
      <c r="H3" s="7">
        <v>280</v>
      </c>
      <c r="I3" s="7">
        <v>290</v>
      </c>
      <c r="J3" s="7">
        <v>200</v>
      </c>
      <c r="K3" s="7">
        <v>120</v>
      </c>
    </row>
    <row r="4" spans="1:11" ht="12" customHeight="1">
      <c r="A4" s="703"/>
      <c r="B4" s="69" t="s">
        <v>124</v>
      </c>
      <c r="C4" s="174">
        <v>250</v>
      </c>
      <c r="D4" s="7">
        <v>1</v>
      </c>
      <c r="E4" s="7">
        <v>5</v>
      </c>
      <c r="G4" s="7">
        <v>375</v>
      </c>
      <c r="H4" s="7">
        <v>630</v>
      </c>
      <c r="I4" s="7">
        <v>680</v>
      </c>
      <c r="J4" s="7">
        <v>530</v>
      </c>
      <c r="K4" s="7">
        <v>420</v>
      </c>
    </row>
    <row r="5" spans="1:11" ht="12" customHeight="1">
      <c r="A5" s="703"/>
      <c r="B5" s="69" t="s">
        <v>292</v>
      </c>
      <c r="C5" s="174">
        <v>300</v>
      </c>
      <c r="G5" s="7">
        <v>375</v>
      </c>
      <c r="H5" s="7">
        <v>630</v>
      </c>
      <c r="I5" s="7">
        <v>680</v>
      </c>
      <c r="J5" s="7">
        <v>530</v>
      </c>
      <c r="K5" s="7">
        <v>420</v>
      </c>
    </row>
    <row r="6" spans="1:11" ht="12" customHeight="1">
      <c r="A6" s="703"/>
      <c r="B6" s="254" t="s">
        <v>125</v>
      </c>
      <c r="C6" s="255">
        <v>375</v>
      </c>
      <c r="G6" s="7">
        <f>350+150</f>
        <v>500</v>
      </c>
      <c r="H6" s="7">
        <v>630</v>
      </c>
      <c r="I6" s="7">
        <v>680</v>
      </c>
      <c r="J6" s="7">
        <v>530</v>
      </c>
      <c r="K6" s="7">
        <v>420</v>
      </c>
    </row>
    <row r="7" spans="1:11" ht="12" customHeight="1">
      <c r="A7" s="703"/>
      <c r="B7" s="170" t="s">
        <v>291</v>
      </c>
      <c r="C7" s="176">
        <f>C6+50</f>
        <v>425</v>
      </c>
      <c r="G7" s="247">
        <f>SUM(G3:G6)</f>
        <v>1400</v>
      </c>
      <c r="H7" s="247">
        <f>SUM(H3:H6)</f>
        <v>2170</v>
      </c>
      <c r="I7" s="247">
        <f>SUM(I3:I6)</f>
        <v>2330</v>
      </c>
      <c r="J7" s="247">
        <f>SUM(J3:J6)</f>
        <v>1790</v>
      </c>
      <c r="K7" s="247">
        <f>SUM(K3:K6)</f>
        <v>1380</v>
      </c>
    </row>
    <row r="8" spans="1:11" ht="12" customHeight="1">
      <c r="A8" s="703"/>
      <c r="B8" s="69" t="s">
        <v>126</v>
      </c>
      <c r="C8" s="174">
        <v>40</v>
      </c>
    </row>
    <row r="9" spans="1:11" ht="12" customHeight="1" thickBot="1">
      <c r="A9" s="704"/>
      <c r="B9" s="178" t="s">
        <v>293</v>
      </c>
      <c r="C9" s="179">
        <v>50</v>
      </c>
    </row>
    <row r="10" spans="1:11" ht="12" customHeight="1" thickBot="1"/>
    <row r="11" spans="1:11" ht="12" customHeight="1">
      <c r="A11" s="705" t="s">
        <v>122</v>
      </c>
      <c r="B11" s="172" t="s">
        <v>120</v>
      </c>
      <c r="C11" s="173">
        <v>150</v>
      </c>
    </row>
    <row r="12" spans="1:11" ht="12" customHeight="1">
      <c r="A12" s="706"/>
      <c r="B12" s="69" t="s">
        <v>124</v>
      </c>
      <c r="C12" s="174">
        <v>300</v>
      </c>
      <c r="H12" s="7">
        <f>IF(D4+E4&lt;8,'가이드&amp;차량'!C43, IF(D4+E4&lt;=14,'가이드&amp;차량'!C35,'가이드&amp;차량'!C19))</f>
        <v>120</v>
      </c>
    </row>
    <row r="13" spans="1:11" ht="12" customHeight="1">
      <c r="A13" s="706"/>
      <c r="B13" s="69" t="s">
        <v>292</v>
      </c>
      <c r="C13" s="174">
        <v>350</v>
      </c>
    </row>
    <row r="14" spans="1:11" ht="12" customHeight="1">
      <c r="A14" s="706"/>
      <c r="B14" s="171" t="s">
        <v>125</v>
      </c>
      <c r="C14" s="177">
        <v>400</v>
      </c>
    </row>
    <row r="15" spans="1:11" ht="12" customHeight="1">
      <c r="A15" s="706"/>
      <c r="B15" s="69" t="s">
        <v>291</v>
      </c>
      <c r="C15" s="174">
        <f>C14+80</f>
        <v>480</v>
      </c>
      <c r="H15" s="7">
        <f>IF(D4+E4&lt;8,'가이드&amp;차량'!C47, IF(D4+E4&lt;=14,'가이드&amp;차량'!C39,'가이드&amp;차량'!C23))</f>
        <v>430</v>
      </c>
    </row>
    <row r="16" spans="1:11" ht="12" customHeight="1">
      <c r="A16" s="706"/>
      <c r="B16" s="69" t="s">
        <v>126</v>
      </c>
      <c r="C16" s="174">
        <v>40</v>
      </c>
    </row>
    <row r="17" spans="1:7" ht="12" customHeight="1" thickBot="1">
      <c r="A17" s="707"/>
      <c r="B17" s="178" t="s">
        <v>127</v>
      </c>
      <c r="C17" s="179">
        <v>50</v>
      </c>
    </row>
    <row r="18" spans="1:7" ht="12" customHeight="1" thickBot="1"/>
    <row r="19" spans="1:7" ht="12" customHeight="1">
      <c r="A19" s="702" t="s">
        <v>430</v>
      </c>
      <c r="B19" s="252" t="s">
        <v>120</v>
      </c>
      <c r="C19" s="253">
        <v>280</v>
      </c>
    </row>
    <row r="20" spans="1:7" ht="12" customHeight="1">
      <c r="A20" s="703"/>
      <c r="B20" s="69" t="s">
        <v>124</v>
      </c>
      <c r="C20" s="174">
        <v>400</v>
      </c>
    </row>
    <row r="21" spans="1:7" ht="12" customHeight="1">
      <c r="A21" s="703"/>
      <c r="B21" s="69" t="s">
        <v>292</v>
      </c>
      <c r="C21" s="180">
        <v>500</v>
      </c>
      <c r="G21" t="s">
        <v>933</v>
      </c>
    </row>
    <row r="22" spans="1:7" ht="12" customHeight="1">
      <c r="A22" s="703"/>
      <c r="B22" s="246" t="s">
        <v>125</v>
      </c>
      <c r="C22" s="180">
        <v>555</v>
      </c>
      <c r="G22" t="s">
        <v>934</v>
      </c>
    </row>
    <row r="23" spans="1:7" ht="12" customHeight="1">
      <c r="A23" s="703"/>
      <c r="B23" s="169" t="s">
        <v>291</v>
      </c>
      <c r="C23" s="175">
        <v>630</v>
      </c>
      <c r="G23" t="s">
        <v>935</v>
      </c>
    </row>
    <row r="24" spans="1:7" ht="12" customHeight="1">
      <c r="A24" s="703"/>
      <c r="B24" s="69" t="s">
        <v>126</v>
      </c>
      <c r="C24" s="174">
        <v>75</v>
      </c>
      <c r="G24" t="s">
        <v>936</v>
      </c>
    </row>
    <row r="25" spans="1:7" ht="12" customHeight="1" thickBot="1">
      <c r="A25" s="704"/>
      <c r="B25" s="178" t="s">
        <v>127</v>
      </c>
      <c r="C25" s="179">
        <v>80</v>
      </c>
      <c r="G25" t="s">
        <v>937</v>
      </c>
    </row>
    <row r="26" spans="1:7" ht="12" customHeight="1" thickBot="1">
      <c r="A26" s="24"/>
      <c r="C26" s="18"/>
      <c r="G26" t="s">
        <v>938</v>
      </c>
    </row>
    <row r="27" spans="1:7" ht="12" customHeight="1">
      <c r="A27" s="702" t="s">
        <v>431</v>
      </c>
      <c r="B27" s="172" t="s">
        <v>120</v>
      </c>
      <c r="C27" s="173">
        <v>290</v>
      </c>
      <c r="G27" t="s">
        <v>939</v>
      </c>
    </row>
    <row r="28" spans="1:7" ht="12" customHeight="1">
      <c r="A28" s="703"/>
      <c r="B28" s="69" t="s">
        <v>124</v>
      </c>
      <c r="C28" s="174">
        <v>450</v>
      </c>
      <c r="G28" t="s">
        <v>940</v>
      </c>
    </row>
    <row r="29" spans="1:7" ht="12" customHeight="1">
      <c r="A29" s="703"/>
      <c r="B29" s="69" t="s">
        <v>292</v>
      </c>
      <c r="C29" s="174">
        <v>550</v>
      </c>
      <c r="G29" t="s">
        <v>941</v>
      </c>
    </row>
    <row r="30" spans="1:7" ht="12" customHeight="1">
      <c r="A30" s="703"/>
      <c r="B30" s="170" t="s">
        <v>125</v>
      </c>
      <c r="C30" s="176">
        <v>595</v>
      </c>
      <c r="G30" s="498" t="s">
        <v>942</v>
      </c>
    </row>
    <row r="31" spans="1:7" ht="12" customHeight="1">
      <c r="A31" s="703"/>
      <c r="B31" s="169" t="s">
        <v>291</v>
      </c>
      <c r="C31" s="175">
        <v>680</v>
      </c>
    </row>
    <row r="32" spans="1:7" ht="12" customHeight="1">
      <c r="A32" s="703"/>
      <c r="B32" s="69" t="s">
        <v>126</v>
      </c>
      <c r="C32" s="174">
        <v>85</v>
      </c>
    </row>
    <row r="33" spans="1:3" ht="12" customHeight="1" thickBot="1">
      <c r="A33" s="704"/>
      <c r="B33" s="178" t="s">
        <v>127</v>
      </c>
      <c r="C33" s="179">
        <v>80</v>
      </c>
    </row>
    <row r="34" spans="1:3" ht="12" customHeight="1" thickBot="1">
      <c r="A34" s="24"/>
      <c r="C34" s="18"/>
    </row>
    <row r="35" spans="1:3" ht="12" customHeight="1" thickTop="1">
      <c r="A35" s="699" t="s">
        <v>660</v>
      </c>
      <c r="B35" s="300" t="s">
        <v>120</v>
      </c>
      <c r="C35" s="301">
        <v>200</v>
      </c>
    </row>
    <row r="36" spans="1:3" ht="12" customHeight="1">
      <c r="A36" s="700"/>
      <c r="B36" s="69" t="s">
        <v>124</v>
      </c>
      <c r="C36" s="302">
        <v>350</v>
      </c>
    </row>
    <row r="37" spans="1:3" ht="12" customHeight="1">
      <c r="A37" s="700"/>
      <c r="B37" s="69" t="s">
        <v>292</v>
      </c>
      <c r="C37" s="302">
        <v>400</v>
      </c>
    </row>
    <row r="38" spans="1:3" ht="12" customHeight="1">
      <c r="A38" s="700"/>
      <c r="B38" s="246" t="s">
        <v>125</v>
      </c>
      <c r="C38" s="303">
        <v>465</v>
      </c>
    </row>
    <row r="39" spans="1:3" ht="12" customHeight="1">
      <c r="A39" s="700"/>
      <c r="B39" s="169" t="s">
        <v>291</v>
      </c>
      <c r="C39" s="304">
        <v>530</v>
      </c>
    </row>
    <row r="40" spans="1:3" ht="12" customHeight="1">
      <c r="A40" s="700"/>
      <c r="B40" s="69" t="s">
        <v>126</v>
      </c>
      <c r="C40" s="302">
        <v>65</v>
      </c>
    </row>
    <row r="41" spans="1:3" ht="12" customHeight="1" thickBot="1">
      <c r="A41" s="701"/>
      <c r="B41" s="305" t="s">
        <v>127</v>
      </c>
      <c r="C41" s="306">
        <v>65</v>
      </c>
    </row>
    <row r="42" spans="1:3" ht="12" customHeight="1" thickTop="1" thickBot="1"/>
    <row r="43" spans="1:3" ht="12" customHeight="1">
      <c r="A43" s="702" t="s">
        <v>128</v>
      </c>
      <c r="B43" s="252" t="s">
        <v>120</v>
      </c>
      <c r="C43" s="253">
        <v>120</v>
      </c>
    </row>
    <row r="44" spans="1:3" ht="12" customHeight="1">
      <c r="A44" s="703"/>
      <c r="B44" s="69" t="s">
        <v>124</v>
      </c>
      <c r="C44" s="174">
        <v>250</v>
      </c>
    </row>
    <row r="45" spans="1:3" ht="12" customHeight="1">
      <c r="A45" s="703"/>
      <c r="B45" s="69" t="s">
        <v>292</v>
      </c>
      <c r="C45" s="174">
        <v>300</v>
      </c>
    </row>
    <row r="46" spans="1:3" ht="12" customHeight="1">
      <c r="A46" s="703"/>
      <c r="B46" s="246" t="s">
        <v>125</v>
      </c>
      <c r="C46" s="180">
        <v>350</v>
      </c>
    </row>
    <row r="47" spans="1:3" ht="12" customHeight="1">
      <c r="A47" s="703"/>
      <c r="B47" s="169" t="s">
        <v>291</v>
      </c>
      <c r="C47" s="175">
        <v>430</v>
      </c>
    </row>
    <row r="48" spans="1:3" ht="12" customHeight="1" thickBot="1">
      <c r="A48" s="704"/>
      <c r="B48" s="178" t="s">
        <v>127</v>
      </c>
      <c r="C48" s="179">
        <v>50</v>
      </c>
    </row>
    <row r="49" spans="1:3" ht="12" customHeight="1" thickBot="1">
      <c r="A49" s="708"/>
      <c r="B49" s="709"/>
      <c r="C49" s="710"/>
    </row>
    <row r="50" spans="1:3" ht="12" customHeight="1">
      <c r="A50" s="705" t="s">
        <v>1342</v>
      </c>
      <c r="B50" s="172" t="s">
        <v>120</v>
      </c>
      <c r="C50" s="173"/>
    </row>
    <row r="51" spans="1:3" ht="12" customHeight="1">
      <c r="A51" s="706"/>
      <c r="B51" s="69" t="s">
        <v>124</v>
      </c>
      <c r="C51" s="174"/>
    </row>
    <row r="52" spans="1:3" ht="12" customHeight="1">
      <c r="A52" s="706"/>
      <c r="B52" s="69" t="s">
        <v>292</v>
      </c>
      <c r="C52" s="174"/>
    </row>
    <row r="53" spans="1:3" ht="12" customHeight="1">
      <c r="A53" s="706"/>
      <c r="B53" s="169" t="s">
        <v>125</v>
      </c>
      <c r="C53" s="175">
        <v>850</v>
      </c>
    </row>
    <row r="54" spans="1:3" ht="12" customHeight="1">
      <c r="A54" s="706"/>
      <c r="B54" s="69" t="s">
        <v>291</v>
      </c>
      <c r="C54" s="174"/>
    </row>
    <row r="55" spans="1:3" ht="12" customHeight="1">
      <c r="A55" s="706"/>
      <c r="B55" s="69" t="s">
        <v>126</v>
      </c>
      <c r="C55" s="174"/>
    </row>
    <row r="56" spans="1:3" ht="12" customHeight="1" thickBot="1">
      <c r="A56" s="707"/>
      <c r="B56" s="178" t="s">
        <v>127</v>
      </c>
      <c r="C56" s="179"/>
    </row>
    <row r="57" spans="1:3" ht="12" customHeight="1" thickBot="1">
      <c r="A57" s="22"/>
      <c r="C57" s="18"/>
    </row>
    <row r="58" spans="1:3">
      <c r="A58" s="705" t="s">
        <v>129</v>
      </c>
      <c r="B58" s="172" t="s">
        <v>120</v>
      </c>
      <c r="C58" s="173"/>
    </row>
    <row r="59" spans="1:3">
      <c r="A59" s="706"/>
      <c r="B59" s="69" t="s">
        <v>124</v>
      </c>
      <c r="C59" s="174"/>
    </row>
    <row r="60" spans="1:3">
      <c r="A60" s="706"/>
      <c r="B60" s="69" t="s">
        <v>292</v>
      </c>
      <c r="C60" s="174"/>
    </row>
    <row r="61" spans="1:3">
      <c r="A61" s="706"/>
      <c r="B61" s="171" t="s">
        <v>125</v>
      </c>
      <c r="C61" s="177"/>
    </row>
    <row r="62" spans="1:3" ht="12" customHeight="1">
      <c r="A62" s="706"/>
      <c r="B62" s="69" t="s">
        <v>291</v>
      </c>
      <c r="C62" s="174"/>
    </row>
    <row r="63" spans="1:3" ht="15" thickBot="1">
      <c r="A63" s="707"/>
      <c r="B63" s="178" t="s">
        <v>127</v>
      </c>
      <c r="C63" s="179"/>
    </row>
  </sheetData>
  <mergeCells count="9">
    <mergeCell ref="A35:A41"/>
    <mergeCell ref="A43:A48"/>
    <mergeCell ref="A50:A56"/>
    <mergeCell ref="A58:A63"/>
    <mergeCell ref="A3:A9"/>
    <mergeCell ref="A11:A17"/>
    <mergeCell ref="A19:A25"/>
    <mergeCell ref="A27:A33"/>
    <mergeCell ref="A49:C4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76497-362F-4EF4-8C9C-14891A52B657}">
  <dimension ref="B1:F23"/>
  <sheetViews>
    <sheetView zoomScale="150" workbookViewId="0">
      <pane xSplit="5" topLeftCell="F1" activePane="topRight" state="frozen"/>
      <selection pane="topRight" activeCell="J24" sqref="J24"/>
    </sheetView>
  </sheetViews>
  <sheetFormatPr baseColWidth="10" defaultColWidth="9" defaultRowHeight="15"/>
  <cols>
    <col min="1" max="1" width="2.6640625" style="34" customWidth="1"/>
    <col min="2" max="2" width="28.33203125" style="34" customWidth="1"/>
    <col min="3" max="4" width="9.6640625" style="35" bestFit="1" customWidth="1"/>
    <col min="5" max="5" width="25.1640625" style="35" customWidth="1"/>
    <col min="6" max="6" width="3.6640625" style="35" customWidth="1"/>
    <col min="7" max="16384" width="9" style="34"/>
  </cols>
  <sheetData>
    <row r="1" spans="2:5" ht="16" thickBot="1">
      <c r="B1" s="34" t="s">
        <v>1181</v>
      </c>
    </row>
    <row r="2" spans="2:5">
      <c r="B2" s="678" t="s">
        <v>14</v>
      </c>
      <c r="C2" s="679" t="s">
        <v>15</v>
      </c>
      <c r="D2" s="679" t="s">
        <v>16</v>
      </c>
      <c r="E2" s="318" t="s">
        <v>17</v>
      </c>
    </row>
    <row r="3" spans="2:5">
      <c r="B3" s="680" t="s">
        <v>1367</v>
      </c>
      <c r="C3" s="681">
        <v>45921</v>
      </c>
      <c r="D3" s="681">
        <v>45562</v>
      </c>
      <c r="E3" s="682" t="s">
        <v>1172</v>
      </c>
    </row>
    <row r="4" spans="2:5">
      <c r="B4" s="683" t="s">
        <v>1360</v>
      </c>
      <c r="C4" s="684">
        <v>45932</v>
      </c>
      <c r="D4" s="684">
        <v>45935</v>
      </c>
      <c r="E4" s="685" t="s">
        <v>1174</v>
      </c>
    </row>
    <row r="5" spans="2:5" ht="16">
      <c r="B5" s="686" t="s">
        <v>1175</v>
      </c>
      <c r="C5" s="681">
        <v>45944</v>
      </c>
      <c r="D5" s="681">
        <v>45947</v>
      </c>
      <c r="E5" s="682" t="s">
        <v>1361</v>
      </c>
    </row>
    <row r="6" spans="2:5" ht="16">
      <c r="B6" s="686" t="s">
        <v>1176</v>
      </c>
      <c r="C6" s="681">
        <v>45950</v>
      </c>
      <c r="D6" s="681">
        <v>45953</v>
      </c>
      <c r="E6" s="682"/>
    </row>
    <row r="7" spans="2:5" ht="16">
      <c r="B7" s="686" t="s">
        <v>1177</v>
      </c>
      <c r="C7" s="681">
        <v>45972</v>
      </c>
      <c r="D7" s="681">
        <v>45974</v>
      </c>
      <c r="E7" s="682"/>
    </row>
    <row r="8" spans="2:5" ht="16">
      <c r="B8" s="686" t="s">
        <v>1362</v>
      </c>
      <c r="C8" s="681">
        <v>46015</v>
      </c>
      <c r="D8" s="681">
        <v>46016</v>
      </c>
      <c r="E8" s="682"/>
    </row>
    <row r="9" spans="2:5">
      <c r="B9" s="680" t="s">
        <v>18</v>
      </c>
      <c r="C9" s="681">
        <v>46021</v>
      </c>
      <c r="D9" s="668">
        <v>46023</v>
      </c>
      <c r="E9" s="682"/>
    </row>
    <row r="10" spans="2:5">
      <c r="B10" s="680" t="s">
        <v>18</v>
      </c>
      <c r="C10" s="681">
        <v>46022</v>
      </c>
      <c r="D10" s="681">
        <v>46022</v>
      </c>
      <c r="E10" s="682"/>
    </row>
    <row r="11" spans="2:5">
      <c r="B11" s="680" t="s">
        <v>1178</v>
      </c>
      <c r="C11" s="681">
        <v>46056</v>
      </c>
      <c r="D11" s="681">
        <v>46059</v>
      </c>
      <c r="E11" s="682" t="s">
        <v>1179</v>
      </c>
    </row>
    <row r="12" spans="2:5" ht="16">
      <c r="B12" s="686" t="s">
        <v>1171</v>
      </c>
      <c r="C12" s="681">
        <v>46069</v>
      </c>
      <c r="D12" s="681">
        <v>46077</v>
      </c>
      <c r="E12" s="682" t="s">
        <v>1180</v>
      </c>
    </row>
    <row r="13" spans="2:5" ht="16">
      <c r="B13" s="686" t="s">
        <v>1363</v>
      </c>
      <c r="C13" s="687"/>
      <c r="D13" s="687"/>
      <c r="E13" s="682"/>
    </row>
    <row r="14" spans="2:5">
      <c r="B14" s="680" t="s">
        <v>1364</v>
      </c>
      <c r="C14" s="687"/>
      <c r="D14" s="687"/>
      <c r="E14" s="682"/>
    </row>
    <row r="15" spans="2:5">
      <c r="B15" s="680" t="s">
        <v>1365</v>
      </c>
      <c r="C15" s="687"/>
      <c r="D15" s="687"/>
      <c r="E15" s="682"/>
    </row>
    <row r="16" spans="2:5">
      <c r="B16" s="680" t="s">
        <v>1173</v>
      </c>
      <c r="C16" s="687"/>
      <c r="D16" s="687"/>
      <c r="E16" s="682"/>
    </row>
    <row r="17" spans="2:5">
      <c r="B17" s="680" t="s">
        <v>1366</v>
      </c>
      <c r="C17" s="687"/>
      <c r="D17" s="687"/>
      <c r="E17" s="682"/>
    </row>
    <row r="18" spans="2:5" ht="16">
      <c r="B18" s="686" t="s">
        <v>1362</v>
      </c>
      <c r="C18" s="681">
        <v>46380</v>
      </c>
      <c r="D18" s="681">
        <v>46381</v>
      </c>
      <c r="E18" s="682"/>
    </row>
    <row r="19" spans="2:5">
      <c r="B19" s="680" t="s">
        <v>18</v>
      </c>
      <c r="C19" s="681">
        <v>46386</v>
      </c>
      <c r="D19" s="668">
        <v>46388</v>
      </c>
      <c r="E19" s="682"/>
    </row>
    <row r="20" spans="2:5">
      <c r="B20" s="680" t="s">
        <v>18</v>
      </c>
      <c r="C20" s="681">
        <v>46387</v>
      </c>
      <c r="D20" s="681">
        <v>46022</v>
      </c>
      <c r="E20" s="682"/>
    </row>
    <row r="21" spans="2:5">
      <c r="B21" s="688"/>
      <c r="C21" s="689"/>
      <c r="D21" s="689"/>
      <c r="E21" s="690"/>
    </row>
    <row r="22" spans="2:5">
      <c r="B22" s="688"/>
      <c r="C22" s="689"/>
      <c r="D22" s="689"/>
      <c r="E22" s="690"/>
    </row>
    <row r="23" spans="2:5" ht="16" thickBot="1">
      <c r="B23" s="691"/>
      <c r="C23" s="692"/>
      <c r="D23" s="692"/>
      <c r="E23" s="693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95C90-38F4-4421-8DAE-E5AE8F1A5879}">
  <dimension ref="A1:X159"/>
  <sheetViews>
    <sheetView zoomScale="136" zoomScaleNormal="90" zoomScaleSheetLayoutView="90" workbookViewId="0">
      <pane ySplit="1" topLeftCell="A2" activePane="bottomLeft" state="frozen"/>
      <selection pane="bottomLeft" activeCell="J2" sqref="J2:P2"/>
    </sheetView>
  </sheetViews>
  <sheetFormatPr baseColWidth="10" defaultColWidth="9" defaultRowHeight="15"/>
  <cols>
    <col min="1" max="1" width="7.1640625" style="34" customWidth="1"/>
    <col min="2" max="2" width="8.33203125" style="288" bestFit="1" customWidth="1"/>
    <col min="3" max="3" width="18.6640625" style="279" customWidth="1"/>
    <col min="4" max="4" width="11.33203125" style="35" bestFit="1" customWidth="1"/>
    <col min="5" max="5" width="28.6640625" style="35" customWidth="1"/>
    <col min="6" max="6" width="27.1640625" style="35" customWidth="1"/>
    <col min="7" max="7" width="25.83203125" style="35" customWidth="1"/>
    <col min="8" max="8" width="5.6640625" style="35" customWidth="1"/>
    <col min="9" max="9" width="11.6640625" style="299" customWidth="1"/>
    <col min="10" max="10" width="4.1640625" style="35" bestFit="1" customWidth="1"/>
    <col min="11" max="16" width="4.5" style="35" bestFit="1" customWidth="1"/>
    <col min="17" max="17" width="8" style="35" bestFit="1" customWidth="1"/>
    <col min="18" max="18" width="7.1640625" style="240" bestFit="1" customWidth="1"/>
    <col min="19" max="19" width="7.1640625" style="241" bestFit="1" customWidth="1"/>
    <col min="20" max="20" width="6.33203125" style="240" bestFit="1" customWidth="1"/>
    <col min="21" max="21" width="6.33203125" style="241" bestFit="1" customWidth="1"/>
    <col min="22" max="22" width="8.33203125" style="35" bestFit="1" customWidth="1"/>
    <col min="23" max="16384" width="9" style="34"/>
  </cols>
  <sheetData>
    <row r="1" spans="1:22" ht="19.5" customHeight="1" thickBot="1">
      <c r="B1" s="233" t="s">
        <v>518</v>
      </c>
      <c r="C1" s="227" t="s">
        <v>725</v>
      </c>
      <c r="D1" s="1" t="s">
        <v>2</v>
      </c>
      <c r="E1" s="1" t="s">
        <v>0</v>
      </c>
      <c r="F1" s="1" t="s">
        <v>1</v>
      </c>
      <c r="G1" s="1" t="s">
        <v>390</v>
      </c>
      <c r="H1" s="5" t="s">
        <v>3</v>
      </c>
      <c r="I1" s="297" t="s">
        <v>517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4" t="s">
        <v>9</v>
      </c>
      <c r="P1" s="4" t="s">
        <v>10</v>
      </c>
      <c r="Q1" s="36" t="s">
        <v>428</v>
      </c>
      <c r="R1" s="235" t="s">
        <v>748</v>
      </c>
      <c r="S1" s="236" t="s">
        <v>749</v>
      </c>
      <c r="T1" s="334" t="s">
        <v>393</v>
      </c>
      <c r="U1" s="335" t="s">
        <v>392</v>
      </c>
      <c r="V1" s="35" t="s">
        <v>425</v>
      </c>
    </row>
    <row r="2" spans="1:22" ht="16.5" customHeight="1">
      <c r="A2" s="713" t="s">
        <v>474</v>
      </c>
      <c r="B2" s="742" t="s">
        <v>443</v>
      </c>
      <c r="C2" s="750" t="s">
        <v>721</v>
      </c>
      <c r="D2" s="742" t="s">
        <v>384</v>
      </c>
      <c r="E2" s="223" t="s">
        <v>710</v>
      </c>
      <c r="F2" s="370" t="s">
        <v>383</v>
      </c>
      <c r="G2" s="223" t="s">
        <v>514</v>
      </c>
      <c r="H2" s="37" t="s">
        <v>11</v>
      </c>
      <c r="I2" s="360">
        <v>192343</v>
      </c>
      <c r="J2" s="783">
        <v>155</v>
      </c>
      <c r="K2" s="783"/>
      <c r="L2" s="783"/>
      <c r="M2" s="783"/>
      <c r="N2" s="783"/>
      <c r="O2" s="783"/>
      <c r="P2" s="783"/>
      <c r="Q2" s="40" t="s">
        <v>362</v>
      </c>
      <c r="R2" s="796">
        <v>24.95</v>
      </c>
      <c r="S2" s="799">
        <v>10</v>
      </c>
      <c r="T2" s="715">
        <v>241</v>
      </c>
      <c r="U2" s="717">
        <v>74</v>
      </c>
    </row>
    <row r="3" spans="1:22" ht="16.5" customHeight="1">
      <c r="A3" s="729"/>
      <c r="B3" s="743"/>
      <c r="C3" s="812"/>
      <c r="D3" s="743"/>
      <c r="E3" s="249" t="s">
        <v>710</v>
      </c>
      <c r="F3" s="361" t="s">
        <v>383</v>
      </c>
      <c r="G3" s="249" t="s">
        <v>436</v>
      </c>
      <c r="H3" s="226" t="s">
        <v>11</v>
      </c>
      <c r="I3" s="371">
        <v>192343</v>
      </c>
      <c r="J3" s="791">
        <v>145</v>
      </c>
      <c r="K3" s="792"/>
      <c r="L3" s="792"/>
      <c r="M3" s="792"/>
      <c r="N3" s="792"/>
      <c r="O3" s="792"/>
      <c r="P3" s="792"/>
      <c r="Q3" s="222" t="s">
        <v>435</v>
      </c>
      <c r="R3" s="797"/>
      <c r="S3" s="800"/>
      <c r="T3" s="737"/>
      <c r="U3" s="738"/>
    </row>
    <row r="4" spans="1:22" ht="16.5" customHeight="1">
      <c r="A4" s="729"/>
      <c r="B4" s="743"/>
      <c r="C4" s="812"/>
      <c r="D4" s="743"/>
      <c r="E4" s="397" t="s">
        <v>711</v>
      </c>
      <c r="F4" s="399" t="s">
        <v>383</v>
      </c>
      <c r="G4" s="397" t="s">
        <v>385</v>
      </c>
      <c r="H4" s="366" t="s">
        <v>11</v>
      </c>
      <c r="I4" s="400">
        <v>192343</v>
      </c>
      <c r="J4" s="793">
        <v>175</v>
      </c>
      <c r="K4" s="794"/>
      <c r="L4" s="794"/>
      <c r="M4" s="794"/>
      <c r="N4" s="794"/>
      <c r="O4" s="794"/>
      <c r="P4" s="794"/>
      <c r="Q4" s="365" t="s">
        <v>435</v>
      </c>
      <c r="R4" s="797"/>
      <c r="S4" s="800"/>
      <c r="T4" s="737"/>
      <c r="U4" s="738"/>
    </row>
    <row r="5" spans="1:22" ht="17.25" customHeight="1" thickBot="1">
      <c r="A5" s="714"/>
      <c r="B5" s="744"/>
      <c r="C5" s="813"/>
      <c r="D5" s="744"/>
      <c r="E5" s="38" t="s">
        <v>710</v>
      </c>
      <c r="F5" s="38" t="s">
        <v>383</v>
      </c>
      <c r="G5" s="38" t="s">
        <v>673</v>
      </c>
      <c r="H5" s="39" t="s">
        <v>11</v>
      </c>
      <c r="I5" s="362">
        <f>I3+75000</f>
        <v>267343</v>
      </c>
      <c r="J5" s="789">
        <v>215</v>
      </c>
      <c r="K5" s="789"/>
      <c r="L5" s="789"/>
      <c r="M5" s="789"/>
      <c r="N5" s="789"/>
      <c r="O5" s="789"/>
      <c r="P5" s="789"/>
      <c r="Q5" s="41" t="s">
        <v>362</v>
      </c>
      <c r="R5" s="798"/>
      <c r="S5" s="801"/>
      <c r="T5" s="716"/>
      <c r="U5" s="718"/>
    </row>
    <row r="6" spans="1:22" ht="16.5" customHeight="1">
      <c r="A6" s="713" t="s">
        <v>473</v>
      </c>
      <c r="B6" s="711" t="s">
        <v>444</v>
      </c>
      <c r="C6" s="785" t="s">
        <v>750</v>
      </c>
      <c r="D6" s="713" t="s">
        <v>396</v>
      </c>
      <c r="E6" s="40" t="s">
        <v>234</v>
      </c>
      <c r="F6" s="251" t="s">
        <v>477</v>
      </c>
      <c r="G6" s="40" t="s">
        <v>529</v>
      </c>
      <c r="H6" s="386" t="s">
        <v>11</v>
      </c>
      <c r="I6" s="384">
        <v>154976</v>
      </c>
      <c r="J6" s="722">
        <v>173</v>
      </c>
      <c r="K6" s="722"/>
      <c r="L6" s="722"/>
      <c r="M6" s="722"/>
      <c r="N6" s="722"/>
      <c r="O6" s="722"/>
      <c r="P6" s="722"/>
      <c r="Q6" s="726">
        <v>93</v>
      </c>
      <c r="R6" s="721">
        <v>13</v>
      </c>
      <c r="S6" s="726">
        <v>13</v>
      </c>
      <c r="T6" s="795">
        <v>1500</v>
      </c>
      <c r="U6" s="717">
        <v>428</v>
      </c>
    </row>
    <row r="7" spans="1:22" ht="16.5" customHeight="1">
      <c r="A7" s="729"/>
      <c r="B7" s="732"/>
      <c r="C7" s="786"/>
      <c r="D7" s="729"/>
      <c r="E7" s="294" t="s">
        <v>234</v>
      </c>
      <c r="F7" s="402" t="s">
        <v>477</v>
      </c>
      <c r="G7" s="294" t="s">
        <v>742</v>
      </c>
      <c r="H7" s="405" t="s">
        <v>11</v>
      </c>
      <c r="I7" s="406">
        <v>154976</v>
      </c>
      <c r="J7" s="814">
        <v>185</v>
      </c>
      <c r="K7" s="774"/>
      <c r="L7" s="774"/>
      <c r="M7" s="774"/>
      <c r="N7" s="774"/>
      <c r="O7" s="774"/>
      <c r="P7" s="774"/>
      <c r="Q7" s="727"/>
      <c r="R7" s="724"/>
      <c r="S7" s="727"/>
      <c r="T7" s="780"/>
      <c r="U7" s="738"/>
    </row>
    <row r="8" spans="1:22" ht="16.5" customHeight="1" thickBot="1">
      <c r="A8" s="714"/>
      <c r="B8" s="712"/>
      <c r="C8" s="811"/>
      <c r="D8" s="714"/>
      <c r="E8" s="41" t="s">
        <v>234</v>
      </c>
      <c r="F8" s="41" t="s">
        <v>477</v>
      </c>
      <c r="G8" s="41" t="s">
        <v>530</v>
      </c>
      <c r="H8" s="387" t="s">
        <v>11</v>
      </c>
      <c r="I8" s="385">
        <v>177552</v>
      </c>
      <c r="J8" s="723">
        <v>189</v>
      </c>
      <c r="K8" s="723"/>
      <c r="L8" s="723"/>
      <c r="M8" s="723"/>
      <c r="N8" s="723"/>
      <c r="O8" s="723"/>
      <c r="P8" s="723"/>
      <c r="Q8" s="728"/>
      <c r="R8" s="725"/>
      <c r="S8" s="728"/>
      <c r="T8" s="790"/>
      <c r="U8" s="718"/>
    </row>
    <row r="9" spans="1:22" ht="16.5" customHeight="1">
      <c r="A9" s="713" t="s">
        <v>473</v>
      </c>
      <c r="B9" s="711" t="s">
        <v>445</v>
      </c>
      <c r="C9" s="815" t="s">
        <v>724</v>
      </c>
      <c r="D9" s="713" t="s">
        <v>396</v>
      </c>
      <c r="E9" s="35" t="s">
        <v>343</v>
      </c>
      <c r="F9" s="359" t="s">
        <v>395</v>
      </c>
      <c r="G9" s="35" t="s">
        <v>529</v>
      </c>
      <c r="H9" s="380" t="s">
        <v>11</v>
      </c>
      <c r="I9" s="285">
        <v>164245</v>
      </c>
      <c r="J9" s="736">
        <v>173</v>
      </c>
      <c r="K9" s="736"/>
      <c r="L9" s="736"/>
      <c r="M9" s="736"/>
      <c r="N9" s="736"/>
      <c r="O9" s="736"/>
      <c r="P9" s="736"/>
      <c r="Q9" s="727">
        <v>93</v>
      </c>
      <c r="R9" s="721">
        <v>13</v>
      </c>
      <c r="S9" s="726">
        <v>13</v>
      </c>
      <c r="T9" s="780">
        <v>888</v>
      </c>
      <c r="U9" s="738">
        <v>261</v>
      </c>
    </row>
    <row r="10" spans="1:22" ht="16.5" customHeight="1">
      <c r="A10" s="729"/>
      <c r="B10" s="732"/>
      <c r="C10" s="816"/>
      <c r="D10" s="729"/>
      <c r="E10" s="294" t="s">
        <v>726</v>
      </c>
      <c r="F10" s="402" t="s">
        <v>727</v>
      </c>
      <c r="G10" s="294" t="s">
        <v>742</v>
      </c>
      <c r="H10" s="403" t="s">
        <v>11</v>
      </c>
      <c r="I10" s="404">
        <v>164245</v>
      </c>
      <c r="J10" s="814">
        <v>185</v>
      </c>
      <c r="K10" s="774"/>
      <c r="L10" s="774"/>
      <c r="M10" s="774"/>
      <c r="N10" s="774"/>
      <c r="O10" s="774"/>
      <c r="P10" s="774"/>
      <c r="Q10" s="727"/>
      <c r="R10" s="724"/>
      <c r="S10" s="727"/>
      <c r="T10" s="780"/>
      <c r="U10" s="738"/>
    </row>
    <row r="11" spans="1:22" ht="16.5" customHeight="1" thickBot="1">
      <c r="A11" s="714"/>
      <c r="B11" s="712"/>
      <c r="C11" s="817"/>
      <c r="D11" s="714"/>
      <c r="E11" s="41" t="s">
        <v>343</v>
      </c>
      <c r="F11" s="41" t="s">
        <v>395</v>
      </c>
      <c r="G11" s="41" t="s">
        <v>531</v>
      </c>
      <c r="H11" s="369" t="s">
        <v>11</v>
      </c>
      <c r="I11" s="286">
        <v>187233</v>
      </c>
      <c r="J11" s="723">
        <v>189</v>
      </c>
      <c r="K11" s="723"/>
      <c r="L11" s="723"/>
      <c r="M11" s="723"/>
      <c r="N11" s="723"/>
      <c r="O11" s="723"/>
      <c r="P11" s="723"/>
      <c r="Q11" s="728"/>
      <c r="R11" s="725"/>
      <c r="S11" s="728"/>
      <c r="T11" s="790"/>
      <c r="U11" s="718"/>
    </row>
    <row r="12" spans="1:22" ht="16.5" customHeight="1">
      <c r="A12" s="713" t="s">
        <v>473</v>
      </c>
      <c r="B12" s="711" t="s">
        <v>444</v>
      </c>
      <c r="C12" s="753" t="s">
        <v>735</v>
      </c>
      <c r="D12" s="713" t="s">
        <v>398</v>
      </c>
      <c r="E12" s="40" t="s">
        <v>344</v>
      </c>
      <c r="F12" s="251" t="s">
        <v>397</v>
      </c>
      <c r="G12" s="40" t="s">
        <v>529</v>
      </c>
      <c r="H12" s="37" t="s">
        <v>11</v>
      </c>
      <c r="I12" s="284">
        <v>164065</v>
      </c>
      <c r="J12" s="722">
        <v>169</v>
      </c>
      <c r="K12" s="722"/>
      <c r="L12" s="722"/>
      <c r="M12" s="722"/>
      <c r="N12" s="722"/>
      <c r="O12" s="722"/>
      <c r="P12" s="722"/>
      <c r="Q12" s="40" t="s">
        <v>362</v>
      </c>
      <c r="R12" s="721">
        <v>13</v>
      </c>
      <c r="S12" s="726">
        <v>13</v>
      </c>
      <c r="T12" s="715">
        <v>272</v>
      </c>
      <c r="U12" s="717"/>
    </row>
    <row r="13" spans="1:22" ht="17.25" customHeight="1" thickBot="1">
      <c r="A13" s="714"/>
      <c r="B13" s="712"/>
      <c r="C13" s="754"/>
      <c r="D13" s="714"/>
      <c r="E13" s="41" t="s">
        <v>344</v>
      </c>
      <c r="F13" s="41" t="s">
        <v>397</v>
      </c>
      <c r="G13" s="41" t="s">
        <v>531</v>
      </c>
      <c r="H13" s="39" t="s">
        <v>11</v>
      </c>
      <c r="I13" s="286">
        <v>184406</v>
      </c>
      <c r="J13" s="723">
        <v>189</v>
      </c>
      <c r="K13" s="723"/>
      <c r="L13" s="723"/>
      <c r="M13" s="723"/>
      <c r="N13" s="723"/>
      <c r="O13" s="723"/>
      <c r="P13" s="723"/>
      <c r="Q13" s="41" t="s">
        <v>362</v>
      </c>
      <c r="R13" s="725"/>
      <c r="S13" s="728"/>
      <c r="T13" s="716"/>
      <c r="U13" s="718"/>
    </row>
    <row r="14" spans="1:22" ht="16.5" customHeight="1">
      <c r="A14" s="713" t="s">
        <v>473</v>
      </c>
      <c r="B14" s="711" t="s">
        <v>444</v>
      </c>
      <c r="C14" s="753" t="s">
        <v>735</v>
      </c>
      <c r="D14" s="713" t="s">
        <v>398</v>
      </c>
      <c r="E14" s="40" t="s">
        <v>386</v>
      </c>
      <c r="F14" s="251" t="s">
        <v>388</v>
      </c>
      <c r="G14" s="40" t="s">
        <v>529</v>
      </c>
      <c r="H14" s="37" t="s">
        <v>11</v>
      </c>
      <c r="I14" s="284">
        <v>170614</v>
      </c>
      <c r="J14" s="722">
        <v>177</v>
      </c>
      <c r="K14" s="722"/>
      <c r="L14" s="722"/>
      <c r="M14" s="722"/>
      <c r="N14" s="722"/>
      <c r="O14" s="722"/>
      <c r="P14" s="722"/>
      <c r="Q14" s="40" t="s">
        <v>362</v>
      </c>
      <c r="R14" s="721">
        <v>13</v>
      </c>
      <c r="S14" s="726">
        <v>13</v>
      </c>
      <c r="T14" s="715">
        <v>342</v>
      </c>
      <c r="U14" s="717"/>
    </row>
    <row r="15" spans="1:22" ht="17.25" customHeight="1" thickBot="1">
      <c r="A15" s="714"/>
      <c r="B15" s="712"/>
      <c r="C15" s="754"/>
      <c r="D15" s="714"/>
      <c r="E15" s="41" t="s">
        <v>386</v>
      </c>
      <c r="F15" s="41" t="s">
        <v>388</v>
      </c>
      <c r="G15" s="41" t="s">
        <v>530</v>
      </c>
      <c r="H15" s="39" t="s">
        <v>11</v>
      </c>
      <c r="I15" s="286">
        <v>199364</v>
      </c>
      <c r="J15" s="723">
        <v>197</v>
      </c>
      <c r="K15" s="723"/>
      <c r="L15" s="723"/>
      <c r="M15" s="723"/>
      <c r="N15" s="723"/>
      <c r="O15" s="723"/>
      <c r="P15" s="723"/>
      <c r="Q15" s="41" t="s">
        <v>362</v>
      </c>
      <c r="R15" s="725"/>
      <c r="S15" s="728"/>
      <c r="T15" s="716"/>
      <c r="U15" s="718"/>
    </row>
    <row r="16" spans="1:22" ht="16">
      <c r="A16" s="713" t="s">
        <v>473</v>
      </c>
      <c r="B16" s="711" t="s">
        <v>444</v>
      </c>
      <c r="C16" s="753" t="s">
        <v>735</v>
      </c>
      <c r="D16" s="713" t="s">
        <v>389</v>
      </c>
      <c r="E16" s="40" t="s">
        <v>387</v>
      </c>
      <c r="F16" s="251" t="s">
        <v>399</v>
      </c>
      <c r="G16" s="40" t="s">
        <v>728</v>
      </c>
      <c r="H16" s="37" t="s">
        <v>11</v>
      </c>
      <c r="I16" s="284">
        <v>156808</v>
      </c>
      <c r="J16" s="722">
        <v>177</v>
      </c>
      <c r="K16" s="722"/>
      <c r="L16" s="722"/>
      <c r="M16" s="722"/>
      <c r="N16" s="722"/>
      <c r="O16" s="722"/>
      <c r="P16" s="722"/>
      <c r="Q16" s="40" t="s">
        <v>362</v>
      </c>
      <c r="R16" s="721">
        <v>13</v>
      </c>
      <c r="S16" s="726">
        <v>13</v>
      </c>
      <c r="T16" s="795">
        <v>530</v>
      </c>
      <c r="U16" s="717"/>
    </row>
    <row r="17" spans="1:21" ht="17.25" customHeight="1" thickBot="1">
      <c r="A17" s="714"/>
      <c r="B17" s="712"/>
      <c r="C17" s="754"/>
      <c r="D17" s="714"/>
      <c r="E17" s="41" t="s">
        <v>387</v>
      </c>
      <c r="F17" s="41" t="s">
        <v>399</v>
      </c>
      <c r="G17" s="41" t="s">
        <v>530</v>
      </c>
      <c r="H17" s="39" t="s">
        <v>11</v>
      </c>
      <c r="I17" s="286">
        <v>186599</v>
      </c>
      <c r="J17" s="723">
        <v>197</v>
      </c>
      <c r="K17" s="723"/>
      <c r="L17" s="723"/>
      <c r="M17" s="723"/>
      <c r="N17" s="723"/>
      <c r="O17" s="723"/>
      <c r="P17" s="723"/>
      <c r="Q17" s="41" t="s">
        <v>362</v>
      </c>
      <c r="R17" s="725"/>
      <c r="S17" s="728"/>
      <c r="T17" s="790"/>
      <c r="U17" s="718"/>
    </row>
    <row r="18" spans="1:21" ht="16">
      <c r="A18" s="729"/>
      <c r="B18" s="732" t="s">
        <v>444</v>
      </c>
      <c r="C18" s="810" t="s">
        <v>735</v>
      </c>
      <c r="D18" s="713" t="s">
        <v>737</v>
      </c>
      <c r="E18" s="35" t="s">
        <v>736</v>
      </c>
      <c r="F18" s="359" t="s">
        <v>739</v>
      </c>
      <c r="G18" s="35" t="s">
        <v>738</v>
      </c>
      <c r="H18" s="218" t="s">
        <v>11</v>
      </c>
      <c r="I18" s="285">
        <v>217947</v>
      </c>
      <c r="J18" s="736">
        <v>200</v>
      </c>
      <c r="K18" s="736"/>
      <c r="L18" s="736"/>
      <c r="M18" s="736"/>
      <c r="N18" s="736"/>
      <c r="O18" s="736"/>
      <c r="P18" s="736"/>
      <c r="Q18" s="35" t="s">
        <v>740</v>
      </c>
      <c r="R18" s="724"/>
      <c r="S18" s="727"/>
      <c r="T18" s="780">
        <v>451</v>
      </c>
      <c r="U18" s="738"/>
    </row>
    <row r="19" spans="1:21" ht="17.25" customHeight="1" thickBot="1">
      <c r="A19" s="714"/>
      <c r="B19" s="712"/>
      <c r="C19" s="810"/>
      <c r="D19" s="714"/>
      <c r="E19" s="41" t="s">
        <v>736</v>
      </c>
      <c r="F19" s="41" t="s">
        <v>739</v>
      </c>
      <c r="G19" s="41" t="s">
        <v>741</v>
      </c>
      <c r="H19" s="39" t="s">
        <v>11</v>
      </c>
      <c r="I19" s="286">
        <v>217947</v>
      </c>
      <c r="J19" s="723">
        <v>180</v>
      </c>
      <c r="K19" s="723"/>
      <c r="L19" s="723"/>
      <c r="M19" s="723"/>
      <c r="N19" s="723"/>
      <c r="O19" s="723"/>
      <c r="P19" s="723"/>
      <c r="Q19" s="41" t="s">
        <v>740</v>
      </c>
      <c r="R19" s="725"/>
      <c r="S19" s="728"/>
      <c r="T19" s="790"/>
      <c r="U19" s="718"/>
    </row>
    <row r="20" spans="1:21" ht="16.5" customHeight="1">
      <c r="A20" s="713" t="s">
        <v>473</v>
      </c>
      <c r="B20" s="742" t="s">
        <v>752</v>
      </c>
      <c r="C20" s="750" t="s">
        <v>722</v>
      </c>
      <c r="D20" s="742" t="s">
        <v>401</v>
      </c>
      <c r="E20" s="223" t="s">
        <v>712</v>
      </c>
      <c r="F20" s="229" t="s">
        <v>400</v>
      </c>
      <c r="G20" s="223" t="s">
        <v>514</v>
      </c>
      <c r="H20" s="37" t="s">
        <v>11</v>
      </c>
      <c r="I20" s="276">
        <v>210603</v>
      </c>
      <c r="J20" s="783">
        <v>175</v>
      </c>
      <c r="K20" s="783"/>
      <c r="L20" s="783"/>
      <c r="M20" s="783"/>
      <c r="N20" s="783"/>
      <c r="O20" s="783"/>
      <c r="P20" s="783"/>
      <c r="Q20" s="40" t="s">
        <v>362</v>
      </c>
      <c r="R20" s="796">
        <v>25</v>
      </c>
      <c r="S20" s="799">
        <v>12.5</v>
      </c>
      <c r="T20" s="715">
        <v>534</v>
      </c>
      <c r="U20" s="717">
        <v>124</v>
      </c>
    </row>
    <row r="21" spans="1:21" ht="16.5" customHeight="1">
      <c r="A21" s="729"/>
      <c r="B21" s="743"/>
      <c r="C21" s="746"/>
      <c r="D21" s="743"/>
      <c r="E21" s="388" t="s">
        <v>712</v>
      </c>
      <c r="F21" s="388" t="s">
        <v>400</v>
      </c>
      <c r="G21" s="388" t="s">
        <v>515</v>
      </c>
      <c r="H21" s="218" t="s">
        <v>11</v>
      </c>
      <c r="I21" s="277">
        <v>223226</v>
      </c>
      <c r="J21" s="802">
        <v>185</v>
      </c>
      <c r="K21" s="802"/>
      <c r="L21" s="802"/>
      <c r="M21" s="802"/>
      <c r="N21" s="802"/>
      <c r="O21" s="802"/>
      <c r="P21" s="802"/>
      <c r="Q21" s="35" t="s">
        <v>362</v>
      </c>
      <c r="R21" s="797"/>
      <c r="S21" s="800"/>
      <c r="T21" s="737"/>
      <c r="U21" s="738"/>
    </row>
    <row r="22" spans="1:21" ht="16.5" customHeight="1">
      <c r="A22" s="729"/>
      <c r="B22" s="743"/>
      <c r="C22" s="746"/>
      <c r="D22" s="743"/>
      <c r="E22" s="397" t="s">
        <v>723</v>
      </c>
      <c r="F22" s="397" t="s">
        <v>400</v>
      </c>
      <c r="G22" s="397" t="s">
        <v>763</v>
      </c>
      <c r="H22" s="366" t="s">
        <v>11</v>
      </c>
      <c r="I22" s="319">
        <v>210603</v>
      </c>
      <c r="J22" s="794">
        <v>195</v>
      </c>
      <c r="K22" s="794"/>
      <c r="L22" s="794"/>
      <c r="M22" s="794"/>
      <c r="N22" s="794"/>
      <c r="O22" s="794"/>
      <c r="P22" s="794"/>
      <c r="Q22" s="365" t="s">
        <v>362</v>
      </c>
      <c r="R22" s="797"/>
      <c r="S22" s="800"/>
      <c r="T22" s="737"/>
      <c r="U22" s="738"/>
    </row>
    <row r="23" spans="1:21" ht="17.25" customHeight="1" thickBot="1">
      <c r="A23" s="714"/>
      <c r="B23" s="744"/>
      <c r="C23" s="788"/>
      <c r="D23" s="744"/>
      <c r="E23" s="398" t="s">
        <v>723</v>
      </c>
      <c r="F23" s="398" t="s">
        <v>400</v>
      </c>
      <c r="G23" s="398" t="s">
        <v>669</v>
      </c>
      <c r="H23" s="322" t="s">
        <v>11</v>
      </c>
      <c r="I23" s="323">
        <v>223226</v>
      </c>
      <c r="J23" s="777">
        <v>205</v>
      </c>
      <c r="K23" s="777"/>
      <c r="L23" s="777"/>
      <c r="M23" s="777"/>
      <c r="N23" s="777"/>
      <c r="O23" s="777"/>
      <c r="P23" s="777"/>
      <c r="Q23" s="321" t="s">
        <v>362</v>
      </c>
      <c r="R23" s="798"/>
      <c r="S23" s="801"/>
      <c r="T23" s="716"/>
      <c r="U23" s="718"/>
    </row>
    <row r="24" spans="1:21" ht="1.5" customHeight="1" thickBot="1">
      <c r="A24" s="420"/>
      <c r="B24" s="413"/>
      <c r="C24" s="421"/>
      <c r="D24" s="416"/>
      <c r="E24" s="416"/>
      <c r="F24" s="416"/>
      <c r="G24" s="416"/>
      <c r="H24" s="422"/>
      <c r="I24" s="423"/>
      <c r="J24" s="416"/>
      <c r="K24" s="416"/>
      <c r="L24" s="416"/>
      <c r="M24" s="416"/>
      <c r="N24" s="416"/>
      <c r="O24" s="416"/>
      <c r="P24" s="416"/>
      <c r="Q24" s="416"/>
      <c r="R24" s="412"/>
      <c r="S24" s="419"/>
      <c r="T24" s="424"/>
      <c r="U24" s="425"/>
    </row>
    <row r="25" spans="1:21" ht="16.5" customHeight="1">
      <c r="A25" s="729" t="s">
        <v>475</v>
      </c>
      <c r="B25" s="732" t="s">
        <v>445</v>
      </c>
      <c r="C25" s="751" t="s">
        <v>755</v>
      </c>
      <c r="D25" s="729" t="s">
        <v>756</v>
      </c>
      <c r="E25" s="35" t="s">
        <v>452</v>
      </c>
      <c r="F25" s="389" t="s">
        <v>402</v>
      </c>
      <c r="G25" s="35" t="s">
        <v>521</v>
      </c>
      <c r="H25" s="35" t="s">
        <v>11</v>
      </c>
      <c r="I25" s="291">
        <v>205719</v>
      </c>
      <c r="J25" s="736">
        <v>200</v>
      </c>
      <c r="K25" s="736"/>
      <c r="L25" s="736"/>
      <c r="M25" s="736"/>
      <c r="N25" s="736"/>
      <c r="O25" s="736"/>
      <c r="P25" s="736"/>
      <c r="Q25" s="35" t="s">
        <v>362</v>
      </c>
      <c r="T25" s="737">
        <v>270</v>
      </c>
      <c r="U25" s="738">
        <v>104</v>
      </c>
    </row>
    <row r="26" spans="1:21" ht="17.25" customHeight="1" thickBot="1">
      <c r="A26" s="714"/>
      <c r="B26" s="712"/>
      <c r="C26" s="752"/>
      <c r="D26" s="714"/>
      <c r="E26" s="46" t="s">
        <v>452</v>
      </c>
      <c r="F26" s="46" t="s">
        <v>402</v>
      </c>
      <c r="G26" s="46" t="s">
        <v>764</v>
      </c>
      <c r="H26" s="46" t="s">
        <v>11</v>
      </c>
      <c r="I26" s="282">
        <v>205719</v>
      </c>
      <c r="J26" s="805">
        <v>170</v>
      </c>
      <c r="K26" s="805"/>
      <c r="L26" s="805"/>
      <c r="M26" s="805"/>
      <c r="N26" s="805"/>
      <c r="O26" s="805"/>
      <c r="P26" s="805"/>
      <c r="Q26" s="41" t="s">
        <v>362</v>
      </c>
      <c r="R26" s="242"/>
      <c r="S26" s="243"/>
      <c r="T26" s="737"/>
      <c r="U26" s="718"/>
    </row>
    <row r="27" spans="1:21" ht="17.25" customHeight="1" thickBot="1">
      <c r="A27" s="411" t="s">
        <v>474</v>
      </c>
      <c r="B27" s="290" t="s">
        <v>445</v>
      </c>
      <c r="C27" s="278" t="s">
        <v>735</v>
      </c>
      <c r="D27" s="407" t="s">
        <v>398</v>
      </c>
      <c r="E27" s="224" t="s">
        <v>378</v>
      </c>
      <c r="F27" s="230" t="s">
        <v>403</v>
      </c>
      <c r="G27" s="224" t="s">
        <v>379</v>
      </c>
      <c r="H27" s="225" t="s">
        <v>192</v>
      </c>
      <c r="I27" s="298">
        <v>196187</v>
      </c>
      <c r="J27" s="779">
        <v>200</v>
      </c>
      <c r="K27" s="779"/>
      <c r="L27" s="779"/>
      <c r="M27" s="779"/>
      <c r="N27" s="779"/>
      <c r="O27" s="779"/>
      <c r="P27" s="779"/>
      <c r="Q27" s="224">
        <v>65</v>
      </c>
      <c r="R27" s="325">
        <v>24.94</v>
      </c>
      <c r="S27" s="333">
        <v>17</v>
      </c>
      <c r="T27" s="336">
        <v>236</v>
      </c>
      <c r="U27" s="337">
        <v>65</v>
      </c>
    </row>
    <row r="28" spans="1:21" ht="16.5" customHeight="1">
      <c r="A28" s="727" t="s">
        <v>474</v>
      </c>
      <c r="B28" s="711" t="s">
        <v>445</v>
      </c>
      <c r="C28" s="745" t="s">
        <v>476</v>
      </c>
      <c r="D28" s="713" t="s">
        <v>404</v>
      </c>
      <c r="E28" s="40" t="s">
        <v>454</v>
      </c>
      <c r="F28" s="251" t="s">
        <v>455</v>
      </c>
      <c r="G28" s="40" t="s">
        <v>524</v>
      </c>
      <c r="H28" s="40" t="s">
        <v>11</v>
      </c>
      <c r="I28" s="281">
        <v>214253</v>
      </c>
      <c r="J28" s="722">
        <v>200</v>
      </c>
      <c r="K28" s="722"/>
      <c r="L28" s="722"/>
      <c r="M28" s="722"/>
      <c r="N28" s="722"/>
      <c r="O28" s="722"/>
      <c r="P28" s="722"/>
      <c r="Q28" s="40">
        <v>100</v>
      </c>
      <c r="R28" s="237"/>
      <c r="S28" s="238"/>
      <c r="T28" s="715">
        <v>194</v>
      </c>
      <c r="U28" s="717">
        <v>112</v>
      </c>
    </row>
    <row r="29" spans="1:21" ht="16.5" customHeight="1">
      <c r="A29" s="727"/>
      <c r="B29" s="732"/>
      <c r="C29" s="746"/>
      <c r="D29" s="729"/>
      <c r="E29" s="35" t="s">
        <v>523</v>
      </c>
      <c r="F29" s="292" t="s">
        <v>522</v>
      </c>
      <c r="G29" s="35" t="s">
        <v>525</v>
      </c>
      <c r="H29" s="35" t="s">
        <v>526</v>
      </c>
      <c r="I29" s="291"/>
      <c r="J29" s="724">
        <v>250</v>
      </c>
      <c r="K29" s="736"/>
      <c r="L29" s="736"/>
      <c r="M29" s="736"/>
      <c r="N29" s="736"/>
      <c r="O29" s="736"/>
      <c r="P29" s="736"/>
      <c r="Q29" s="35">
        <v>100</v>
      </c>
      <c r="T29" s="737"/>
      <c r="U29" s="738"/>
    </row>
    <row r="30" spans="1:21" ht="16.5" customHeight="1">
      <c r="A30" s="727"/>
      <c r="B30" s="732"/>
      <c r="C30" s="746"/>
      <c r="D30" s="729"/>
      <c r="E30" s="222" t="s">
        <v>575</v>
      </c>
      <c r="F30" s="410" t="s">
        <v>455</v>
      </c>
      <c r="G30" s="222" t="s">
        <v>524</v>
      </c>
      <c r="H30" s="222" t="s">
        <v>192</v>
      </c>
      <c r="I30" s="391"/>
      <c r="J30" s="739">
        <v>180</v>
      </c>
      <c r="K30" s="740"/>
      <c r="L30" s="740"/>
      <c r="M30" s="740"/>
      <c r="N30" s="740"/>
      <c r="O30" s="740"/>
      <c r="P30" s="740"/>
      <c r="Q30" s="222">
        <v>100</v>
      </c>
      <c r="T30" s="737"/>
      <c r="U30" s="738"/>
    </row>
    <row r="31" spans="1:21" ht="17.25" customHeight="1" thickBot="1">
      <c r="A31" s="728"/>
      <c r="B31" s="712"/>
      <c r="C31" s="749"/>
      <c r="D31" s="714"/>
      <c r="E31" s="408" t="s">
        <v>574</v>
      </c>
      <c r="F31" s="408" t="s">
        <v>455</v>
      </c>
      <c r="G31" s="321" t="s">
        <v>524</v>
      </c>
      <c r="H31" s="321" t="s">
        <v>11</v>
      </c>
      <c r="I31" s="409">
        <v>214253</v>
      </c>
      <c r="J31" s="772">
        <v>200</v>
      </c>
      <c r="K31" s="772"/>
      <c r="L31" s="772"/>
      <c r="M31" s="772"/>
      <c r="N31" s="772"/>
      <c r="O31" s="772"/>
      <c r="P31" s="772"/>
      <c r="Q31" s="321">
        <v>100</v>
      </c>
      <c r="R31" s="242"/>
      <c r="S31" s="243"/>
      <c r="T31" s="737"/>
      <c r="U31" s="738"/>
    </row>
    <row r="32" spans="1:21" ht="16.5" customHeight="1">
      <c r="A32" s="713" t="s">
        <v>472</v>
      </c>
      <c r="B32" s="711" t="s">
        <v>440</v>
      </c>
      <c r="C32" s="784" t="s">
        <v>757</v>
      </c>
      <c r="D32" s="713" t="s">
        <v>550</v>
      </c>
      <c r="E32" s="40" t="s">
        <v>535</v>
      </c>
      <c r="F32" s="308" t="s">
        <v>536</v>
      </c>
      <c r="G32" s="40" t="s">
        <v>577</v>
      </c>
      <c r="H32" s="238" t="s">
        <v>192</v>
      </c>
      <c r="I32" s="311">
        <v>197080</v>
      </c>
      <c r="J32" s="721">
        <v>270</v>
      </c>
      <c r="K32" s="722"/>
      <c r="L32" s="722"/>
      <c r="M32" s="722"/>
      <c r="N32" s="722">
        <v>240</v>
      </c>
      <c r="O32" s="722"/>
      <c r="P32" s="722"/>
      <c r="Q32" s="40" t="s">
        <v>362</v>
      </c>
      <c r="R32" s="237"/>
      <c r="S32" s="238"/>
      <c r="T32" s="806">
        <v>285</v>
      </c>
      <c r="U32" s="766">
        <v>91</v>
      </c>
    </row>
    <row r="33" spans="1:24" ht="16.5" customHeight="1">
      <c r="A33" s="729"/>
      <c r="B33" s="732"/>
      <c r="C33" s="757"/>
      <c r="D33" s="729"/>
      <c r="E33" s="35" t="s">
        <v>535</v>
      </c>
      <c r="F33" s="35" t="s">
        <v>536</v>
      </c>
      <c r="G33" s="35" t="s">
        <v>236</v>
      </c>
      <c r="H33" s="241" t="s">
        <v>192</v>
      </c>
      <c r="I33" s="312">
        <v>250532</v>
      </c>
      <c r="J33" s="724">
        <v>300</v>
      </c>
      <c r="K33" s="736"/>
      <c r="L33" s="736"/>
      <c r="M33" s="736"/>
      <c r="N33" s="736">
        <v>270</v>
      </c>
      <c r="O33" s="736"/>
      <c r="P33" s="736"/>
      <c r="Q33" s="35">
        <v>110</v>
      </c>
      <c r="T33" s="807"/>
      <c r="U33" s="770"/>
    </row>
    <row r="34" spans="1:24" ht="16.5" customHeight="1">
      <c r="A34" s="729"/>
      <c r="B34" s="732"/>
      <c r="C34" s="757"/>
      <c r="D34" s="729"/>
      <c r="E34" s="222" t="s">
        <v>572</v>
      </c>
      <c r="F34" s="222" t="s">
        <v>536</v>
      </c>
      <c r="G34" s="222" t="s">
        <v>578</v>
      </c>
      <c r="H34" s="315" t="s">
        <v>192</v>
      </c>
      <c r="I34" s="316"/>
      <c r="J34" s="739">
        <v>180</v>
      </c>
      <c r="K34" s="740"/>
      <c r="L34" s="740"/>
      <c r="M34" s="740"/>
      <c r="N34" s="740"/>
      <c r="O34" s="740"/>
      <c r="P34" s="740"/>
      <c r="Q34" s="222">
        <v>120</v>
      </c>
      <c r="T34" s="807"/>
      <c r="U34" s="770"/>
    </row>
    <row r="35" spans="1:24" ht="17.25" customHeight="1" thickBot="1">
      <c r="A35" s="714"/>
      <c r="B35" s="712"/>
      <c r="C35" s="734"/>
      <c r="D35" s="714"/>
      <c r="E35" s="46" t="s">
        <v>573</v>
      </c>
      <c r="F35" s="46" t="s">
        <v>536</v>
      </c>
      <c r="G35" s="46" t="s">
        <v>537</v>
      </c>
      <c r="H35" s="293" t="s">
        <v>192</v>
      </c>
      <c r="I35" s="293"/>
      <c r="J35" s="761">
        <v>210</v>
      </c>
      <c r="K35" s="760"/>
      <c r="L35" s="760"/>
      <c r="M35" s="760"/>
      <c r="N35" s="760"/>
      <c r="O35" s="760"/>
      <c r="P35" s="760"/>
      <c r="Q35" s="46">
        <v>90</v>
      </c>
      <c r="R35" s="242"/>
      <c r="S35" s="243"/>
      <c r="T35" s="808"/>
      <c r="U35" s="767"/>
    </row>
    <row r="36" spans="1:24" ht="17.25" customHeight="1">
      <c r="A36" s="726" t="s">
        <v>474</v>
      </c>
      <c r="B36" s="711" t="s">
        <v>445</v>
      </c>
      <c r="C36" s="747" t="s">
        <v>761</v>
      </c>
      <c r="D36" s="713" t="s">
        <v>762</v>
      </c>
      <c r="E36" s="40" t="s">
        <v>380</v>
      </c>
      <c r="F36" s="251" t="s">
        <v>391</v>
      </c>
      <c r="G36" s="40" t="s">
        <v>13</v>
      </c>
      <c r="H36" s="37" t="s">
        <v>192</v>
      </c>
      <c r="I36" s="276">
        <v>217430</v>
      </c>
      <c r="J36" s="721">
        <v>230</v>
      </c>
      <c r="K36" s="722"/>
      <c r="L36" s="722"/>
      <c r="M36" s="722"/>
      <c r="N36" s="722"/>
      <c r="O36" s="722"/>
      <c r="P36" s="722"/>
      <c r="Q36" s="239"/>
      <c r="R36" s="237"/>
      <c r="S36" s="238"/>
      <c r="T36" s="737">
        <v>300</v>
      </c>
      <c r="U36" s="738"/>
    </row>
    <row r="37" spans="1:24" ht="17.25" customHeight="1">
      <c r="A37" s="727"/>
      <c r="B37" s="732"/>
      <c r="C37" s="748"/>
      <c r="D37" s="729"/>
      <c r="E37" s="222" t="s">
        <v>380</v>
      </c>
      <c r="F37" s="295" t="s">
        <v>439</v>
      </c>
      <c r="G37" s="222" t="s">
        <v>438</v>
      </c>
      <c r="H37" s="226" t="s">
        <v>192</v>
      </c>
      <c r="I37" s="277">
        <v>217430</v>
      </c>
      <c r="J37" s="739">
        <v>190</v>
      </c>
      <c r="K37" s="740"/>
      <c r="L37" s="740"/>
      <c r="M37" s="740"/>
      <c r="N37" s="740"/>
      <c r="O37" s="740"/>
      <c r="P37" s="740"/>
      <c r="Q37" s="296"/>
      <c r="T37" s="737"/>
      <c r="U37" s="738"/>
    </row>
    <row r="38" spans="1:24" ht="17.25" customHeight="1" thickBot="1">
      <c r="A38" s="728"/>
      <c r="B38" s="712"/>
      <c r="C38" s="749"/>
      <c r="D38" s="714"/>
      <c r="E38" s="41" t="s">
        <v>380</v>
      </c>
      <c r="F38" s="41" t="s">
        <v>391</v>
      </c>
      <c r="G38" s="41" t="s">
        <v>236</v>
      </c>
      <c r="H38" s="39" t="s">
        <v>192</v>
      </c>
      <c r="I38" s="280">
        <v>234969</v>
      </c>
      <c r="J38" s="725">
        <v>260</v>
      </c>
      <c r="K38" s="723"/>
      <c r="L38" s="723"/>
      <c r="M38" s="723"/>
      <c r="N38" s="723"/>
      <c r="O38" s="723"/>
      <c r="P38" s="723"/>
      <c r="Q38" s="244"/>
      <c r="R38" s="242"/>
      <c r="S38" s="243"/>
      <c r="T38" s="716"/>
      <c r="U38" s="718"/>
    </row>
    <row r="39" spans="1:24" ht="16.5" customHeight="1">
      <c r="A39" s="713" t="s">
        <v>510</v>
      </c>
      <c r="B39" s="711" t="s">
        <v>511</v>
      </c>
      <c r="C39" s="730" t="s">
        <v>827</v>
      </c>
      <c r="D39" s="713" t="s">
        <v>199</v>
      </c>
      <c r="E39" s="40" t="s">
        <v>512</v>
      </c>
      <c r="F39" s="283" t="s">
        <v>503</v>
      </c>
      <c r="G39" s="40" t="s">
        <v>666</v>
      </c>
      <c r="H39" s="40" t="s">
        <v>192</v>
      </c>
      <c r="I39" s="309"/>
      <c r="J39" s="721">
        <v>190</v>
      </c>
      <c r="K39" s="722"/>
      <c r="L39" s="722"/>
      <c r="M39" s="722"/>
      <c r="N39" s="722"/>
      <c r="O39" s="722"/>
      <c r="P39" s="722"/>
      <c r="Q39" s="40"/>
      <c r="R39" s="237"/>
      <c r="S39" s="238"/>
      <c r="T39" s="237"/>
      <c r="U39" s="238"/>
    </row>
    <row r="40" spans="1:24" ht="17.25" customHeight="1" thickBot="1">
      <c r="A40" s="714"/>
      <c r="B40" s="712"/>
      <c r="C40" s="720"/>
      <c r="D40" s="714"/>
      <c r="E40" s="46" t="s">
        <v>513</v>
      </c>
      <c r="F40" s="46" t="s">
        <v>503</v>
      </c>
      <c r="G40" s="46" t="s">
        <v>525</v>
      </c>
      <c r="H40" s="46" t="s">
        <v>192</v>
      </c>
      <c r="I40" s="435"/>
      <c r="J40" s="761">
        <v>200</v>
      </c>
      <c r="K40" s="760"/>
      <c r="L40" s="760"/>
      <c r="M40" s="760"/>
      <c r="N40" s="760"/>
      <c r="O40" s="760"/>
      <c r="P40" s="760"/>
      <c r="Q40" s="46"/>
      <c r="R40" s="242"/>
      <c r="S40" s="243"/>
      <c r="T40" s="242"/>
      <c r="U40" s="243"/>
    </row>
    <row r="41" spans="1:24" ht="16.5" customHeight="1">
      <c r="A41" s="713" t="s">
        <v>472</v>
      </c>
      <c r="B41" s="711" t="s">
        <v>445</v>
      </c>
      <c r="C41" s="745" t="s">
        <v>751</v>
      </c>
      <c r="D41" s="713" t="s">
        <v>191</v>
      </c>
      <c r="E41" s="40" t="s">
        <v>189</v>
      </c>
      <c r="F41" s="231" t="s">
        <v>190</v>
      </c>
      <c r="G41" s="40" t="s">
        <v>730</v>
      </c>
      <c r="H41" s="40" t="s">
        <v>192</v>
      </c>
      <c r="I41" s="281">
        <v>355465</v>
      </c>
      <c r="J41" s="722">
        <v>200</v>
      </c>
      <c r="K41" s="722"/>
      <c r="L41" s="722"/>
      <c r="M41" s="722"/>
      <c r="N41" s="722"/>
      <c r="O41" s="722"/>
      <c r="P41" s="722"/>
      <c r="Q41" s="40">
        <v>100</v>
      </c>
      <c r="R41" s="237"/>
      <c r="S41" s="238"/>
      <c r="T41" s="806">
        <v>226</v>
      </c>
      <c r="U41" s="766">
        <v>70</v>
      </c>
    </row>
    <row r="42" spans="1:24" ht="16.5" customHeight="1">
      <c r="A42" s="729"/>
      <c r="B42" s="732"/>
      <c r="C42" s="746"/>
      <c r="D42" s="729"/>
      <c r="E42" s="35" t="s">
        <v>731</v>
      </c>
      <c r="F42" s="234" t="s">
        <v>732</v>
      </c>
      <c r="G42" s="35" t="s">
        <v>733</v>
      </c>
      <c r="H42" s="35" t="s">
        <v>11</v>
      </c>
      <c r="I42" s="291">
        <v>355465</v>
      </c>
      <c r="J42" s="724">
        <v>190</v>
      </c>
      <c r="K42" s="736"/>
      <c r="L42" s="736"/>
      <c r="M42" s="736"/>
      <c r="N42" s="736"/>
      <c r="O42" s="736"/>
      <c r="P42" s="736"/>
      <c r="Q42" s="35">
        <v>100</v>
      </c>
      <c r="T42" s="737"/>
      <c r="U42" s="738"/>
    </row>
    <row r="43" spans="1:24" ht="17.25" customHeight="1" thickBot="1">
      <c r="A43" s="714"/>
      <c r="B43" s="712"/>
      <c r="C43" s="788"/>
      <c r="D43" s="714"/>
      <c r="E43" s="294" t="s">
        <v>189</v>
      </c>
      <c r="F43" s="294" t="s">
        <v>190</v>
      </c>
      <c r="G43" s="294" t="s">
        <v>734</v>
      </c>
      <c r="H43" s="294" t="s">
        <v>192</v>
      </c>
      <c r="I43" s="401">
        <v>355465</v>
      </c>
      <c r="J43" s="774">
        <v>220</v>
      </c>
      <c r="K43" s="774"/>
      <c r="L43" s="774"/>
      <c r="M43" s="774"/>
      <c r="N43" s="774"/>
      <c r="O43" s="774"/>
      <c r="P43" s="774"/>
      <c r="Q43" s="294">
        <v>100</v>
      </c>
      <c r="R43" s="242"/>
      <c r="S43" s="243"/>
      <c r="T43" s="809"/>
      <c r="U43" s="773"/>
    </row>
    <row r="44" spans="1:24" ht="16">
      <c r="A44" s="713" t="s">
        <v>472</v>
      </c>
      <c r="B44" s="742" t="s">
        <v>445</v>
      </c>
      <c r="C44" s="785" t="s">
        <v>744</v>
      </c>
      <c r="D44" s="742" t="s">
        <v>12</v>
      </c>
      <c r="E44" s="223" t="s">
        <v>453</v>
      </c>
      <c r="F44" s="229" t="s">
        <v>450</v>
      </c>
      <c r="G44" s="223" t="s">
        <v>743</v>
      </c>
      <c r="H44" s="245" t="s">
        <v>11</v>
      </c>
      <c r="I44" s="276">
        <v>218000</v>
      </c>
      <c r="J44" s="332">
        <v>220</v>
      </c>
      <c r="K44" s="37">
        <v>220</v>
      </c>
      <c r="L44" s="37">
        <v>220</v>
      </c>
      <c r="M44" s="37">
        <v>220</v>
      </c>
      <c r="N44" s="363">
        <v>190</v>
      </c>
      <c r="O44" s="363">
        <v>190</v>
      </c>
      <c r="P44" s="363">
        <v>190</v>
      </c>
      <c r="Q44" s="245">
        <v>120</v>
      </c>
      <c r="R44" s="783">
        <v>25</v>
      </c>
      <c r="S44" s="783">
        <v>15</v>
      </c>
      <c r="T44" s="721">
        <v>442</v>
      </c>
      <c r="U44" s="766">
        <v>140</v>
      </c>
      <c r="W44" s="735" t="s">
        <v>822</v>
      </c>
      <c r="X44" s="735"/>
    </row>
    <row r="45" spans="1:24" ht="17.25" customHeight="1">
      <c r="A45" s="729"/>
      <c r="B45" s="743"/>
      <c r="C45" s="786"/>
      <c r="D45" s="743"/>
      <c r="E45" s="388" t="s">
        <v>453</v>
      </c>
      <c r="F45" s="388" t="s">
        <v>450</v>
      </c>
      <c r="G45" s="388" t="s">
        <v>745</v>
      </c>
      <c r="H45" s="330" t="s">
        <v>11</v>
      </c>
      <c r="I45" s="277">
        <v>265000</v>
      </c>
      <c r="J45" s="329">
        <v>190</v>
      </c>
      <c r="K45" s="218">
        <v>190</v>
      </c>
      <c r="L45" s="218">
        <v>190</v>
      </c>
      <c r="M45" s="218">
        <v>190</v>
      </c>
      <c r="N45" s="390">
        <v>180</v>
      </c>
      <c r="O45" s="390">
        <v>180</v>
      </c>
      <c r="P45" s="390">
        <v>180</v>
      </c>
      <c r="Q45" s="330">
        <v>120</v>
      </c>
      <c r="R45" s="802"/>
      <c r="S45" s="802"/>
      <c r="T45" s="724"/>
      <c r="U45" s="770"/>
      <c r="W45" s="735"/>
      <c r="X45" s="735"/>
    </row>
    <row r="46" spans="1:24" ht="17.25" customHeight="1" thickBot="1">
      <c r="A46" s="714"/>
      <c r="B46" s="744"/>
      <c r="C46" s="787"/>
      <c r="D46" s="744"/>
      <c r="E46" s="381" t="s">
        <v>453</v>
      </c>
      <c r="F46" s="381" t="s">
        <v>450</v>
      </c>
      <c r="G46" s="381" t="s">
        <v>746</v>
      </c>
      <c r="H46" s="383" t="s">
        <v>11</v>
      </c>
      <c r="I46" s="382">
        <v>265000</v>
      </c>
      <c r="J46" s="803">
        <v>220</v>
      </c>
      <c r="K46" s="804"/>
      <c r="L46" s="804"/>
      <c r="M46" s="804"/>
      <c r="N46" s="804"/>
      <c r="O46" s="804"/>
      <c r="P46" s="804"/>
      <c r="Q46" s="383">
        <v>120</v>
      </c>
      <c r="R46" s="789"/>
      <c r="S46" s="789"/>
      <c r="T46" s="725"/>
      <c r="U46" s="767"/>
      <c r="W46" s="735"/>
      <c r="X46" s="735"/>
    </row>
    <row r="47" spans="1:24" ht="16.5" customHeight="1">
      <c r="A47" s="713" t="s">
        <v>472</v>
      </c>
      <c r="B47" s="711" t="s">
        <v>445</v>
      </c>
      <c r="C47" s="745" t="s">
        <v>744</v>
      </c>
      <c r="D47" s="713" t="s">
        <v>415</v>
      </c>
      <c r="E47" s="40" t="s">
        <v>713</v>
      </c>
      <c r="F47" s="231" t="s">
        <v>416</v>
      </c>
      <c r="G47" s="40" t="s">
        <v>669</v>
      </c>
      <c r="H47" s="37" t="s">
        <v>11</v>
      </c>
      <c r="I47" s="276">
        <v>204526</v>
      </c>
      <c r="J47" s="722">
        <v>220</v>
      </c>
      <c r="K47" s="722"/>
      <c r="L47" s="722"/>
      <c r="M47" s="722"/>
      <c r="N47" s="722"/>
      <c r="O47" s="722"/>
      <c r="P47" s="722"/>
      <c r="Q47" s="228">
        <v>85</v>
      </c>
      <c r="R47" s="721"/>
      <c r="S47" s="726"/>
      <c r="T47" s="780">
        <v>518</v>
      </c>
      <c r="U47" s="741">
        <v>170</v>
      </c>
    </row>
    <row r="48" spans="1:24" ht="16.5" customHeight="1">
      <c r="A48" s="729"/>
      <c r="B48" s="732"/>
      <c r="C48" s="746"/>
      <c r="D48" s="729"/>
      <c r="E48" s="222" t="s">
        <v>851</v>
      </c>
      <c r="F48" s="250" t="s">
        <v>416</v>
      </c>
      <c r="G48" s="222" t="s">
        <v>669</v>
      </c>
      <c r="H48" s="226" t="s">
        <v>11</v>
      </c>
      <c r="I48" s="277">
        <v>204526</v>
      </c>
      <c r="J48" s="739">
        <v>195</v>
      </c>
      <c r="K48" s="740"/>
      <c r="L48" s="740"/>
      <c r="M48" s="740"/>
      <c r="N48" s="740"/>
      <c r="O48" s="740"/>
      <c r="P48" s="740"/>
      <c r="Q48" s="364">
        <v>85</v>
      </c>
      <c r="R48" s="724"/>
      <c r="S48" s="727"/>
      <c r="T48" s="780"/>
      <c r="U48" s="738"/>
    </row>
    <row r="49" spans="1:24" ht="16.5" customHeight="1" thickBot="1">
      <c r="A49" s="729"/>
      <c r="B49" s="732"/>
      <c r="C49" s="746"/>
      <c r="D49" s="729"/>
      <c r="E49" s="365" t="s">
        <v>850</v>
      </c>
      <c r="F49" s="324" t="s">
        <v>416</v>
      </c>
      <c r="G49" s="365" t="s">
        <v>670</v>
      </c>
      <c r="H49" s="366" t="s">
        <v>11</v>
      </c>
      <c r="I49" s="319">
        <v>204526</v>
      </c>
      <c r="J49" s="775">
        <v>210</v>
      </c>
      <c r="K49" s="776"/>
      <c r="L49" s="776"/>
      <c r="M49" s="776"/>
      <c r="N49" s="776"/>
      <c r="O49" s="776"/>
      <c r="P49" s="776"/>
      <c r="Q49" s="367">
        <v>85</v>
      </c>
      <c r="R49" s="724"/>
      <c r="S49" s="727"/>
      <c r="T49" s="780"/>
      <c r="U49" s="738"/>
    </row>
    <row r="50" spans="1:24" ht="17" thickBot="1">
      <c r="A50" s="407" t="s">
        <v>475</v>
      </c>
      <c r="B50" s="287" t="s">
        <v>446</v>
      </c>
      <c r="C50" s="317" t="s">
        <v>758</v>
      </c>
      <c r="D50" s="407" t="s">
        <v>406</v>
      </c>
      <c r="E50" s="40" t="s">
        <v>354</v>
      </c>
      <c r="F50" s="231" t="s">
        <v>355</v>
      </c>
      <c r="G50" s="40" t="s">
        <v>528</v>
      </c>
      <c r="H50" s="37" t="s">
        <v>192</v>
      </c>
      <c r="I50" s="276">
        <v>202514</v>
      </c>
      <c r="J50" s="778">
        <v>190</v>
      </c>
      <c r="K50" s="779"/>
      <c r="L50" s="779"/>
      <c r="M50" s="779"/>
      <c r="N50" s="779"/>
      <c r="O50" s="779"/>
      <c r="P50" s="779"/>
      <c r="Q50" s="40">
        <v>80</v>
      </c>
      <c r="R50" s="237">
        <v>15</v>
      </c>
      <c r="S50" s="238">
        <v>15</v>
      </c>
      <c r="T50" s="331">
        <v>360</v>
      </c>
      <c r="U50" s="142">
        <v>182</v>
      </c>
    </row>
    <row r="51" spans="1:24" ht="16.5" customHeight="1">
      <c r="A51" s="713" t="s">
        <v>473</v>
      </c>
      <c r="B51" s="711" t="s">
        <v>445</v>
      </c>
      <c r="C51" s="745" t="s">
        <v>759</v>
      </c>
      <c r="D51" s="713" t="s">
        <v>406</v>
      </c>
      <c r="E51" s="467" t="s">
        <v>845</v>
      </c>
      <c r="F51" s="433" t="s">
        <v>478</v>
      </c>
      <c r="G51" s="221" t="s">
        <v>497</v>
      </c>
      <c r="H51" s="471" t="s">
        <v>192</v>
      </c>
      <c r="I51" s="437">
        <v>210256</v>
      </c>
      <c r="J51" s="762">
        <v>180</v>
      </c>
      <c r="K51" s="763"/>
      <c r="L51" s="763"/>
      <c r="M51" s="763"/>
      <c r="N51" s="763"/>
      <c r="O51" s="763"/>
      <c r="P51" s="763"/>
      <c r="Q51" s="221">
        <v>80</v>
      </c>
      <c r="R51" s="237">
        <v>15</v>
      </c>
      <c r="S51" s="238">
        <v>15</v>
      </c>
      <c r="T51" s="237">
        <v>171</v>
      </c>
      <c r="U51" s="238">
        <v>60</v>
      </c>
      <c r="W51" s="735" t="s">
        <v>822</v>
      </c>
      <c r="X51" s="735"/>
    </row>
    <row r="52" spans="1:24" ht="16.5" customHeight="1">
      <c r="A52" s="729"/>
      <c r="B52" s="732"/>
      <c r="C52" s="746"/>
      <c r="D52" s="729"/>
      <c r="E52" s="358" t="s">
        <v>845</v>
      </c>
      <c r="F52" s="472" t="s">
        <v>478</v>
      </c>
      <c r="G52" s="222" t="s">
        <v>846</v>
      </c>
      <c r="H52" s="372" t="s">
        <v>192</v>
      </c>
      <c r="I52" s="473">
        <v>210256</v>
      </c>
      <c r="J52" s="739">
        <v>210</v>
      </c>
      <c r="K52" s="740"/>
      <c r="L52" s="740"/>
      <c r="M52" s="740"/>
      <c r="N52" s="740"/>
      <c r="O52" s="740"/>
      <c r="P52" s="740"/>
      <c r="Q52" s="222">
        <v>80</v>
      </c>
      <c r="W52" s="735"/>
      <c r="X52" s="735"/>
    </row>
    <row r="53" spans="1:24" ht="17.25" customHeight="1" thickBot="1">
      <c r="A53" s="714"/>
      <c r="B53" s="712"/>
      <c r="C53" s="749"/>
      <c r="D53" s="714"/>
      <c r="E53" s="242" t="s">
        <v>357</v>
      </c>
      <c r="F53" s="470" t="s">
        <v>478</v>
      </c>
      <c r="G53" s="41" t="s">
        <v>497</v>
      </c>
      <c r="H53" s="469" t="s">
        <v>192</v>
      </c>
      <c r="I53" s="280">
        <v>210256</v>
      </c>
      <c r="J53" s="781">
        <v>200</v>
      </c>
      <c r="K53" s="782"/>
      <c r="L53" s="782"/>
      <c r="M53" s="782"/>
      <c r="N53" s="782"/>
      <c r="O53" s="782"/>
      <c r="P53" s="782"/>
      <c r="Q53" s="41">
        <v>80</v>
      </c>
      <c r="R53" s="242">
        <v>15</v>
      </c>
      <c r="S53" s="243">
        <v>15</v>
      </c>
      <c r="T53" s="242">
        <v>171</v>
      </c>
      <c r="U53" s="243">
        <v>60</v>
      </c>
      <c r="W53" s="735"/>
      <c r="X53" s="735"/>
    </row>
    <row r="54" spans="1:24" ht="16.5" customHeight="1">
      <c r="A54" s="713" t="s">
        <v>475</v>
      </c>
      <c r="B54" s="711" t="s">
        <v>445</v>
      </c>
      <c r="C54" s="753" t="s">
        <v>767</v>
      </c>
      <c r="D54" s="713" t="s">
        <v>405</v>
      </c>
      <c r="E54" s="40" t="s">
        <v>359</v>
      </c>
      <c r="F54" s="231" t="s">
        <v>358</v>
      </c>
      <c r="G54" s="40" t="s">
        <v>356</v>
      </c>
      <c r="H54" s="37" t="s">
        <v>11</v>
      </c>
      <c r="I54" s="276">
        <v>237369</v>
      </c>
      <c r="J54" s="722">
        <v>230</v>
      </c>
      <c r="K54" s="722"/>
      <c r="L54" s="722"/>
      <c r="M54" s="722"/>
      <c r="N54" s="722"/>
      <c r="O54" s="722"/>
      <c r="P54" s="722"/>
      <c r="Q54" s="40">
        <v>85</v>
      </c>
      <c r="R54" s="237"/>
      <c r="S54" s="238"/>
      <c r="T54" s="715">
        <v>576</v>
      </c>
      <c r="U54" s="766"/>
      <c r="V54" s="35">
        <v>4</v>
      </c>
    </row>
    <row r="55" spans="1:24" ht="17.25" customHeight="1" thickBot="1">
      <c r="A55" s="714"/>
      <c r="B55" s="712"/>
      <c r="C55" s="754"/>
      <c r="D55" s="714"/>
      <c r="E55" s="41" t="s">
        <v>359</v>
      </c>
      <c r="F55" s="41" t="s">
        <v>358</v>
      </c>
      <c r="G55" s="41" t="s">
        <v>236</v>
      </c>
      <c r="H55" s="39" t="s">
        <v>11</v>
      </c>
      <c r="I55" s="280">
        <v>261721</v>
      </c>
      <c r="J55" s="723">
        <v>250</v>
      </c>
      <c r="K55" s="723"/>
      <c r="L55" s="723"/>
      <c r="M55" s="723"/>
      <c r="N55" s="723"/>
      <c r="O55" s="723"/>
      <c r="P55" s="723"/>
      <c r="Q55" s="41">
        <v>85</v>
      </c>
      <c r="R55" s="242"/>
      <c r="S55" s="243"/>
      <c r="T55" s="716"/>
      <c r="U55" s="767"/>
      <c r="V55" s="35">
        <v>4</v>
      </c>
    </row>
    <row r="56" spans="1:24" ht="16.5" customHeight="1">
      <c r="A56" s="713" t="s">
        <v>642</v>
      </c>
      <c r="B56" s="711" t="s">
        <v>729</v>
      </c>
      <c r="C56" s="719" t="s">
        <v>644</v>
      </c>
      <c r="D56" s="713" t="s">
        <v>798</v>
      </c>
      <c r="E56" s="40" t="s">
        <v>799</v>
      </c>
      <c r="F56" s="283" t="s">
        <v>802</v>
      </c>
      <c r="G56" s="40" t="s">
        <v>643</v>
      </c>
      <c r="H56" s="40" t="s">
        <v>794</v>
      </c>
      <c r="I56" s="309">
        <v>216611</v>
      </c>
      <c r="J56" s="721">
        <v>200</v>
      </c>
      <c r="K56" s="722"/>
      <c r="L56" s="722"/>
      <c r="M56" s="722"/>
      <c r="N56" s="722"/>
      <c r="O56" s="722"/>
      <c r="P56" s="722"/>
      <c r="Q56" s="40"/>
      <c r="R56" s="237"/>
      <c r="S56" s="238"/>
      <c r="T56" s="721">
        <v>395</v>
      </c>
      <c r="U56" s="726"/>
    </row>
    <row r="57" spans="1:24" ht="16.5" customHeight="1">
      <c r="A57" s="729"/>
      <c r="B57" s="732"/>
      <c r="C57" s="731"/>
      <c r="D57" s="729"/>
      <c r="E57" s="443" t="s">
        <v>800</v>
      </c>
      <c r="F57" s="443" t="s">
        <v>802</v>
      </c>
      <c r="G57" s="443" t="s">
        <v>643</v>
      </c>
      <c r="H57" s="443" t="s">
        <v>794</v>
      </c>
      <c r="I57" s="444">
        <v>216611</v>
      </c>
      <c r="J57" s="764">
        <v>238</v>
      </c>
      <c r="K57" s="765"/>
      <c r="L57" s="765"/>
      <c r="M57" s="765"/>
      <c r="N57" s="765"/>
      <c r="O57" s="765"/>
      <c r="P57" s="765"/>
      <c r="Q57" s="443"/>
      <c r="T57" s="724"/>
      <c r="U57" s="727"/>
    </row>
    <row r="58" spans="1:24" ht="17.25" customHeight="1" thickBot="1">
      <c r="A58" s="714"/>
      <c r="B58" s="712"/>
      <c r="C58" s="720"/>
      <c r="D58" s="714"/>
      <c r="E58" s="46" t="s">
        <v>801</v>
      </c>
      <c r="F58" s="46" t="s">
        <v>802</v>
      </c>
      <c r="G58" s="46" t="s">
        <v>643</v>
      </c>
      <c r="H58" s="46" t="s">
        <v>794</v>
      </c>
      <c r="I58" s="435">
        <v>216611</v>
      </c>
      <c r="J58" s="761">
        <v>210</v>
      </c>
      <c r="K58" s="760"/>
      <c r="L58" s="760"/>
      <c r="M58" s="760"/>
      <c r="N58" s="760"/>
      <c r="O58" s="760"/>
      <c r="P58" s="760"/>
      <c r="Q58" s="46"/>
      <c r="R58" s="242"/>
      <c r="S58" s="243"/>
      <c r="T58" s="725"/>
      <c r="U58" s="728"/>
    </row>
    <row r="59" spans="1:24" ht="17">
      <c r="A59" s="726" t="s">
        <v>795</v>
      </c>
      <c r="B59" s="711" t="s">
        <v>502</v>
      </c>
      <c r="C59" s="758" t="s">
        <v>796</v>
      </c>
      <c r="D59" s="713" t="s">
        <v>797</v>
      </c>
      <c r="E59" s="40" t="s">
        <v>465</v>
      </c>
      <c r="F59" s="368" t="s">
        <v>464</v>
      </c>
      <c r="G59" s="40" t="s">
        <v>498</v>
      </c>
      <c r="H59" s="228" t="s">
        <v>501</v>
      </c>
      <c r="I59" s="309">
        <v>219406</v>
      </c>
      <c r="J59" s="721">
        <v>188</v>
      </c>
      <c r="K59" s="722"/>
      <c r="L59" s="722"/>
      <c r="M59" s="722"/>
      <c r="N59" s="722"/>
      <c r="O59" s="834">
        <v>178</v>
      </c>
      <c r="P59" s="834"/>
      <c r="Q59" s="40" t="s">
        <v>793</v>
      </c>
      <c r="R59" s="237">
        <v>20</v>
      </c>
      <c r="S59" s="238">
        <v>20</v>
      </c>
      <c r="T59" s="721">
        <v>989</v>
      </c>
      <c r="U59" s="726"/>
    </row>
    <row r="60" spans="1:24" ht="16.5" customHeight="1">
      <c r="A60" s="727"/>
      <c r="B60" s="732"/>
      <c r="C60" s="759"/>
      <c r="D60" s="729"/>
      <c r="E60" s="35" t="s">
        <v>465</v>
      </c>
      <c r="F60" s="35" t="s">
        <v>464</v>
      </c>
      <c r="G60" s="35" t="s">
        <v>499</v>
      </c>
      <c r="H60" s="157" t="s">
        <v>501</v>
      </c>
      <c r="I60" s="310"/>
      <c r="J60" s="724">
        <v>208</v>
      </c>
      <c r="K60" s="736"/>
      <c r="L60" s="736"/>
      <c r="M60" s="736"/>
      <c r="N60" s="736"/>
      <c r="O60" s="835">
        <v>198</v>
      </c>
      <c r="P60" s="835"/>
      <c r="Q60" s="35" t="s">
        <v>793</v>
      </c>
      <c r="R60" s="240">
        <v>20</v>
      </c>
      <c r="S60" s="241">
        <v>20</v>
      </c>
      <c r="T60" s="724"/>
      <c r="U60" s="727"/>
    </row>
    <row r="61" spans="1:24" ht="17.25" customHeight="1" thickBot="1">
      <c r="A61" s="728"/>
      <c r="B61" s="712"/>
      <c r="C61" s="759"/>
      <c r="D61" s="714"/>
      <c r="E61" s="35" t="s">
        <v>465</v>
      </c>
      <c r="F61" s="35" t="s">
        <v>464</v>
      </c>
      <c r="G61" s="35" t="s">
        <v>500</v>
      </c>
      <c r="H61" s="157" t="s">
        <v>501</v>
      </c>
      <c r="I61" s="310"/>
      <c r="J61" s="725">
        <v>278</v>
      </c>
      <c r="K61" s="723"/>
      <c r="L61" s="723"/>
      <c r="M61" s="723"/>
      <c r="N61" s="723"/>
      <c r="O61" s="836">
        <v>268</v>
      </c>
      <c r="P61" s="836"/>
      <c r="Q61" s="35" t="s">
        <v>793</v>
      </c>
      <c r="R61" s="240">
        <v>20</v>
      </c>
      <c r="S61" s="241">
        <v>20</v>
      </c>
      <c r="T61" s="725"/>
      <c r="U61" s="728"/>
    </row>
    <row r="62" spans="1:24" ht="16.5" customHeight="1">
      <c r="A62" s="713" t="s">
        <v>475</v>
      </c>
      <c r="B62" s="711" t="s">
        <v>445</v>
      </c>
      <c r="C62" s="745" t="s">
        <v>747</v>
      </c>
      <c r="D62" s="713" t="s">
        <v>199</v>
      </c>
      <c r="E62" s="221" t="s">
        <v>714</v>
      </c>
      <c r="F62" s="433" t="s">
        <v>456</v>
      </c>
      <c r="G62" s="221" t="s">
        <v>667</v>
      </c>
      <c r="H62" s="436" t="s">
        <v>11</v>
      </c>
      <c r="I62" s="437">
        <v>280689</v>
      </c>
      <c r="J62" s="763">
        <v>230</v>
      </c>
      <c r="K62" s="763"/>
      <c r="L62" s="763"/>
      <c r="M62" s="763"/>
      <c r="N62" s="763"/>
      <c r="O62" s="763"/>
      <c r="P62" s="763"/>
      <c r="Q62" s="221">
        <v>80</v>
      </c>
      <c r="R62" s="721"/>
      <c r="S62" s="726"/>
      <c r="T62" s="715">
        <v>407</v>
      </c>
      <c r="U62" s="766">
        <v>152</v>
      </c>
    </row>
    <row r="63" spans="1:24" ht="17.25" customHeight="1" thickBot="1">
      <c r="A63" s="714"/>
      <c r="B63" s="712"/>
      <c r="C63" s="749"/>
      <c r="D63" s="714"/>
      <c r="E63" s="35" t="s">
        <v>714</v>
      </c>
      <c r="F63" s="35" t="s">
        <v>456</v>
      </c>
      <c r="G63" s="35" t="s">
        <v>668</v>
      </c>
      <c r="H63" s="218" t="s">
        <v>11</v>
      </c>
      <c r="I63" s="277">
        <v>304083</v>
      </c>
      <c r="J63" s="736">
        <v>250</v>
      </c>
      <c r="K63" s="736"/>
      <c r="L63" s="736"/>
      <c r="M63" s="736"/>
      <c r="N63" s="736"/>
      <c r="O63" s="736"/>
      <c r="P63" s="736"/>
      <c r="Q63" s="35">
        <v>80</v>
      </c>
      <c r="R63" s="725"/>
      <c r="S63" s="728"/>
      <c r="T63" s="716"/>
      <c r="U63" s="767"/>
    </row>
    <row r="64" spans="1:24" ht="16.5" customHeight="1">
      <c r="A64" s="713" t="s">
        <v>475</v>
      </c>
      <c r="B64" s="711" t="s">
        <v>445</v>
      </c>
      <c r="C64" s="747" t="s">
        <v>744</v>
      </c>
      <c r="D64" s="721" t="s">
        <v>408</v>
      </c>
      <c r="E64" s="237" t="s">
        <v>457</v>
      </c>
      <c r="F64" s="40" t="s">
        <v>407</v>
      </c>
      <c r="G64" s="40" t="s">
        <v>310</v>
      </c>
      <c r="H64" s="245" t="s">
        <v>11</v>
      </c>
      <c r="I64" s="276">
        <v>239909</v>
      </c>
      <c r="J64" s="721">
        <v>235</v>
      </c>
      <c r="K64" s="722"/>
      <c r="L64" s="722"/>
      <c r="M64" s="722"/>
      <c r="N64" s="722"/>
      <c r="O64" s="722"/>
      <c r="P64" s="722"/>
      <c r="Q64" s="238">
        <v>95</v>
      </c>
      <c r="R64" s="721">
        <v>30</v>
      </c>
      <c r="S64" s="726">
        <v>18</v>
      </c>
      <c r="T64" s="715">
        <v>482</v>
      </c>
      <c r="U64" s="717"/>
    </row>
    <row r="65" spans="1:24" ht="16.5" customHeight="1">
      <c r="A65" s="729"/>
      <c r="B65" s="732"/>
      <c r="C65" s="748"/>
      <c r="D65" s="724"/>
      <c r="E65" s="358" t="s">
        <v>527</v>
      </c>
      <c r="F65" s="392" t="s">
        <v>407</v>
      </c>
      <c r="G65" s="222" t="s">
        <v>310</v>
      </c>
      <c r="H65" s="372" t="s">
        <v>11</v>
      </c>
      <c r="I65" s="277">
        <v>239909</v>
      </c>
      <c r="J65" s="739">
        <v>215</v>
      </c>
      <c r="K65" s="740"/>
      <c r="L65" s="740"/>
      <c r="M65" s="740"/>
      <c r="N65" s="740"/>
      <c r="O65" s="740"/>
      <c r="P65" s="740"/>
      <c r="Q65" s="315">
        <v>95</v>
      </c>
      <c r="R65" s="724"/>
      <c r="S65" s="727"/>
      <c r="T65" s="737"/>
      <c r="U65" s="738"/>
    </row>
    <row r="66" spans="1:24" ht="16.5" customHeight="1" thickBot="1">
      <c r="A66" s="714"/>
      <c r="B66" s="712"/>
      <c r="C66" s="749"/>
      <c r="D66" s="725"/>
      <c r="E66" s="320" t="s">
        <v>571</v>
      </c>
      <c r="F66" s="321" t="s">
        <v>569</v>
      </c>
      <c r="G66" s="321" t="s">
        <v>570</v>
      </c>
      <c r="H66" s="393" t="s">
        <v>11</v>
      </c>
      <c r="I66" s="323">
        <v>239909</v>
      </c>
      <c r="J66" s="771">
        <v>225</v>
      </c>
      <c r="K66" s="772"/>
      <c r="L66" s="772"/>
      <c r="M66" s="772"/>
      <c r="N66" s="772"/>
      <c r="O66" s="772"/>
      <c r="P66" s="772"/>
      <c r="Q66" s="394">
        <v>95</v>
      </c>
      <c r="R66" s="725"/>
      <c r="S66" s="728"/>
      <c r="T66" s="737"/>
      <c r="U66" s="738"/>
    </row>
    <row r="67" spans="1:24" ht="16.5" customHeight="1">
      <c r="A67" s="713" t="s">
        <v>473</v>
      </c>
      <c r="B67" s="711" t="s">
        <v>440</v>
      </c>
      <c r="C67" s="745" t="s">
        <v>744</v>
      </c>
      <c r="D67" s="713" t="s">
        <v>384</v>
      </c>
      <c r="E67" s="240" t="s">
        <v>816</v>
      </c>
      <c r="F67" s="359" t="s">
        <v>394</v>
      </c>
      <c r="G67" s="35" t="s">
        <v>519</v>
      </c>
      <c r="H67" s="218" t="s">
        <v>192</v>
      </c>
      <c r="I67" s="277">
        <v>274930</v>
      </c>
      <c r="J67" s="724">
        <v>180</v>
      </c>
      <c r="K67" s="736"/>
      <c r="L67" s="736"/>
      <c r="M67" s="736"/>
      <c r="N67" s="736"/>
      <c r="O67" s="736"/>
      <c r="P67" s="736"/>
      <c r="Q67" s="35" t="s">
        <v>568</v>
      </c>
      <c r="R67" s="721">
        <v>30</v>
      </c>
      <c r="S67" s="726">
        <v>30</v>
      </c>
      <c r="T67" s="715">
        <v>785</v>
      </c>
      <c r="U67" s="717">
        <v>226</v>
      </c>
      <c r="W67" s="736"/>
      <c r="X67" s="736"/>
    </row>
    <row r="68" spans="1:24" ht="16.5" customHeight="1" thickBot="1">
      <c r="A68" s="729"/>
      <c r="B68" s="732"/>
      <c r="C68" s="746"/>
      <c r="D68" s="729"/>
      <c r="E68" s="240" t="s">
        <v>816</v>
      </c>
      <c r="F68" s="35" t="s">
        <v>394</v>
      </c>
      <c r="G68" s="35" t="s">
        <v>520</v>
      </c>
      <c r="H68" s="218" t="s">
        <v>192</v>
      </c>
      <c r="I68" s="277">
        <v>306276</v>
      </c>
      <c r="J68" s="724">
        <v>200</v>
      </c>
      <c r="K68" s="736"/>
      <c r="L68" s="736"/>
      <c r="M68" s="736"/>
      <c r="N68" s="736"/>
      <c r="O68" s="736"/>
      <c r="P68" s="736"/>
      <c r="Q68" s="35">
        <v>75</v>
      </c>
      <c r="R68" s="724"/>
      <c r="S68" s="727"/>
      <c r="T68" s="737"/>
      <c r="U68" s="738"/>
      <c r="W68" s="736"/>
      <c r="X68" s="736"/>
    </row>
    <row r="69" spans="1:24" ht="16">
      <c r="A69" s="713" t="s">
        <v>472</v>
      </c>
      <c r="B69" s="711" t="s">
        <v>446</v>
      </c>
      <c r="C69" s="745" t="s">
        <v>823</v>
      </c>
      <c r="D69" s="721" t="s">
        <v>191</v>
      </c>
      <c r="E69" s="237" t="s">
        <v>459</v>
      </c>
      <c r="F69" s="229" t="s">
        <v>413</v>
      </c>
      <c r="G69" s="40" t="s">
        <v>516</v>
      </c>
      <c r="H69" s="238" t="s">
        <v>192</v>
      </c>
      <c r="I69" s="281">
        <v>260061</v>
      </c>
      <c r="J69" s="237">
        <v>310</v>
      </c>
      <c r="K69" s="40">
        <v>310</v>
      </c>
      <c r="L69" s="40">
        <v>310</v>
      </c>
      <c r="M69" s="40">
        <v>310</v>
      </c>
      <c r="N69" s="70">
        <v>280</v>
      </c>
      <c r="O69" s="70">
        <v>280</v>
      </c>
      <c r="P69" s="70">
        <v>280</v>
      </c>
      <c r="Q69" s="238">
        <v>110</v>
      </c>
      <c r="R69" s="721">
        <v>30</v>
      </c>
      <c r="S69" s="726">
        <v>15</v>
      </c>
      <c r="T69" s="713">
        <v>415</v>
      </c>
      <c r="U69" s="713">
        <v>120</v>
      </c>
    </row>
    <row r="70" spans="1:24" ht="17.25" customHeight="1">
      <c r="A70" s="729"/>
      <c r="B70" s="732"/>
      <c r="C70" s="746"/>
      <c r="D70" s="724"/>
      <c r="E70" s="240" t="s">
        <v>459</v>
      </c>
      <c r="F70" s="35" t="s">
        <v>413</v>
      </c>
      <c r="G70" s="35" t="s">
        <v>429</v>
      </c>
      <c r="H70" s="241" t="s">
        <v>11</v>
      </c>
      <c r="I70" s="291">
        <v>271375</v>
      </c>
      <c r="J70" s="240">
        <v>340</v>
      </c>
      <c r="K70" s="35">
        <v>340</v>
      </c>
      <c r="L70" s="35">
        <v>340</v>
      </c>
      <c r="M70" s="35">
        <v>340</v>
      </c>
      <c r="N70" s="248">
        <v>305</v>
      </c>
      <c r="O70" s="248">
        <v>305</v>
      </c>
      <c r="P70" s="248">
        <v>305</v>
      </c>
      <c r="Q70" s="241">
        <v>110</v>
      </c>
      <c r="R70" s="724"/>
      <c r="S70" s="727"/>
      <c r="T70" s="729"/>
      <c r="U70" s="729"/>
    </row>
    <row r="71" spans="1:24" ht="16.5" customHeight="1">
      <c r="A71" s="729"/>
      <c r="B71" s="732"/>
      <c r="C71" s="748"/>
      <c r="D71" s="724"/>
      <c r="E71" s="379" t="s">
        <v>607</v>
      </c>
      <c r="F71" s="426" t="s">
        <v>605</v>
      </c>
      <c r="G71" s="396" t="s">
        <v>606</v>
      </c>
      <c r="H71" s="427" t="s">
        <v>11</v>
      </c>
      <c r="I71" s="326">
        <v>260061</v>
      </c>
      <c r="J71" s="768">
        <v>210</v>
      </c>
      <c r="K71" s="769"/>
      <c r="L71" s="769"/>
      <c r="M71" s="769"/>
      <c r="N71" s="769"/>
      <c r="O71" s="769"/>
      <c r="P71" s="769"/>
      <c r="Q71" s="427">
        <v>110</v>
      </c>
      <c r="R71" s="724"/>
      <c r="S71" s="727"/>
      <c r="T71" s="729"/>
      <c r="U71" s="729"/>
      <c r="V71" s="35">
        <v>10</v>
      </c>
    </row>
    <row r="72" spans="1:24" ht="16.5" customHeight="1" thickBot="1">
      <c r="A72" s="714"/>
      <c r="B72" s="712"/>
      <c r="C72" s="749"/>
      <c r="D72" s="725"/>
      <c r="E72" s="428" t="s">
        <v>607</v>
      </c>
      <c r="F72" s="429" t="s">
        <v>605</v>
      </c>
      <c r="G72" s="430" t="s">
        <v>645</v>
      </c>
      <c r="H72" s="431" t="s">
        <v>11</v>
      </c>
      <c r="I72" s="432">
        <v>260061</v>
      </c>
      <c r="J72" s="818">
        <v>240</v>
      </c>
      <c r="K72" s="819"/>
      <c r="L72" s="819"/>
      <c r="M72" s="819"/>
      <c r="N72" s="819"/>
      <c r="O72" s="819"/>
      <c r="P72" s="819"/>
      <c r="Q72" s="431">
        <v>110</v>
      </c>
      <c r="R72" s="725"/>
      <c r="S72" s="728"/>
      <c r="T72" s="714"/>
      <c r="U72" s="714"/>
      <c r="V72" s="35">
        <v>10</v>
      </c>
    </row>
    <row r="73" spans="1:24" ht="16.5" customHeight="1">
      <c r="A73" s="726" t="s">
        <v>475</v>
      </c>
      <c r="B73" s="711" t="s">
        <v>445</v>
      </c>
      <c r="C73" s="745" t="s">
        <v>760</v>
      </c>
      <c r="D73" s="713" t="s">
        <v>199</v>
      </c>
      <c r="E73" s="40" t="s">
        <v>308</v>
      </c>
      <c r="F73" s="231" t="s">
        <v>309</v>
      </c>
      <c r="G73" s="40" t="s">
        <v>310</v>
      </c>
      <c r="H73" s="37" t="s">
        <v>192</v>
      </c>
      <c r="I73" s="276">
        <v>274889</v>
      </c>
      <c r="J73" s="722">
        <v>255</v>
      </c>
      <c r="K73" s="722"/>
      <c r="L73" s="722"/>
      <c r="M73" s="722"/>
      <c r="N73" s="722"/>
      <c r="O73" s="722"/>
      <c r="P73" s="722"/>
      <c r="Q73" s="40">
        <v>90</v>
      </c>
      <c r="R73" s="721"/>
      <c r="S73" s="726"/>
      <c r="T73" s="715">
        <v>565</v>
      </c>
      <c r="U73" s="766">
        <v>110</v>
      </c>
    </row>
    <row r="74" spans="1:24" ht="17.25" customHeight="1" thickBot="1">
      <c r="A74" s="727"/>
      <c r="B74" s="732"/>
      <c r="C74" s="748"/>
      <c r="D74" s="729"/>
      <c r="E74" s="35" t="s">
        <v>308</v>
      </c>
      <c r="F74" s="35" t="s">
        <v>309</v>
      </c>
      <c r="G74" s="35" t="s">
        <v>311</v>
      </c>
      <c r="H74" s="218" t="s">
        <v>192</v>
      </c>
      <c r="I74" s="277">
        <v>281022</v>
      </c>
      <c r="J74" s="736">
        <v>275</v>
      </c>
      <c r="K74" s="736"/>
      <c r="L74" s="736"/>
      <c r="M74" s="736"/>
      <c r="N74" s="736"/>
      <c r="O74" s="736"/>
      <c r="P74" s="736"/>
      <c r="Q74" s="35">
        <v>90</v>
      </c>
      <c r="R74" s="724"/>
      <c r="S74" s="727"/>
      <c r="T74" s="737"/>
      <c r="U74" s="773"/>
      <c r="V74" s="35">
        <v>5</v>
      </c>
    </row>
    <row r="75" spans="1:24" ht="18" customHeight="1">
      <c r="A75" s="713" t="s">
        <v>475</v>
      </c>
      <c r="B75" s="711" t="s">
        <v>445</v>
      </c>
      <c r="C75" s="753" t="s">
        <v>735</v>
      </c>
      <c r="D75" s="713" t="s">
        <v>792</v>
      </c>
      <c r="E75" s="40" t="s">
        <v>494</v>
      </c>
      <c r="F75" s="368" t="s">
        <v>495</v>
      </c>
      <c r="G75" s="40" t="s">
        <v>671</v>
      </c>
      <c r="H75" s="40" t="s">
        <v>794</v>
      </c>
      <c r="I75" s="309">
        <v>288992</v>
      </c>
      <c r="J75" s="721">
        <v>275</v>
      </c>
      <c r="K75" s="722"/>
      <c r="L75" s="722"/>
      <c r="M75" s="722"/>
      <c r="N75" s="722"/>
      <c r="O75" s="722"/>
      <c r="P75" s="722"/>
      <c r="Q75" s="40" t="s">
        <v>793</v>
      </c>
      <c r="R75" s="721"/>
      <c r="S75" s="726"/>
      <c r="T75" s="721">
        <v>314</v>
      </c>
      <c r="U75" s="726"/>
    </row>
    <row r="76" spans="1:24" ht="17.25" customHeight="1" thickBot="1">
      <c r="A76" s="714"/>
      <c r="B76" s="712"/>
      <c r="C76" s="754"/>
      <c r="D76" s="714"/>
      <c r="E76" s="41" t="s">
        <v>494</v>
      </c>
      <c r="F76" s="41" t="s">
        <v>495</v>
      </c>
      <c r="G76" s="41" t="s">
        <v>672</v>
      </c>
      <c r="H76" s="41" t="s">
        <v>794</v>
      </c>
      <c r="I76" s="313">
        <v>311649</v>
      </c>
      <c r="J76" s="725">
        <v>295</v>
      </c>
      <c r="K76" s="723"/>
      <c r="L76" s="723"/>
      <c r="M76" s="723"/>
      <c r="N76" s="723"/>
      <c r="O76" s="723"/>
      <c r="P76" s="723"/>
      <c r="Q76" s="41" t="s">
        <v>793</v>
      </c>
      <c r="R76" s="725"/>
      <c r="S76" s="728"/>
      <c r="T76" s="725"/>
      <c r="U76" s="728"/>
    </row>
    <row r="77" spans="1:24" ht="5.25" customHeight="1" thickBot="1">
      <c r="A77" s="412"/>
      <c r="B77" s="413"/>
      <c r="C77" s="414"/>
      <c r="D77" s="415"/>
      <c r="E77" s="416"/>
      <c r="F77" s="417"/>
      <c r="G77" s="416"/>
      <c r="H77" s="416"/>
      <c r="I77" s="418"/>
      <c r="J77" s="416"/>
      <c r="K77" s="416"/>
      <c r="L77" s="416"/>
      <c r="M77" s="416"/>
      <c r="N77" s="416"/>
      <c r="O77" s="416"/>
      <c r="P77" s="416"/>
      <c r="Q77" s="416"/>
      <c r="R77" s="412"/>
      <c r="S77" s="419"/>
      <c r="T77" s="412"/>
      <c r="U77" s="419"/>
    </row>
    <row r="78" spans="1:24" ht="16.5" customHeight="1">
      <c r="A78" s="820" t="s">
        <v>471</v>
      </c>
      <c r="B78" s="822" t="s">
        <v>421</v>
      </c>
      <c r="C78" s="824" t="s">
        <v>820</v>
      </c>
      <c r="D78" s="826" t="s">
        <v>191</v>
      </c>
      <c r="E78" s="446" t="s">
        <v>818</v>
      </c>
      <c r="F78" s="490" t="s">
        <v>877</v>
      </c>
      <c r="G78" s="447" t="s">
        <v>516</v>
      </c>
      <c r="H78" s="448" t="s">
        <v>11</v>
      </c>
      <c r="I78" s="449">
        <v>356094</v>
      </c>
      <c r="J78" s="828">
        <v>210</v>
      </c>
      <c r="K78" s="829"/>
      <c r="L78" s="829"/>
      <c r="M78" s="829"/>
      <c r="N78" s="829"/>
      <c r="O78" s="829"/>
      <c r="P78" s="829"/>
      <c r="Q78" s="448">
        <v>100</v>
      </c>
      <c r="R78" s="806">
        <v>36</v>
      </c>
      <c r="S78" s="766">
        <v>18</v>
      </c>
      <c r="T78" s="830">
        <v>387</v>
      </c>
      <c r="U78" s="717">
        <v>100</v>
      </c>
    </row>
    <row r="79" spans="1:24" ht="17.25" customHeight="1" thickBot="1">
      <c r="A79" s="821"/>
      <c r="B79" s="823"/>
      <c r="C79" s="825"/>
      <c r="D79" s="827"/>
      <c r="E79" s="450" t="s">
        <v>818</v>
      </c>
      <c r="F79" s="451" t="s">
        <v>819</v>
      </c>
      <c r="G79" s="451" t="s">
        <v>516</v>
      </c>
      <c r="H79" s="452" t="s">
        <v>11</v>
      </c>
      <c r="I79" s="453">
        <v>356094</v>
      </c>
      <c r="J79" s="832" t="s">
        <v>821</v>
      </c>
      <c r="K79" s="833"/>
      <c r="L79" s="833"/>
      <c r="M79" s="833"/>
      <c r="N79" s="833"/>
      <c r="O79" s="833"/>
      <c r="P79" s="833"/>
      <c r="Q79" s="452">
        <v>120</v>
      </c>
      <c r="R79" s="808"/>
      <c r="S79" s="767"/>
      <c r="T79" s="831"/>
      <c r="U79" s="718"/>
    </row>
    <row r="80" spans="1:24">
      <c r="A80" s="713" t="s">
        <v>475</v>
      </c>
      <c r="B80" s="711" t="s">
        <v>676</v>
      </c>
      <c r="C80" s="745" t="s">
        <v>824</v>
      </c>
      <c r="D80" s="713" t="s">
        <v>199</v>
      </c>
      <c r="E80" s="40" t="s">
        <v>197</v>
      </c>
      <c r="F80" s="231" t="s">
        <v>198</v>
      </c>
      <c r="G80" s="40" t="s">
        <v>419</v>
      </c>
      <c r="H80" s="40" t="s">
        <v>192</v>
      </c>
      <c r="I80" s="281">
        <v>340211</v>
      </c>
      <c r="J80" s="40">
        <v>325</v>
      </c>
      <c r="K80" s="40">
        <v>325</v>
      </c>
      <c r="L80" s="40">
        <v>325</v>
      </c>
      <c r="M80" s="40">
        <v>325</v>
      </c>
      <c r="N80" s="327">
        <v>300</v>
      </c>
      <c r="O80" s="327">
        <v>300</v>
      </c>
      <c r="P80" s="327">
        <v>300</v>
      </c>
      <c r="Q80" s="40"/>
      <c r="R80" s="237"/>
      <c r="S80" s="238"/>
      <c r="T80" s="715">
        <v>656</v>
      </c>
      <c r="U80" s="717"/>
    </row>
    <row r="81" spans="1:22" ht="16.5" customHeight="1">
      <c r="A81" s="729"/>
      <c r="B81" s="732"/>
      <c r="C81" s="748"/>
      <c r="D81" s="729"/>
      <c r="E81" s="35" t="s">
        <v>197</v>
      </c>
      <c r="F81" s="35" t="s">
        <v>664</v>
      </c>
      <c r="G81" s="35" t="s">
        <v>201</v>
      </c>
      <c r="H81" s="35" t="s">
        <v>192</v>
      </c>
      <c r="I81" s="291">
        <v>343133</v>
      </c>
      <c r="J81" s="35">
        <v>355</v>
      </c>
      <c r="K81" s="35">
        <v>355</v>
      </c>
      <c r="L81" s="35">
        <v>355</v>
      </c>
      <c r="M81" s="35">
        <v>355</v>
      </c>
      <c r="N81" s="395">
        <v>330</v>
      </c>
      <c r="O81" s="395">
        <v>330</v>
      </c>
      <c r="P81" s="395">
        <v>330</v>
      </c>
      <c r="Q81" s="35">
        <v>110</v>
      </c>
      <c r="T81" s="737"/>
      <c r="U81" s="738"/>
    </row>
    <row r="82" spans="1:22" ht="16.5" customHeight="1">
      <c r="A82" s="729"/>
      <c r="B82" s="732"/>
      <c r="C82" s="748"/>
      <c r="D82" s="729"/>
      <c r="E82" s="396" t="s">
        <v>608</v>
      </c>
      <c r="F82" s="396" t="s">
        <v>198</v>
      </c>
      <c r="G82" s="396" t="s">
        <v>200</v>
      </c>
      <c r="H82" s="396" t="s">
        <v>192</v>
      </c>
      <c r="I82" s="326">
        <v>340211</v>
      </c>
      <c r="J82" s="768">
        <v>240</v>
      </c>
      <c r="K82" s="769"/>
      <c r="L82" s="769"/>
      <c r="M82" s="769"/>
      <c r="N82" s="769"/>
      <c r="O82" s="769"/>
      <c r="P82" s="769"/>
      <c r="Q82" s="396">
        <v>110</v>
      </c>
      <c r="T82" s="737"/>
      <c r="U82" s="738"/>
      <c r="V82" s="35">
        <v>24</v>
      </c>
    </row>
    <row r="83" spans="1:22" ht="17.25" customHeight="1" thickBot="1">
      <c r="A83" s="714"/>
      <c r="B83" s="712"/>
      <c r="C83" s="749"/>
      <c r="D83" s="714"/>
      <c r="E83" s="47" t="s">
        <v>566</v>
      </c>
      <c r="F83" s="46" t="s">
        <v>198</v>
      </c>
      <c r="G83" s="46" t="s">
        <v>202</v>
      </c>
      <c r="H83" s="46" t="s">
        <v>192</v>
      </c>
      <c r="I83" s="282">
        <v>343133</v>
      </c>
      <c r="J83" s="46">
        <v>325</v>
      </c>
      <c r="K83" s="46">
        <v>325</v>
      </c>
      <c r="L83" s="46">
        <v>325</v>
      </c>
      <c r="M83" s="46">
        <v>325</v>
      </c>
      <c r="N83" s="67">
        <v>300</v>
      </c>
      <c r="O83" s="67">
        <v>300</v>
      </c>
      <c r="P83" s="67">
        <v>300</v>
      </c>
      <c r="Q83" s="46"/>
      <c r="R83" s="242"/>
      <c r="S83" s="243"/>
      <c r="T83" s="716"/>
      <c r="U83" s="718"/>
    </row>
    <row r="84" spans="1:22" ht="16.5" customHeight="1">
      <c r="A84" s="713" t="s">
        <v>473</v>
      </c>
      <c r="B84" s="711" t="s">
        <v>576</v>
      </c>
      <c r="C84" s="751" t="s">
        <v>766</v>
      </c>
      <c r="D84" s="713" t="s">
        <v>404</v>
      </c>
      <c r="E84" s="35" t="s">
        <v>232</v>
      </c>
      <c r="F84" s="389" t="s">
        <v>233</v>
      </c>
      <c r="G84" s="35" t="s">
        <v>312</v>
      </c>
      <c r="H84" s="35" t="s">
        <v>192</v>
      </c>
      <c r="I84" s="291">
        <v>311436</v>
      </c>
      <c r="J84" s="736">
        <v>335</v>
      </c>
      <c r="K84" s="736"/>
      <c r="L84" s="736"/>
      <c r="M84" s="736"/>
      <c r="N84" s="736"/>
      <c r="O84" s="736"/>
      <c r="P84" s="736"/>
      <c r="Q84" s="35">
        <v>110</v>
      </c>
      <c r="R84" s="721">
        <v>30</v>
      </c>
      <c r="S84" s="726">
        <v>18</v>
      </c>
      <c r="T84" s="715">
        <v>438</v>
      </c>
      <c r="U84" s="717">
        <v>106</v>
      </c>
    </row>
    <row r="85" spans="1:22" ht="16.5" customHeight="1">
      <c r="A85" s="729"/>
      <c r="B85" s="732"/>
      <c r="C85" s="751"/>
      <c r="D85" s="729"/>
      <c r="E85" s="35" t="s">
        <v>232</v>
      </c>
      <c r="F85" s="35" t="s">
        <v>233</v>
      </c>
      <c r="G85" s="35" t="s">
        <v>313</v>
      </c>
      <c r="H85" s="35" t="s">
        <v>192</v>
      </c>
      <c r="I85" s="291">
        <v>322971</v>
      </c>
      <c r="J85" s="736">
        <v>365</v>
      </c>
      <c r="K85" s="736"/>
      <c r="L85" s="736"/>
      <c r="M85" s="736"/>
      <c r="N85" s="736"/>
      <c r="O85" s="736"/>
      <c r="P85" s="736"/>
      <c r="Q85" s="35">
        <v>110</v>
      </c>
      <c r="R85" s="724"/>
      <c r="S85" s="727"/>
      <c r="T85" s="737"/>
      <c r="U85" s="738"/>
    </row>
    <row r="86" spans="1:22" ht="16.5" customHeight="1">
      <c r="A86" s="729"/>
      <c r="B86" s="732"/>
      <c r="C86" s="751"/>
      <c r="D86" s="729"/>
      <c r="E86" s="222" t="s">
        <v>232</v>
      </c>
      <c r="F86" s="222" t="s">
        <v>233</v>
      </c>
      <c r="G86" s="222" t="s">
        <v>312</v>
      </c>
      <c r="H86" s="222" t="s">
        <v>192</v>
      </c>
      <c r="I86" s="291">
        <v>311436</v>
      </c>
      <c r="J86" s="740">
        <v>270</v>
      </c>
      <c r="K86" s="740"/>
      <c r="L86" s="740"/>
      <c r="M86" s="740"/>
      <c r="N86" s="740"/>
      <c r="O86" s="740"/>
      <c r="P86" s="740"/>
      <c r="Q86" s="222">
        <v>110</v>
      </c>
      <c r="R86" s="724"/>
      <c r="S86" s="727"/>
      <c r="T86" s="737"/>
      <c r="U86" s="738"/>
    </row>
    <row r="87" spans="1:22" ht="17.25" customHeight="1" thickBot="1">
      <c r="A87" s="714"/>
      <c r="B87" s="712"/>
      <c r="C87" s="752"/>
      <c r="D87" s="714"/>
      <c r="E87" s="47" t="s">
        <v>235</v>
      </c>
      <c r="F87" s="46" t="s">
        <v>233</v>
      </c>
      <c r="G87" s="46" t="s">
        <v>313</v>
      </c>
      <c r="H87" s="46" t="s">
        <v>192</v>
      </c>
      <c r="I87" s="282">
        <v>322971</v>
      </c>
      <c r="J87" s="760">
        <v>300</v>
      </c>
      <c r="K87" s="760"/>
      <c r="L87" s="760"/>
      <c r="M87" s="760"/>
      <c r="N87" s="760"/>
      <c r="O87" s="760"/>
      <c r="P87" s="760"/>
      <c r="Q87" s="46">
        <v>110</v>
      </c>
      <c r="R87" s="725"/>
      <c r="S87" s="728"/>
      <c r="T87" s="716"/>
      <c r="U87" s="718"/>
    </row>
    <row r="88" spans="1:22" ht="16.5" customHeight="1">
      <c r="A88" s="713" t="s">
        <v>474</v>
      </c>
      <c r="B88" s="711" t="s">
        <v>421</v>
      </c>
      <c r="C88" s="753" t="s">
        <v>767</v>
      </c>
      <c r="D88" s="713" t="s">
        <v>351</v>
      </c>
      <c r="E88" s="221" t="s">
        <v>349</v>
      </c>
      <c r="F88" s="433" t="s">
        <v>350</v>
      </c>
      <c r="G88" s="221" t="s">
        <v>352</v>
      </c>
      <c r="H88" s="221" t="s">
        <v>11</v>
      </c>
      <c r="I88" s="434">
        <v>383924</v>
      </c>
      <c r="J88" s="763">
        <v>310</v>
      </c>
      <c r="K88" s="763"/>
      <c r="L88" s="763"/>
      <c r="M88" s="763"/>
      <c r="N88" s="763"/>
      <c r="O88" s="763"/>
      <c r="P88" s="763"/>
      <c r="Q88" s="221">
        <v>110</v>
      </c>
      <c r="R88" s="721">
        <v>30</v>
      </c>
      <c r="S88" s="726">
        <v>20</v>
      </c>
      <c r="T88" s="715">
        <v>343</v>
      </c>
      <c r="U88" s="717">
        <v>103</v>
      </c>
    </row>
    <row r="89" spans="1:22" ht="17.25" customHeight="1" thickBot="1">
      <c r="A89" s="714"/>
      <c r="B89" s="712"/>
      <c r="C89" s="754"/>
      <c r="D89" s="714"/>
      <c r="E89" s="46" t="s">
        <v>349</v>
      </c>
      <c r="F89" s="67" t="s">
        <v>663</v>
      </c>
      <c r="G89" s="46" t="s">
        <v>353</v>
      </c>
      <c r="H89" s="46" t="s">
        <v>11</v>
      </c>
      <c r="I89" s="435">
        <v>434432</v>
      </c>
      <c r="J89" s="760">
        <v>360</v>
      </c>
      <c r="K89" s="760"/>
      <c r="L89" s="760"/>
      <c r="M89" s="760"/>
      <c r="N89" s="760"/>
      <c r="O89" s="760"/>
      <c r="P89" s="760"/>
      <c r="Q89" s="46">
        <v>110</v>
      </c>
      <c r="R89" s="725"/>
      <c r="S89" s="728"/>
      <c r="T89" s="716"/>
      <c r="U89" s="718"/>
    </row>
    <row r="90" spans="1:22">
      <c r="A90" s="713" t="s">
        <v>474</v>
      </c>
      <c r="B90" s="711" t="s">
        <v>421</v>
      </c>
      <c r="C90" s="750" t="s">
        <v>771</v>
      </c>
      <c r="D90" s="713" t="s">
        <v>195</v>
      </c>
      <c r="E90" s="40" t="s">
        <v>462</v>
      </c>
      <c r="F90" s="231" t="s">
        <v>194</v>
      </c>
      <c r="G90" s="40" t="s">
        <v>306</v>
      </c>
      <c r="H90" s="40" t="s">
        <v>192</v>
      </c>
      <c r="I90" s="281">
        <v>601747</v>
      </c>
      <c r="J90" s="40">
        <v>390</v>
      </c>
      <c r="K90" s="40">
        <v>390</v>
      </c>
      <c r="L90" s="40">
        <v>390</v>
      </c>
      <c r="M90" s="40">
        <v>390</v>
      </c>
      <c r="N90" s="68">
        <v>460</v>
      </c>
      <c r="O90" s="68">
        <v>460</v>
      </c>
      <c r="P90" s="40">
        <v>390</v>
      </c>
      <c r="Q90" s="40">
        <v>120</v>
      </c>
      <c r="R90" s="721">
        <v>60</v>
      </c>
      <c r="S90" s="726">
        <v>25</v>
      </c>
      <c r="T90" s="715">
        <v>215</v>
      </c>
      <c r="U90" s="766">
        <v>46</v>
      </c>
      <c r="V90" s="352"/>
    </row>
    <row r="91" spans="1:22" ht="16.5" customHeight="1">
      <c r="A91" s="729"/>
      <c r="B91" s="732"/>
      <c r="C91" s="751"/>
      <c r="D91" s="729"/>
      <c r="E91" s="35" t="s">
        <v>462</v>
      </c>
      <c r="F91" s="35" t="s">
        <v>194</v>
      </c>
      <c r="G91" s="35" t="s">
        <v>307</v>
      </c>
      <c r="H91" s="35" t="s">
        <v>192</v>
      </c>
      <c r="I91" s="291">
        <v>714834</v>
      </c>
      <c r="J91" s="35">
        <v>420</v>
      </c>
      <c r="K91" s="35">
        <v>420</v>
      </c>
      <c r="L91" s="35">
        <v>420</v>
      </c>
      <c r="M91" s="35">
        <v>420</v>
      </c>
      <c r="N91" s="438">
        <v>500</v>
      </c>
      <c r="O91" s="438">
        <v>500</v>
      </c>
      <c r="P91" s="35">
        <v>420</v>
      </c>
      <c r="Q91" s="35">
        <v>120</v>
      </c>
      <c r="R91" s="724"/>
      <c r="S91" s="727"/>
      <c r="T91" s="737"/>
      <c r="U91" s="770"/>
    </row>
    <row r="92" spans="1:22" ht="16.5" customHeight="1">
      <c r="A92" s="729"/>
      <c r="B92" s="732"/>
      <c r="C92" s="751"/>
      <c r="D92" s="729"/>
      <c r="E92" s="222" t="s">
        <v>768</v>
      </c>
      <c r="F92" s="222" t="s">
        <v>194</v>
      </c>
      <c r="G92" s="222" t="s">
        <v>196</v>
      </c>
      <c r="H92" s="222" t="s">
        <v>192</v>
      </c>
      <c r="I92" s="291">
        <v>601747</v>
      </c>
      <c r="J92" s="222">
        <v>300</v>
      </c>
      <c r="K92" s="222">
        <v>300</v>
      </c>
      <c r="L92" s="222">
        <v>300</v>
      </c>
      <c r="M92" s="222">
        <v>300</v>
      </c>
      <c r="N92" s="439">
        <v>350</v>
      </c>
      <c r="O92" s="439">
        <v>350</v>
      </c>
      <c r="P92" s="222">
        <v>300</v>
      </c>
      <c r="Q92" s="222">
        <v>120</v>
      </c>
      <c r="R92" s="724"/>
      <c r="S92" s="727"/>
      <c r="T92" s="737"/>
      <c r="U92" s="770"/>
    </row>
    <row r="93" spans="1:22" ht="17.25" customHeight="1" thickBot="1">
      <c r="A93" s="714"/>
      <c r="B93" s="712"/>
      <c r="C93" s="752"/>
      <c r="D93" s="714"/>
      <c r="E93" s="47" t="s">
        <v>769</v>
      </c>
      <c r="F93" s="46" t="s">
        <v>194</v>
      </c>
      <c r="G93" s="46" t="s">
        <v>770</v>
      </c>
      <c r="H93" s="46" t="s">
        <v>192</v>
      </c>
      <c r="I93" s="282">
        <v>601747</v>
      </c>
      <c r="J93" s="46">
        <v>330</v>
      </c>
      <c r="K93" s="46">
        <v>330</v>
      </c>
      <c r="L93" s="46">
        <v>330</v>
      </c>
      <c r="M93" s="46">
        <v>330</v>
      </c>
      <c r="N93" s="47">
        <v>350</v>
      </c>
      <c r="O93" s="47">
        <v>350</v>
      </c>
      <c r="P93" s="46">
        <v>330</v>
      </c>
      <c r="Q93" s="46">
        <v>120</v>
      </c>
      <c r="R93" s="725"/>
      <c r="S93" s="728"/>
      <c r="T93" s="716"/>
      <c r="U93" s="767"/>
    </row>
    <row r="94" spans="1:22" ht="16.5" customHeight="1">
      <c r="A94" s="726" t="s">
        <v>474</v>
      </c>
      <c r="B94" s="711" t="s">
        <v>421</v>
      </c>
      <c r="C94" s="746" t="s">
        <v>447</v>
      </c>
      <c r="D94" s="713" t="s">
        <v>420</v>
      </c>
      <c r="E94" s="35" t="s">
        <v>217</v>
      </c>
      <c r="F94" s="389" t="s">
        <v>220</v>
      </c>
      <c r="G94" s="35" t="s">
        <v>218</v>
      </c>
      <c r="H94" s="35" t="s">
        <v>11</v>
      </c>
      <c r="I94" s="291">
        <v>561369</v>
      </c>
      <c r="J94" s="736">
        <v>488</v>
      </c>
      <c r="K94" s="736"/>
      <c r="L94" s="736"/>
      <c r="M94" s="736"/>
      <c r="N94" s="736"/>
      <c r="O94" s="736"/>
      <c r="P94" s="736"/>
      <c r="Q94" s="35">
        <v>100</v>
      </c>
      <c r="R94" s="721">
        <v>47</v>
      </c>
      <c r="S94" s="726">
        <v>20</v>
      </c>
      <c r="T94" s="715">
        <v>1252</v>
      </c>
      <c r="U94" s="717"/>
    </row>
    <row r="95" spans="1:22" ht="16.5" customHeight="1">
      <c r="A95" s="727"/>
      <c r="B95" s="732"/>
      <c r="C95" s="748"/>
      <c r="D95" s="729"/>
      <c r="E95" s="222" t="s">
        <v>442</v>
      </c>
      <c r="F95" s="250" t="s">
        <v>772</v>
      </c>
      <c r="G95" s="222" t="s">
        <v>654</v>
      </c>
      <c r="H95" s="222" t="s">
        <v>11</v>
      </c>
      <c r="I95" s="291">
        <v>561339</v>
      </c>
      <c r="J95" s="739">
        <v>366</v>
      </c>
      <c r="K95" s="740"/>
      <c r="L95" s="740"/>
      <c r="M95" s="740"/>
      <c r="N95" s="740"/>
      <c r="O95" s="740"/>
      <c r="P95" s="740"/>
      <c r="Q95" s="222">
        <v>100</v>
      </c>
      <c r="R95" s="724"/>
      <c r="S95" s="727"/>
      <c r="T95" s="737"/>
      <c r="U95" s="738"/>
    </row>
    <row r="96" spans="1:22" ht="16.5" customHeight="1">
      <c r="A96" s="727"/>
      <c r="B96" s="732"/>
      <c r="C96" s="748"/>
      <c r="D96" s="729"/>
      <c r="E96" s="222" t="s">
        <v>674</v>
      </c>
      <c r="F96" s="250" t="s">
        <v>675</v>
      </c>
      <c r="G96" s="222" t="s">
        <v>778</v>
      </c>
      <c r="H96" s="222" t="s">
        <v>11</v>
      </c>
      <c r="I96" s="291">
        <v>561339</v>
      </c>
      <c r="J96" s="739">
        <v>402</v>
      </c>
      <c r="K96" s="740"/>
      <c r="L96" s="740"/>
      <c r="M96" s="740"/>
      <c r="N96" s="740"/>
      <c r="O96" s="740"/>
      <c r="P96" s="740"/>
      <c r="Q96" s="222">
        <v>100</v>
      </c>
      <c r="R96" s="724"/>
      <c r="S96" s="727"/>
      <c r="T96" s="737"/>
      <c r="U96" s="738"/>
    </row>
    <row r="97" spans="1:21" ht="17.25" customHeight="1" thickBot="1">
      <c r="A97" s="727"/>
      <c r="B97" s="712"/>
      <c r="C97" s="749"/>
      <c r="D97" s="714"/>
      <c r="E97" s="41" t="s">
        <v>217</v>
      </c>
      <c r="F97" s="41" t="s">
        <v>220</v>
      </c>
      <c r="G97" s="41" t="s">
        <v>219</v>
      </c>
      <c r="H97" s="41" t="s">
        <v>11</v>
      </c>
      <c r="I97" s="282">
        <v>616589</v>
      </c>
      <c r="J97" s="723">
        <v>536</v>
      </c>
      <c r="K97" s="723"/>
      <c r="L97" s="723"/>
      <c r="M97" s="723"/>
      <c r="N97" s="723"/>
      <c r="O97" s="723"/>
      <c r="P97" s="723"/>
      <c r="Q97" s="41">
        <v>100</v>
      </c>
      <c r="R97" s="725"/>
      <c r="S97" s="728"/>
      <c r="T97" s="716"/>
      <c r="U97" s="718"/>
    </row>
    <row r="98" spans="1:21" ht="16.5" customHeight="1">
      <c r="A98" s="713" t="s">
        <v>474</v>
      </c>
      <c r="B98" s="711" t="s">
        <v>421</v>
      </c>
      <c r="C98" s="733" t="s">
        <v>779</v>
      </c>
      <c r="D98" s="713" t="s">
        <v>420</v>
      </c>
      <c r="E98" s="40" t="s">
        <v>345</v>
      </c>
      <c r="F98" s="40" t="s">
        <v>321</v>
      </c>
      <c r="G98" s="40" t="s">
        <v>775</v>
      </c>
      <c r="H98" s="40" t="s">
        <v>11</v>
      </c>
      <c r="I98" s="281">
        <v>601747</v>
      </c>
      <c r="J98" s="722">
        <v>517</v>
      </c>
      <c r="K98" s="722"/>
      <c r="L98" s="722"/>
      <c r="M98" s="722"/>
      <c r="N98" s="722"/>
      <c r="O98" s="722"/>
      <c r="P98" s="722"/>
      <c r="Q98" s="40">
        <v>100</v>
      </c>
      <c r="R98" s="721">
        <v>47</v>
      </c>
      <c r="S98" s="726">
        <v>20</v>
      </c>
      <c r="T98" s="715">
        <v>778</v>
      </c>
      <c r="U98" s="717"/>
    </row>
    <row r="99" spans="1:21" ht="16.5" customHeight="1">
      <c r="A99" s="729"/>
      <c r="B99" s="732"/>
      <c r="C99" s="757"/>
      <c r="D99" s="729"/>
      <c r="E99" s="222" t="s">
        <v>773</v>
      </c>
      <c r="F99" s="250" t="s">
        <v>774</v>
      </c>
      <c r="G99" s="222" t="s">
        <v>776</v>
      </c>
      <c r="H99" s="222" t="s">
        <v>11</v>
      </c>
      <c r="I99" s="291">
        <v>561339</v>
      </c>
      <c r="J99" s="739">
        <v>388</v>
      </c>
      <c r="K99" s="740"/>
      <c r="L99" s="740"/>
      <c r="M99" s="740"/>
      <c r="N99" s="740"/>
      <c r="O99" s="740"/>
      <c r="P99" s="740"/>
      <c r="Q99" s="222">
        <v>100</v>
      </c>
      <c r="R99" s="724"/>
      <c r="S99" s="727"/>
      <c r="T99" s="737"/>
      <c r="U99" s="738"/>
    </row>
    <row r="100" spans="1:21" ht="16.5" customHeight="1">
      <c r="A100" s="729"/>
      <c r="B100" s="732"/>
      <c r="C100" s="757"/>
      <c r="D100" s="729"/>
      <c r="E100" s="222" t="s">
        <v>345</v>
      </c>
      <c r="F100" s="250" t="s">
        <v>321</v>
      </c>
      <c r="G100" s="222" t="s">
        <v>777</v>
      </c>
      <c r="H100" s="222" t="s">
        <v>11</v>
      </c>
      <c r="I100" s="291">
        <v>561339</v>
      </c>
      <c r="J100" s="739">
        <v>423</v>
      </c>
      <c r="K100" s="740"/>
      <c r="L100" s="740"/>
      <c r="M100" s="740"/>
      <c r="N100" s="740"/>
      <c r="O100" s="740"/>
      <c r="P100" s="740"/>
      <c r="Q100" s="222">
        <v>100</v>
      </c>
      <c r="R100" s="724"/>
      <c r="S100" s="727"/>
      <c r="T100" s="737"/>
      <c r="U100" s="738"/>
    </row>
    <row r="101" spans="1:21" ht="17.25" customHeight="1" thickBot="1">
      <c r="A101" s="714"/>
      <c r="B101" s="712"/>
      <c r="C101" s="734"/>
      <c r="D101" s="714"/>
      <c r="E101" s="41" t="s">
        <v>345</v>
      </c>
      <c r="F101" s="41" t="s">
        <v>321</v>
      </c>
      <c r="G101" s="41" t="s">
        <v>352</v>
      </c>
      <c r="H101" s="41" t="s">
        <v>11</v>
      </c>
      <c r="I101" s="282">
        <v>647249</v>
      </c>
      <c r="J101" s="723">
        <v>565</v>
      </c>
      <c r="K101" s="723"/>
      <c r="L101" s="723"/>
      <c r="M101" s="723"/>
      <c r="N101" s="723"/>
      <c r="O101" s="723"/>
      <c r="P101" s="723"/>
      <c r="Q101" s="41">
        <v>100</v>
      </c>
      <c r="R101" s="725"/>
      <c r="S101" s="728"/>
      <c r="T101" s="716"/>
      <c r="U101" s="718"/>
    </row>
    <row r="102" spans="1:21" ht="16.5" customHeight="1">
      <c r="A102" s="713" t="s">
        <v>472</v>
      </c>
      <c r="B102" s="711" t="s">
        <v>422</v>
      </c>
      <c r="C102" s="755" t="s">
        <v>825</v>
      </c>
      <c r="D102" s="713" t="s">
        <v>195</v>
      </c>
      <c r="E102" s="221" t="s">
        <v>782</v>
      </c>
      <c r="F102" s="433" t="s">
        <v>449</v>
      </c>
      <c r="G102" s="221" t="s">
        <v>780</v>
      </c>
      <c r="H102" s="436" t="s">
        <v>11</v>
      </c>
      <c r="I102" s="437"/>
      <c r="J102" s="763">
        <v>280</v>
      </c>
      <c r="K102" s="763"/>
      <c r="L102" s="763"/>
      <c r="M102" s="763"/>
      <c r="N102" s="763"/>
      <c r="O102" s="763"/>
      <c r="P102" s="763"/>
      <c r="Q102" s="221">
        <v>100</v>
      </c>
      <c r="R102" s="721">
        <v>40</v>
      </c>
      <c r="S102" s="726">
        <v>20</v>
      </c>
      <c r="T102" s="715">
        <v>191</v>
      </c>
      <c r="U102" s="766"/>
    </row>
    <row r="103" spans="1:21" ht="17.25" customHeight="1" thickBot="1">
      <c r="A103" s="714"/>
      <c r="B103" s="712"/>
      <c r="C103" s="756"/>
      <c r="D103" s="714"/>
      <c r="E103" s="46" t="s">
        <v>448</v>
      </c>
      <c r="F103" s="440" t="s">
        <v>449</v>
      </c>
      <c r="G103" s="46" t="s">
        <v>781</v>
      </c>
      <c r="H103" s="441" t="s">
        <v>11</v>
      </c>
      <c r="I103" s="442"/>
      <c r="J103" s="760">
        <v>375</v>
      </c>
      <c r="K103" s="760"/>
      <c r="L103" s="760"/>
      <c r="M103" s="760"/>
      <c r="N103" s="760"/>
      <c r="O103" s="760"/>
      <c r="P103" s="760"/>
      <c r="Q103" s="46">
        <v>100</v>
      </c>
      <c r="R103" s="725"/>
      <c r="S103" s="728"/>
      <c r="T103" s="716"/>
      <c r="U103" s="767"/>
    </row>
    <row r="104" spans="1:21" ht="16.5" customHeight="1">
      <c r="A104" s="713" t="s">
        <v>474</v>
      </c>
      <c r="B104" s="711" t="s">
        <v>421</v>
      </c>
      <c r="C104" s="753" t="s">
        <v>735</v>
      </c>
      <c r="D104" s="713" t="s">
        <v>191</v>
      </c>
      <c r="E104" s="40" t="s">
        <v>363</v>
      </c>
      <c r="F104" s="231" t="s">
        <v>417</v>
      </c>
      <c r="G104" s="40" t="s">
        <v>364</v>
      </c>
      <c r="H104" s="40" t="s">
        <v>192</v>
      </c>
      <c r="I104" s="281">
        <v>338309</v>
      </c>
      <c r="J104" s="722">
        <v>280</v>
      </c>
      <c r="K104" s="722"/>
      <c r="L104" s="722"/>
      <c r="M104" s="722"/>
      <c r="N104" s="722"/>
      <c r="O104" s="722"/>
      <c r="P104" s="722"/>
      <c r="Q104" s="40" t="s">
        <v>362</v>
      </c>
      <c r="R104" s="721">
        <v>47.96</v>
      </c>
      <c r="S104" s="726">
        <v>24</v>
      </c>
      <c r="T104" s="715">
        <v>302</v>
      </c>
      <c r="U104" s="717">
        <v>38</v>
      </c>
    </row>
    <row r="105" spans="1:21" ht="17.25" customHeight="1" thickBot="1">
      <c r="A105" s="714"/>
      <c r="B105" s="712"/>
      <c r="C105" s="754"/>
      <c r="D105" s="714"/>
      <c r="E105" s="41" t="s">
        <v>363</v>
      </c>
      <c r="F105" s="41" t="s">
        <v>417</v>
      </c>
      <c r="G105" s="41" t="s">
        <v>367</v>
      </c>
      <c r="H105" s="41" t="s">
        <v>192</v>
      </c>
      <c r="I105" s="282">
        <v>434983</v>
      </c>
      <c r="J105" s="723">
        <v>360</v>
      </c>
      <c r="K105" s="723"/>
      <c r="L105" s="723"/>
      <c r="M105" s="723"/>
      <c r="N105" s="723"/>
      <c r="O105" s="723"/>
      <c r="P105" s="723"/>
      <c r="Q105" s="41" t="s">
        <v>362</v>
      </c>
      <c r="R105" s="725"/>
      <c r="S105" s="728"/>
      <c r="T105" s="716"/>
      <c r="U105" s="718"/>
    </row>
    <row r="106" spans="1:21" ht="16.5" customHeight="1">
      <c r="A106" s="713" t="s">
        <v>473</v>
      </c>
      <c r="B106" s="711" t="s">
        <v>421</v>
      </c>
      <c r="C106" s="733" t="s">
        <v>441</v>
      </c>
      <c r="D106" s="713" t="s">
        <v>199</v>
      </c>
      <c r="E106" s="221" t="s">
        <v>461</v>
      </c>
      <c r="F106" s="221" t="s">
        <v>370</v>
      </c>
      <c r="G106" s="221" t="s">
        <v>347</v>
      </c>
      <c r="H106" s="221" t="s">
        <v>11</v>
      </c>
      <c r="I106" s="281">
        <v>546176</v>
      </c>
      <c r="J106" s="763">
        <v>445</v>
      </c>
      <c r="K106" s="763"/>
      <c r="L106" s="763"/>
      <c r="M106" s="763"/>
      <c r="N106" s="763"/>
      <c r="O106" s="763"/>
      <c r="P106" s="763"/>
      <c r="Q106" s="221">
        <v>130</v>
      </c>
      <c r="R106" s="721"/>
      <c r="S106" s="726"/>
      <c r="T106" s="715">
        <v>358</v>
      </c>
      <c r="U106" s="717">
        <v>51</v>
      </c>
    </row>
    <row r="107" spans="1:21" ht="16.5" customHeight="1">
      <c r="A107" s="729"/>
      <c r="B107" s="732"/>
      <c r="C107" s="757"/>
      <c r="D107" s="729"/>
      <c r="E107" s="222" t="s">
        <v>461</v>
      </c>
      <c r="F107" s="222" t="s">
        <v>371</v>
      </c>
      <c r="G107" s="222" t="s">
        <v>369</v>
      </c>
      <c r="H107" s="222" t="s">
        <v>11</v>
      </c>
      <c r="I107" s="291">
        <v>653605</v>
      </c>
      <c r="J107" s="740">
        <v>482</v>
      </c>
      <c r="K107" s="740"/>
      <c r="L107" s="740"/>
      <c r="M107" s="740"/>
      <c r="N107" s="740"/>
      <c r="O107" s="740"/>
      <c r="P107" s="740"/>
      <c r="Q107" s="222">
        <v>130</v>
      </c>
      <c r="R107" s="724"/>
      <c r="S107" s="727"/>
      <c r="T107" s="737"/>
      <c r="U107" s="738"/>
    </row>
    <row r="108" spans="1:21" ht="16.5" customHeight="1">
      <c r="A108" s="729"/>
      <c r="B108" s="732"/>
      <c r="C108" s="757"/>
      <c r="D108" s="729"/>
      <c r="E108" s="35" t="s">
        <v>461</v>
      </c>
      <c r="F108" s="217" t="s">
        <v>368</v>
      </c>
      <c r="G108" s="35" t="s">
        <v>347</v>
      </c>
      <c r="H108" s="35" t="s">
        <v>11</v>
      </c>
      <c r="I108" s="291">
        <v>546176</v>
      </c>
      <c r="J108" s="724">
        <v>487</v>
      </c>
      <c r="K108" s="736"/>
      <c r="L108" s="736"/>
      <c r="M108" s="736"/>
      <c r="N108" s="736">
        <v>386</v>
      </c>
      <c r="O108" s="736"/>
      <c r="P108" s="736"/>
      <c r="Q108" s="35">
        <v>130</v>
      </c>
      <c r="R108" s="724"/>
      <c r="S108" s="727"/>
      <c r="T108" s="737"/>
      <c r="U108" s="738"/>
    </row>
    <row r="109" spans="1:21" ht="17.25" customHeight="1" thickBot="1">
      <c r="A109" s="714"/>
      <c r="B109" s="712"/>
      <c r="C109" s="734"/>
      <c r="D109" s="714"/>
      <c r="E109" s="41" t="s">
        <v>461</v>
      </c>
      <c r="F109" s="41" t="s">
        <v>346</v>
      </c>
      <c r="G109" s="41" t="s">
        <v>348</v>
      </c>
      <c r="H109" s="41" t="s">
        <v>11</v>
      </c>
      <c r="I109" s="282">
        <v>653605</v>
      </c>
      <c r="J109" s="725">
        <v>540</v>
      </c>
      <c r="K109" s="723"/>
      <c r="L109" s="723"/>
      <c r="M109" s="723"/>
      <c r="N109" s="723">
        <v>429</v>
      </c>
      <c r="O109" s="723"/>
      <c r="P109" s="723"/>
      <c r="Q109" s="41">
        <v>130</v>
      </c>
      <c r="R109" s="725"/>
      <c r="S109" s="728"/>
      <c r="T109" s="716"/>
      <c r="U109" s="718"/>
    </row>
    <row r="110" spans="1:21" ht="16.5" customHeight="1">
      <c r="A110" s="713" t="s">
        <v>473</v>
      </c>
      <c r="B110" s="711" t="s">
        <v>421</v>
      </c>
      <c r="C110" s="755" t="s">
        <v>791</v>
      </c>
      <c r="D110" s="713" t="s">
        <v>195</v>
      </c>
      <c r="E110" s="40" t="s">
        <v>372</v>
      </c>
      <c r="F110" s="231" t="s">
        <v>373</v>
      </c>
      <c r="G110" s="40" t="s">
        <v>374</v>
      </c>
      <c r="H110" s="40" t="s">
        <v>11</v>
      </c>
      <c r="I110" s="281">
        <v>407903</v>
      </c>
      <c r="J110" s="722">
        <v>437</v>
      </c>
      <c r="K110" s="722"/>
      <c r="L110" s="722"/>
      <c r="M110" s="722"/>
      <c r="N110" s="722"/>
      <c r="O110" s="722"/>
      <c r="P110" s="722"/>
      <c r="Q110" s="40">
        <v>130</v>
      </c>
      <c r="R110" s="721"/>
      <c r="S110" s="726"/>
      <c r="T110" s="715">
        <v>262</v>
      </c>
      <c r="U110" s="318">
        <v>72</v>
      </c>
    </row>
    <row r="111" spans="1:21" ht="17.25" customHeight="1" thickBot="1">
      <c r="A111" s="714"/>
      <c r="B111" s="712"/>
      <c r="C111" s="756"/>
      <c r="D111" s="714"/>
      <c r="E111" s="35" t="s">
        <v>372</v>
      </c>
      <c r="F111" s="35" t="s">
        <v>373</v>
      </c>
      <c r="G111" s="35" t="s">
        <v>375</v>
      </c>
      <c r="H111" s="35" t="s">
        <v>11</v>
      </c>
      <c r="I111" s="291">
        <v>463343</v>
      </c>
      <c r="J111" s="736">
        <v>494</v>
      </c>
      <c r="K111" s="736"/>
      <c r="L111" s="736"/>
      <c r="M111" s="736"/>
      <c r="N111" s="736"/>
      <c r="O111" s="736"/>
      <c r="P111" s="736"/>
      <c r="Q111" s="35">
        <v>130</v>
      </c>
      <c r="R111" s="725"/>
      <c r="S111" s="728"/>
      <c r="T111" s="737"/>
      <c r="U111" s="108">
        <v>49</v>
      </c>
    </row>
    <row r="112" spans="1:21" ht="16.5" customHeight="1">
      <c r="A112" s="713" t="s">
        <v>472</v>
      </c>
      <c r="B112" s="711" t="s">
        <v>422</v>
      </c>
      <c r="C112" s="750" t="s">
        <v>787</v>
      </c>
      <c r="D112" s="713" t="s">
        <v>426</v>
      </c>
      <c r="E112" s="221" t="s">
        <v>788</v>
      </c>
      <c r="F112" s="433" t="s">
        <v>424</v>
      </c>
      <c r="G112" s="221" t="s">
        <v>434</v>
      </c>
      <c r="H112" s="221" t="s">
        <v>192</v>
      </c>
      <c r="I112" s="434"/>
      <c r="J112" s="762">
        <v>540</v>
      </c>
      <c r="K112" s="763"/>
      <c r="L112" s="763"/>
      <c r="M112" s="763"/>
      <c r="N112" s="763"/>
      <c r="O112" s="763"/>
      <c r="P112" s="763"/>
      <c r="Q112" s="221">
        <v>100</v>
      </c>
      <c r="R112" s="721">
        <v>36</v>
      </c>
      <c r="S112" s="726">
        <v>18</v>
      </c>
      <c r="T112" s="806">
        <v>510</v>
      </c>
      <c r="U112" s="766"/>
    </row>
    <row r="113" spans="1:22" ht="16.5" customHeight="1">
      <c r="A113" s="729"/>
      <c r="B113" s="732"/>
      <c r="C113" s="751"/>
      <c r="D113" s="729"/>
      <c r="E113" s="222" t="s">
        <v>789</v>
      </c>
      <c r="F113" s="250" t="s">
        <v>423</v>
      </c>
      <c r="G113" s="222" t="s">
        <v>427</v>
      </c>
      <c r="H113" s="222" t="s">
        <v>192</v>
      </c>
      <c r="I113" s="391">
        <v>850560</v>
      </c>
      <c r="J113" s="739">
        <v>620</v>
      </c>
      <c r="K113" s="740"/>
      <c r="L113" s="740"/>
      <c r="M113" s="740"/>
      <c r="N113" s="740"/>
      <c r="O113" s="740"/>
      <c r="P113" s="740"/>
      <c r="Q113" s="222">
        <v>100</v>
      </c>
      <c r="R113" s="724"/>
      <c r="S113" s="727"/>
      <c r="T113" s="807"/>
      <c r="U113" s="770"/>
      <c r="V113" s="35">
        <v>4</v>
      </c>
    </row>
    <row r="114" spans="1:22" ht="16.5" customHeight="1">
      <c r="A114" s="729"/>
      <c r="B114" s="732"/>
      <c r="C114" s="751"/>
      <c r="D114" s="729"/>
      <c r="E114" s="222" t="s">
        <v>790</v>
      </c>
      <c r="F114" s="250" t="s">
        <v>424</v>
      </c>
      <c r="G114" s="222" t="s">
        <v>432</v>
      </c>
      <c r="H114" s="222" t="s">
        <v>192</v>
      </c>
      <c r="I114" s="391">
        <v>1187293</v>
      </c>
      <c r="J114" s="739">
        <v>720</v>
      </c>
      <c r="K114" s="740"/>
      <c r="L114" s="740"/>
      <c r="M114" s="740"/>
      <c r="N114" s="740"/>
      <c r="O114" s="740"/>
      <c r="P114" s="740"/>
      <c r="Q114" s="222">
        <v>100</v>
      </c>
      <c r="R114" s="724"/>
      <c r="S114" s="727"/>
      <c r="T114" s="807"/>
      <c r="U114" s="770"/>
      <c r="V114" s="35">
        <v>2</v>
      </c>
    </row>
    <row r="115" spans="1:22" ht="16.5" customHeight="1" thickBot="1">
      <c r="A115" s="714"/>
      <c r="B115" s="712"/>
      <c r="C115" s="752"/>
      <c r="D115" s="714"/>
      <c r="E115" s="46" t="s">
        <v>788</v>
      </c>
      <c r="F115" s="46" t="s">
        <v>424</v>
      </c>
      <c r="G115" s="46" t="s">
        <v>433</v>
      </c>
      <c r="H115" s="46" t="s">
        <v>192</v>
      </c>
      <c r="I115" s="435">
        <v>1340937</v>
      </c>
      <c r="J115" s="761">
        <v>880</v>
      </c>
      <c r="K115" s="760"/>
      <c r="L115" s="760"/>
      <c r="M115" s="760"/>
      <c r="N115" s="760">
        <v>830</v>
      </c>
      <c r="O115" s="760"/>
      <c r="P115" s="760"/>
      <c r="Q115" s="46">
        <v>180</v>
      </c>
      <c r="R115" s="725"/>
      <c r="S115" s="728"/>
      <c r="T115" s="808"/>
      <c r="U115" s="767"/>
      <c r="V115" s="35">
        <v>1</v>
      </c>
    </row>
    <row r="116" spans="1:22" ht="14.25" customHeight="1" thickBot="1">
      <c r="A116" s="454"/>
      <c r="B116" s="455"/>
      <c r="C116" s="456"/>
      <c r="D116" s="454"/>
      <c r="E116" s="454"/>
      <c r="F116" s="454"/>
      <c r="G116" s="454"/>
      <c r="H116" s="457"/>
      <c r="I116" s="458"/>
      <c r="J116" s="454"/>
      <c r="K116" s="454"/>
      <c r="L116" s="454"/>
      <c r="M116" s="454"/>
      <c r="N116" s="454"/>
      <c r="O116" s="454"/>
      <c r="P116" s="454"/>
      <c r="Q116" s="454"/>
      <c r="R116" s="459"/>
      <c r="S116" s="460"/>
      <c r="T116" s="461"/>
      <c r="U116" s="462"/>
    </row>
    <row r="117" spans="1:22" ht="16">
      <c r="A117" s="713" t="s">
        <v>472</v>
      </c>
      <c r="B117" s="711" t="s">
        <v>445</v>
      </c>
      <c r="C117" s="747" t="s">
        <v>437</v>
      </c>
      <c r="D117" s="713" t="s">
        <v>406</v>
      </c>
      <c r="E117" s="40" t="s">
        <v>376</v>
      </c>
      <c r="F117" s="231" t="s">
        <v>409</v>
      </c>
      <c r="G117" s="40" t="s">
        <v>356</v>
      </c>
      <c r="H117" s="37" t="s">
        <v>11</v>
      </c>
      <c r="I117" s="276">
        <v>191108</v>
      </c>
      <c r="J117" s="722">
        <v>220</v>
      </c>
      <c r="K117" s="722"/>
      <c r="L117" s="722"/>
      <c r="M117" s="722"/>
      <c r="N117" s="722"/>
      <c r="O117" s="722"/>
      <c r="P117" s="722"/>
      <c r="Q117" s="40">
        <v>80</v>
      </c>
      <c r="R117" s="715"/>
      <c r="S117" s="717"/>
      <c r="T117" s="715"/>
      <c r="U117" s="766"/>
    </row>
    <row r="118" spans="1:22" ht="17.25" customHeight="1" thickBot="1">
      <c r="A118" s="714"/>
      <c r="B118" s="712"/>
      <c r="C118" s="749"/>
      <c r="D118" s="714"/>
      <c r="E118" s="41" t="s">
        <v>376</v>
      </c>
      <c r="F118" s="41" t="s">
        <v>409</v>
      </c>
      <c r="G118" s="41" t="s">
        <v>236</v>
      </c>
      <c r="H118" s="39" t="s">
        <v>11</v>
      </c>
      <c r="I118" s="280">
        <v>216667</v>
      </c>
      <c r="J118" s="723">
        <v>240</v>
      </c>
      <c r="K118" s="723"/>
      <c r="L118" s="723"/>
      <c r="M118" s="723"/>
      <c r="N118" s="723"/>
      <c r="O118" s="723"/>
      <c r="P118" s="723"/>
      <c r="Q118" s="41">
        <v>80</v>
      </c>
      <c r="R118" s="716"/>
      <c r="S118" s="718"/>
      <c r="T118" s="716"/>
      <c r="U118" s="767"/>
    </row>
    <row r="119" spans="1:22" ht="16.5" customHeight="1">
      <c r="A119" s="713" t="s">
        <v>472</v>
      </c>
      <c r="B119" s="711" t="s">
        <v>445</v>
      </c>
      <c r="C119" s="747" t="s">
        <v>437</v>
      </c>
      <c r="D119" s="713" t="s">
        <v>411</v>
      </c>
      <c r="E119" s="40" t="s">
        <v>377</v>
      </c>
      <c r="F119" s="231" t="s">
        <v>410</v>
      </c>
      <c r="G119" s="40" t="s">
        <v>360</v>
      </c>
      <c r="H119" s="37" t="s">
        <v>11</v>
      </c>
      <c r="I119" s="276">
        <v>207467</v>
      </c>
      <c r="J119" s="722">
        <v>240</v>
      </c>
      <c r="K119" s="722"/>
      <c r="L119" s="722"/>
      <c r="M119" s="722"/>
      <c r="N119" s="722"/>
      <c r="O119" s="722"/>
      <c r="P119" s="722"/>
      <c r="Q119" s="40">
        <v>80</v>
      </c>
      <c r="R119" s="737"/>
      <c r="S119" s="738"/>
      <c r="T119" s="737"/>
      <c r="U119" s="738"/>
    </row>
    <row r="120" spans="1:22" ht="17.25" customHeight="1" thickBot="1">
      <c r="A120" s="714"/>
      <c r="B120" s="712"/>
      <c r="C120" s="749"/>
      <c r="D120" s="714"/>
      <c r="E120" s="41" t="s">
        <v>377</v>
      </c>
      <c r="F120" s="41" t="s">
        <v>410</v>
      </c>
      <c r="G120" s="41" t="s">
        <v>361</v>
      </c>
      <c r="H120" s="39" t="s">
        <v>11</v>
      </c>
      <c r="I120" s="280">
        <v>233026</v>
      </c>
      <c r="J120" s="723">
        <v>260</v>
      </c>
      <c r="K120" s="723"/>
      <c r="L120" s="723"/>
      <c r="M120" s="723"/>
      <c r="N120" s="723"/>
      <c r="O120" s="723"/>
      <c r="P120" s="723"/>
      <c r="Q120" s="41">
        <v>80</v>
      </c>
      <c r="R120" s="716"/>
      <c r="S120" s="718"/>
      <c r="T120" s="716"/>
      <c r="U120" s="718"/>
    </row>
    <row r="121" spans="1:22">
      <c r="A121" s="713" t="s">
        <v>474</v>
      </c>
      <c r="B121" s="711" t="s">
        <v>445</v>
      </c>
      <c r="C121" s="747" t="s">
        <v>437</v>
      </c>
      <c r="D121" s="713" t="s">
        <v>396</v>
      </c>
      <c r="E121" s="40" t="s">
        <v>458</v>
      </c>
      <c r="F121" s="231" t="s">
        <v>412</v>
      </c>
      <c r="G121" s="40" t="s">
        <v>646</v>
      </c>
      <c r="H121" s="40" t="s">
        <v>192</v>
      </c>
      <c r="I121" s="281">
        <v>240887</v>
      </c>
      <c r="J121" s="40">
        <v>250</v>
      </c>
      <c r="K121" s="40">
        <v>250</v>
      </c>
      <c r="L121" s="40">
        <v>250</v>
      </c>
      <c r="M121" s="40">
        <v>250</v>
      </c>
      <c r="N121" s="70">
        <v>230</v>
      </c>
      <c r="O121" s="70">
        <v>230</v>
      </c>
      <c r="P121" s="70">
        <v>230</v>
      </c>
      <c r="Q121" s="40">
        <v>100</v>
      </c>
      <c r="R121" s="721">
        <v>25</v>
      </c>
      <c r="S121" s="726">
        <v>12.5</v>
      </c>
      <c r="T121" s="715">
        <v>543</v>
      </c>
      <c r="U121" s="717"/>
    </row>
    <row r="122" spans="1:22" ht="17.25" customHeight="1" thickBot="1">
      <c r="A122" s="714"/>
      <c r="B122" s="712"/>
      <c r="C122" s="749"/>
      <c r="D122" s="714"/>
      <c r="E122" s="41" t="s">
        <v>458</v>
      </c>
      <c r="F122" s="41" t="s">
        <v>412</v>
      </c>
      <c r="G122" s="41" t="s">
        <v>647</v>
      </c>
      <c r="H122" s="41" t="s">
        <v>192</v>
      </c>
      <c r="I122" s="282">
        <v>269408</v>
      </c>
      <c r="J122" s="41">
        <v>270</v>
      </c>
      <c r="K122" s="41">
        <v>270</v>
      </c>
      <c r="L122" s="41">
        <v>270</v>
      </c>
      <c r="M122" s="41">
        <v>270</v>
      </c>
      <c r="N122" s="191">
        <v>250</v>
      </c>
      <c r="O122" s="191">
        <v>250</v>
      </c>
      <c r="P122" s="191">
        <v>250</v>
      </c>
      <c r="Q122" s="41">
        <v>100</v>
      </c>
      <c r="R122" s="725"/>
      <c r="S122" s="728"/>
      <c r="T122" s="716"/>
      <c r="U122" s="718"/>
    </row>
    <row r="123" spans="1:22" ht="16.5" customHeight="1">
      <c r="A123" s="726" t="s">
        <v>472</v>
      </c>
      <c r="B123" s="711" t="s">
        <v>445</v>
      </c>
      <c r="C123" s="747" t="s">
        <v>437</v>
      </c>
      <c r="D123" s="713" t="s">
        <v>415</v>
      </c>
      <c r="E123" s="35" t="s">
        <v>460</v>
      </c>
      <c r="F123" s="389" t="s">
        <v>414</v>
      </c>
      <c r="G123" s="35" t="s">
        <v>381</v>
      </c>
      <c r="H123" s="35" t="s">
        <v>192</v>
      </c>
      <c r="I123" s="291">
        <v>230363</v>
      </c>
      <c r="J123" s="736">
        <v>305</v>
      </c>
      <c r="K123" s="736"/>
      <c r="L123" s="736"/>
      <c r="M123" s="736"/>
      <c r="N123" s="736"/>
      <c r="O123" s="736"/>
      <c r="P123" s="736"/>
      <c r="R123" s="715"/>
      <c r="S123" s="717"/>
      <c r="T123" s="715"/>
      <c r="U123" s="717"/>
    </row>
    <row r="124" spans="1:22" ht="17.25" customHeight="1" thickBot="1">
      <c r="A124" s="728"/>
      <c r="B124" s="712"/>
      <c r="C124" s="749"/>
      <c r="D124" s="714"/>
      <c r="E124" s="35" t="s">
        <v>460</v>
      </c>
      <c r="F124" s="35" t="s">
        <v>414</v>
      </c>
      <c r="G124" s="35" t="s">
        <v>382</v>
      </c>
      <c r="H124" s="35" t="s">
        <v>192</v>
      </c>
      <c r="I124" s="291">
        <v>253611</v>
      </c>
      <c r="J124" s="736">
        <v>345</v>
      </c>
      <c r="K124" s="736"/>
      <c r="L124" s="736"/>
      <c r="M124" s="736"/>
      <c r="N124" s="736"/>
      <c r="O124" s="736"/>
      <c r="P124" s="736"/>
      <c r="R124" s="716"/>
      <c r="S124" s="718"/>
      <c r="T124" s="716"/>
      <c r="U124" s="718"/>
    </row>
    <row r="125" spans="1:22" ht="16.5" customHeight="1">
      <c r="A125" s="713" t="s">
        <v>475</v>
      </c>
      <c r="B125" s="711" t="s">
        <v>421</v>
      </c>
      <c r="C125" s="747" t="s">
        <v>437</v>
      </c>
      <c r="D125" s="713" t="s">
        <v>418</v>
      </c>
      <c r="E125" s="40" t="s">
        <v>365</v>
      </c>
      <c r="F125" s="231" t="s">
        <v>366</v>
      </c>
      <c r="G125" s="40" t="s">
        <v>364</v>
      </c>
      <c r="H125" s="40" t="s">
        <v>192</v>
      </c>
      <c r="I125" s="281">
        <v>241553</v>
      </c>
      <c r="J125" s="722">
        <v>280</v>
      </c>
      <c r="K125" s="722"/>
      <c r="L125" s="722"/>
      <c r="M125" s="722"/>
      <c r="N125" s="722"/>
      <c r="O125" s="722"/>
      <c r="P125" s="722"/>
      <c r="Q125" s="40" t="s">
        <v>362</v>
      </c>
      <c r="R125" s="721"/>
      <c r="S125" s="726"/>
      <c r="T125" s="715"/>
      <c r="U125" s="717"/>
    </row>
    <row r="126" spans="1:22" ht="17.25" customHeight="1" thickBot="1">
      <c r="A126" s="714"/>
      <c r="B126" s="712"/>
      <c r="C126" s="749"/>
      <c r="D126" s="714"/>
      <c r="E126" s="41" t="s">
        <v>365</v>
      </c>
      <c r="F126" s="41" t="s">
        <v>366</v>
      </c>
      <c r="G126" s="41" t="s">
        <v>353</v>
      </c>
      <c r="H126" s="41" t="s">
        <v>192</v>
      </c>
      <c r="I126" s="282">
        <v>349803</v>
      </c>
      <c r="J126" s="723">
        <v>340</v>
      </c>
      <c r="K126" s="723"/>
      <c r="L126" s="723"/>
      <c r="M126" s="723"/>
      <c r="N126" s="723"/>
      <c r="O126" s="723"/>
      <c r="P126" s="723"/>
      <c r="Q126" s="41" t="s">
        <v>362</v>
      </c>
      <c r="R126" s="725"/>
      <c r="S126" s="728"/>
      <c r="T126" s="716"/>
      <c r="U126" s="718"/>
    </row>
    <row r="127" spans="1:22" ht="16.5" customHeight="1">
      <c r="A127" s="713" t="s">
        <v>475</v>
      </c>
      <c r="B127" s="732" t="s">
        <v>422</v>
      </c>
      <c r="C127" s="730" t="s">
        <v>832</v>
      </c>
      <c r="D127" s="713" t="s">
        <v>829</v>
      </c>
      <c r="E127" s="40" t="s">
        <v>491</v>
      </c>
      <c r="F127" s="231" t="s">
        <v>828</v>
      </c>
      <c r="G127" s="40" t="s">
        <v>236</v>
      </c>
      <c r="H127" s="40" t="s">
        <v>192</v>
      </c>
      <c r="I127" s="309">
        <v>336881</v>
      </c>
      <c r="J127" s="40">
        <v>320</v>
      </c>
      <c r="K127" s="40">
        <v>320</v>
      </c>
      <c r="L127" s="40">
        <v>320</v>
      </c>
      <c r="M127" s="40">
        <v>320</v>
      </c>
      <c r="N127" s="40">
        <v>320</v>
      </c>
      <c r="O127" s="40">
        <v>320</v>
      </c>
      <c r="P127" s="40">
        <v>320</v>
      </c>
      <c r="Q127" s="40" t="s">
        <v>362</v>
      </c>
      <c r="R127" s="721"/>
      <c r="S127" s="726"/>
      <c r="T127" s="721">
        <v>324</v>
      </c>
      <c r="U127" s="726"/>
    </row>
    <row r="128" spans="1:22" ht="16.5" customHeight="1">
      <c r="A128" s="729"/>
      <c r="B128" s="732"/>
      <c r="C128" s="731"/>
      <c r="D128" s="729"/>
      <c r="E128" s="35" t="s">
        <v>491</v>
      </c>
      <c r="F128" s="35" t="s">
        <v>485</v>
      </c>
      <c r="G128" s="35" t="s">
        <v>202</v>
      </c>
      <c r="H128" s="35" t="s">
        <v>192</v>
      </c>
      <c r="I128" s="310">
        <v>427275</v>
      </c>
      <c r="J128" s="35">
        <v>435</v>
      </c>
      <c r="K128" s="35">
        <v>435</v>
      </c>
      <c r="L128" s="35">
        <v>435</v>
      </c>
      <c r="M128" s="35">
        <v>435</v>
      </c>
      <c r="N128" s="35">
        <v>435</v>
      </c>
      <c r="O128" s="35">
        <v>435</v>
      </c>
      <c r="P128" s="35">
        <v>435</v>
      </c>
      <c r="R128" s="724"/>
      <c r="S128" s="727"/>
      <c r="T128" s="724"/>
      <c r="U128" s="727"/>
    </row>
    <row r="129" spans="1:21" ht="16.5" customHeight="1">
      <c r="A129" s="729"/>
      <c r="B129" s="732"/>
      <c r="C129" s="731"/>
      <c r="D129" s="729"/>
      <c r="E129" s="222" t="s">
        <v>491</v>
      </c>
      <c r="F129" s="222" t="s">
        <v>485</v>
      </c>
      <c r="G129" s="222" t="s">
        <v>492</v>
      </c>
      <c r="H129" s="222" t="s">
        <v>192</v>
      </c>
      <c r="I129" s="391">
        <v>336881</v>
      </c>
      <c r="J129" s="222"/>
      <c r="K129" s="222"/>
      <c r="L129" s="222"/>
      <c r="M129" s="222"/>
      <c r="N129" s="222"/>
      <c r="O129" s="222"/>
      <c r="P129" s="222"/>
      <c r="Q129" s="222"/>
      <c r="R129" s="724"/>
      <c r="S129" s="727"/>
      <c r="T129" s="724"/>
      <c r="U129" s="727"/>
    </row>
    <row r="130" spans="1:21" ht="17.25" customHeight="1" thickBot="1">
      <c r="A130" s="714"/>
      <c r="B130" s="712"/>
      <c r="C130" s="720"/>
      <c r="D130" s="714"/>
      <c r="E130" s="46" t="s">
        <v>491</v>
      </c>
      <c r="F130" s="46" t="s">
        <v>485</v>
      </c>
      <c r="G130" s="46" t="s">
        <v>493</v>
      </c>
      <c r="H130" s="46" t="s">
        <v>192</v>
      </c>
      <c r="I130" s="435">
        <v>427275</v>
      </c>
      <c r="J130" s="46"/>
      <c r="K130" s="46"/>
      <c r="L130" s="46"/>
      <c r="M130" s="46"/>
      <c r="N130" s="46"/>
      <c r="O130" s="46"/>
      <c r="P130" s="46"/>
      <c r="Q130" s="46"/>
      <c r="R130" s="725"/>
      <c r="S130" s="728"/>
      <c r="T130" s="725"/>
      <c r="U130" s="728"/>
    </row>
    <row r="131" spans="1:21">
      <c r="A131" s="713"/>
      <c r="B131" s="711" t="s">
        <v>440</v>
      </c>
      <c r="C131" s="733" t="s">
        <v>826</v>
      </c>
      <c r="D131" s="713"/>
      <c r="E131" s="40" t="s">
        <v>662</v>
      </c>
      <c r="F131" s="40" t="s">
        <v>496</v>
      </c>
      <c r="G131" s="40" t="s">
        <v>13</v>
      </c>
      <c r="H131" s="40"/>
      <c r="I131" s="309"/>
      <c r="J131" s="40">
        <v>250</v>
      </c>
      <c r="K131" s="40">
        <v>250</v>
      </c>
      <c r="L131" s="40">
        <v>250</v>
      </c>
      <c r="M131" s="40">
        <v>250</v>
      </c>
      <c r="N131" s="40">
        <v>250</v>
      </c>
      <c r="O131" s="40">
        <v>250</v>
      </c>
      <c r="P131" s="40">
        <v>250</v>
      </c>
      <c r="Q131" s="40"/>
      <c r="R131" s="715"/>
      <c r="S131" s="717"/>
      <c r="T131" s="715"/>
      <c r="U131" s="717"/>
    </row>
    <row r="132" spans="1:21" ht="17.25" customHeight="1" thickBot="1">
      <c r="A132" s="714"/>
      <c r="B132" s="712"/>
      <c r="C132" s="734"/>
      <c r="D132" s="714"/>
      <c r="E132" s="41" t="s">
        <v>662</v>
      </c>
      <c r="F132" s="41" t="s">
        <v>496</v>
      </c>
      <c r="G132" s="41" t="s">
        <v>236</v>
      </c>
      <c r="H132" s="41"/>
      <c r="I132" s="313"/>
      <c r="J132" s="41">
        <v>270</v>
      </c>
      <c r="K132" s="41">
        <v>270</v>
      </c>
      <c r="L132" s="41">
        <v>270</v>
      </c>
      <c r="M132" s="41">
        <v>270</v>
      </c>
      <c r="N132" s="41">
        <v>270</v>
      </c>
      <c r="O132" s="41">
        <v>270</v>
      </c>
      <c r="P132" s="41">
        <v>270</v>
      </c>
      <c r="Q132" s="41"/>
      <c r="R132" s="716"/>
      <c r="S132" s="718"/>
      <c r="T132" s="716"/>
      <c r="U132" s="718"/>
    </row>
    <row r="133" spans="1:21" ht="16.5" customHeight="1">
      <c r="A133" s="713"/>
      <c r="B133" s="287" t="s">
        <v>440</v>
      </c>
      <c r="C133" s="733" t="s">
        <v>826</v>
      </c>
      <c r="D133" s="713"/>
      <c r="E133" s="40" t="s">
        <v>661</v>
      </c>
      <c r="F133" s="40" t="s">
        <v>496</v>
      </c>
      <c r="G133" s="40" t="s">
        <v>13</v>
      </c>
      <c r="H133" s="40"/>
      <c r="I133" s="309"/>
      <c r="J133" s="721">
        <v>250</v>
      </c>
      <c r="K133" s="722"/>
      <c r="L133" s="722"/>
      <c r="M133" s="722"/>
      <c r="N133" s="722"/>
      <c r="O133" s="722"/>
      <c r="P133" s="722"/>
      <c r="Q133" s="40"/>
      <c r="R133" s="715"/>
      <c r="S133" s="717"/>
      <c r="T133" s="715"/>
      <c r="U133" s="717"/>
    </row>
    <row r="134" spans="1:21" ht="17.25" customHeight="1" thickBot="1">
      <c r="A134" s="714"/>
      <c r="B134" s="289" t="s">
        <v>440</v>
      </c>
      <c r="C134" s="734"/>
      <c r="D134" s="714"/>
      <c r="E134" s="41" t="s">
        <v>661</v>
      </c>
      <c r="F134" s="41" t="s">
        <v>496</v>
      </c>
      <c r="G134" s="41" t="s">
        <v>236</v>
      </c>
      <c r="H134" s="41"/>
      <c r="I134" s="313"/>
      <c r="J134" s="725">
        <v>270</v>
      </c>
      <c r="K134" s="723"/>
      <c r="L134" s="723"/>
      <c r="M134" s="723"/>
      <c r="N134" s="723"/>
      <c r="O134" s="723"/>
      <c r="P134" s="723"/>
      <c r="Q134" s="41"/>
      <c r="R134" s="716"/>
      <c r="S134" s="718"/>
      <c r="T134" s="716"/>
      <c r="U134" s="718"/>
    </row>
    <row r="135" spans="1:21">
      <c r="A135" s="713"/>
      <c r="B135" s="711" t="s">
        <v>422</v>
      </c>
      <c r="C135" s="719"/>
      <c r="D135" s="713"/>
      <c r="E135" s="40" t="s">
        <v>611</v>
      </c>
      <c r="F135" s="40" t="s">
        <v>614</v>
      </c>
      <c r="G135" s="40" t="s">
        <v>613</v>
      </c>
      <c r="H135" s="40"/>
      <c r="I135" s="338"/>
      <c r="J135" s="721">
        <v>270</v>
      </c>
      <c r="K135" s="722"/>
      <c r="L135" s="722"/>
      <c r="M135" s="722"/>
      <c r="N135" s="722"/>
      <c r="O135" s="722"/>
      <c r="P135" s="722"/>
      <c r="Q135" s="40">
        <v>100</v>
      </c>
      <c r="R135" s="715"/>
      <c r="S135" s="717"/>
      <c r="T135" s="715"/>
      <c r="U135" s="717"/>
    </row>
    <row r="136" spans="1:21" ht="17.25" customHeight="1" thickBot="1">
      <c r="A136" s="714"/>
      <c r="B136" s="712"/>
      <c r="C136" s="720"/>
      <c r="D136" s="714"/>
      <c r="E136" s="41" t="s">
        <v>610</v>
      </c>
      <c r="F136" s="41" t="s">
        <v>615</v>
      </c>
      <c r="G136" s="41" t="s">
        <v>612</v>
      </c>
      <c r="H136" s="41"/>
      <c r="I136" s="339"/>
      <c r="J136" s="725">
        <v>300</v>
      </c>
      <c r="K136" s="723"/>
      <c r="L136" s="723"/>
      <c r="M136" s="723"/>
      <c r="N136" s="723"/>
      <c r="O136" s="723"/>
      <c r="P136" s="723"/>
      <c r="Q136" s="41">
        <v>100</v>
      </c>
      <c r="R136" s="716"/>
      <c r="S136" s="718"/>
      <c r="T136" s="716"/>
      <c r="U136" s="718"/>
    </row>
    <row r="137" spans="1:21" ht="17.25" customHeight="1">
      <c r="A137" s="713"/>
      <c r="B137" s="711"/>
      <c r="C137" s="719"/>
      <c r="D137" s="713"/>
      <c r="E137" s="40"/>
      <c r="F137" s="40" t="s">
        <v>509</v>
      </c>
      <c r="G137" s="40"/>
      <c r="H137" s="40"/>
      <c r="I137" s="338"/>
      <c r="J137" s="40"/>
      <c r="K137" s="40"/>
      <c r="L137" s="40"/>
      <c r="M137" s="40"/>
      <c r="N137" s="40"/>
      <c r="O137" s="40"/>
      <c r="P137" s="40"/>
      <c r="Q137" s="40"/>
      <c r="R137" s="715"/>
      <c r="S137" s="717"/>
      <c r="T137" s="715"/>
      <c r="U137" s="717"/>
    </row>
    <row r="138" spans="1:21" ht="17.25" customHeight="1" thickBot="1">
      <c r="A138" s="714"/>
      <c r="B138" s="712"/>
      <c r="C138" s="720"/>
      <c r="D138" s="714"/>
      <c r="E138" s="41"/>
      <c r="F138" s="41" t="s">
        <v>509</v>
      </c>
      <c r="G138" s="41"/>
      <c r="H138" s="41"/>
      <c r="I138" s="339"/>
      <c r="J138" s="41"/>
      <c r="K138" s="41"/>
      <c r="L138" s="41"/>
      <c r="M138" s="41"/>
      <c r="N138" s="41"/>
      <c r="O138" s="41"/>
      <c r="P138" s="41"/>
      <c r="Q138" s="41"/>
      <c r="R138" s="716"/>
      <c r="S138" s="718"/>
      <c r="T138" s="716"/>
      <c r="U138" s="718"/>
    </row>
    <row r="139" spans="1:21">
      <c r="A139" s="713"/>
      <c r="B139" s="711"/>
      <c r="C139" s="719"/>
      <c r="D139" s="713"/>
      <c r="E139" s="40"/>
      <c r="F139" s="40" t="s">
        <v>830</v>
      </c>
      <c r="G139" s="40"/>
      <c r="H139" s="40"/>
      <c r="I139" s="338"/>
      <c r="J139" s="40"/>
      <c r="K139" s="40"/>
      <c r="L139" s="40"/>
      <c r="M139" s="40"/>
      <c r="N139" s="40"/>
      <c r="O139" s="40"/>
      <c r="P139" s="40"/>
      <c r="Q139" s="40"/>
      <c r="R139" s="715"/>
      <c r="S139" s="717"/>
      <c r="T139" s="715"/>
      <c r="U139" s="717"/>
    </row>
    <row r="140" spans="1:21" ht="16" thickBot="1">
      <c r="A140" s="714"/>
      <c r="B140" s="712"/>
      <c r="C140" s="720"/>
      <c r="D140" s="714"/>
      <c r="E140" s="41"/>
      <c r="F140" s="41" t="s">
        <v>716</v>
      </c>
      <c r="G140" s="41"/>
      <c r="H140" s="41"/>
      <c r="I140" s="339"/>
      <c r="J140" s="41"/>
      <c r="K140" s="41"/>
      <c r="L140" s="41"/>
      <c r="M140" s="41"/>
      <c r="N140" s="41"/>
      <c r="O140" s="41"/>
      <c r="P140" s="41"/>
      <c r="Q140" s="41"/>
      <c r="R140" s="716"/>
      <c r="S140" s="718"/>
      <c r="T140" s="716"/>
      <c r="U140" s="718"/>
    </row>
    <row r="141" spans="1:21">
      <c r="A141" s="713" t="s">
        <v>471</v>
      </c>
      <c r="B141" s="711"/>
      <c r="C141" s="719"/>
      <c r="D141" s="722"/>
      <c r="E141" s="40"/>
      <c r="F141" s="40" t="s">
        <v>470</v>
      </c>
      <c r="G141" s="40"/>
      <c r="H141" s="40"/>
      <c r="I141" s="338"/>
      <c r="J141" s="40"/>
      <c r="K141" s="40"/>
      <c r="L141" s="40"/>
      <c r="M141" s="40"/>
      <c r="N141" s="40"/>
      <c r="O141" s="40"/>
      <c r="P141" s="40"/>
      <c r="Q141" s="40"/>
      <c r="R141" s="715"/>
      <c r="S141" s="717"/>
      <c r="T141" s="715"/>
      <c r="U141" s="717"/>
    </row>
    <row r="142" spans="1:21" ht="16" thickBot="1">
      <c r="A142" s="714"/>
      <c r="B142" s="712"/>
      <c r="C142" s="720"/>
      <c r="D142" s="723"/>
      <c r="E142" s="41"/>
      <c r="F142" s="41" t="s">
        <v>470</v>
      </c>
      <c r="G142" s="41"/>
      <c r="H142" s="41"/>
      <c r="I142" s="339"/>
      <c r="J142" s="41"/>
      <c r="K142" s="41"/>
      <c r="L142" s="41"/>
      <c r="M142" s="41"/>
      <c r="N142" s="41"/>
      <c r="O142" s="41"/>
      <c r="P142" s="41"/>
      <c r="Q142" s="41"/>
      <c r="R142" s="716"/>
      <c r="S142" s="718"/>
      <c r="T142" s="716"/>
      <c r="U142" s="718"/>
    </row>
    <row r="143" spans="1:21">
      <c r="A143" s="713"/>
      <c r="B143" s="711"/>
      <c r="C143" s="719"/>
      <c r="D143" s="713"/>
      <c r="F143" s="35" t="s">
        <v>479</v>
      </c>
      <c r="R143" s="715"/>
      <c r="S143" s="717"/>
      <c r="T143" s="715"/>
      <c r="U143" s="717"/>
    </row>
    <row r="144" spans="1:21" ht="16" thickBot="1">
      <c r="A144" s="714"/>
      <c r="B144" s="712"/>
      <c r="C144" s="720"/>
      <c r="D144" s="714"/>
      <c r="F144" s="35" t="s">
        <v>479</v>
      </c>
      <c r="R144" s="716"/>
      <c r="S144" s="718"/>
      <c r="T144" s="716"/>
      <c r="U144" s="718"/>
    </row>
    <row r="145" spans="1:21">
      <c r="A145" s="307" t="s">
        <v>641</v>
      </c>
      <c r="B145" s="287" t="s">
        <v>640</v>
      </c>
      <c r="C145" s="719"/>
      <c r="D145" s="713"/>
      <c r="E145" s="40" t="s">
        <v>638</v>
      </c>
      <c r="F145" s="40" t="s">
        <v>480</v>
      </c>
      <c r="G145" s="40" t="s">
        <v>677</v>
      </c>
      <c r="H145" s="228"/>
      <c r="I145" s="338"/>
      <c r="J145" s="721">
        <v>170</v>
      </c>
      <c r="K145" s="722"/>
      <c r="L145" s="722"/>
      <c r="M145" s="722"/>
      <c r="N145" s="722"/>
      <c r="O145" s="722"/>
      <c r="P145" s="722"/>
      <c r="Q145" s="40">
        <v>90</v>
      </c>
      <c r="R145" s="237">
        <v>20</v>
      </c>
      <c r="S145" s="238">
        <v>20</v>
      </c>
      <c r="T145" s="237">
        <v>380</v>
      </c>
      <c r="U145" s="238"/>
    </row>
    <row r="146" spans="1:21" ht="17.25" customHeight="1" thickBot="1">
      <c r="A146" s="328" t="s">
        <v>641</v>
      </c>
      <c r="B146" s="289" t="s">
        <v>640</v>
      </c>
      <c r="C146" s="720"/>
      <c r="D146" s="714"/>
      <c r="E146" s="41" t="s">
        <v>638</v>
      </c>
      <c r="F146" s="41" t="s">
        <v>480</v>
      </c>
      <c r="G146" s="41" t="s">
        <v>639</v>
      </c>
      <c r="H146" s="232"/>
      <c r="I146" s="339"/>
      <c r="J146" s="725">
        <v>180</v>
      </c>
      <c r="K146" s="723"/>
      <c r="L146" s="723"/>
      <c r="M146" s="723"/>
      <c r="N146" s="723"/>
      <c r="O146" s="723"/>
      <c r="P146" s="723"/>
      <c r="Q146" s="41">
        <v>90</v>
      </c>
      <c r="R146" s="242">
        <v>20</v>
      </c>
      <c r="S146" s="243">
        <v>20</v>
      </c>
      <c r="T146" s="242">
        <v>380</v>
      </c>
      <c r="U146" s="243"/>
    </row>
    <row r="147" spans="1:21">
      <c r="A147" s="713"/>
      <c r="B147" s="711"/>
      <c r="C147" s="719"/>
      <c r="D147" s="713"/>
      <c r="F147" s="35" t="s">
        <v>481</v>
      </c>
      <c r="R147" s="715"/>
      <c r="S147" s="717"/>
      <c r="T147" s="715"/>
      <c r="U147" s="717"/>
    </row>
    <row r="148" spans="1:21" ht="16" thickBot="1">
      <c r="A148" s="714"/>
      <c r="B148" s="712"/>
      <c r="C148" s="720"/>
      <c r="D148" s="714"/>
      <c r="F148" s="35" t="s">
        <v>482</v>
      </c>
      <c r="R148" s="716"/>
      <c r="S148" s="718"/>
      <c r="T148" s="716"/>
      <c r="U148" s="718"/>
    </row>
    <row r="149" spans="1:21" ht="16.5" customHeight="1">
      <c r="A149" s="713"/>
      <c r="B149" s="711"/>
      <c r="C149" s="719" t="s">
        <v>831</v>
      </c>
      <c r="D149" s="713" t="s">
        <v>195</v>
      </c>
      <c r="E149" s="40"/>
      <c r="F149" s="40" t="s">
        <v>483</v>
      </c>
      <c r="G149" s="40"/>
      <c r="H149" s="40"/>
      <c r="I149" s="338"/>
      <c r="J149" s="721">
        <v>240</v>
      </c>
      <c r="K149" s="722"/>
      <c r="L149" s="722"/>
      <c r="M149" s="722"/>
      <c r="N149" s="722"/>
      <c r="O149" s="722"/>
      <c r="P149" s="722"/>
      <c r="Q149" s="40"/>
      <c r="R149" s="715"/>
      <c r="S149" s="717"/>
      <c r="T149" s="715"/>
      <c r="U149" s="717"/>
    </row>
    <row r="150" spans="1:21" ht="16" thickBot="1">
      <c r="A150" s="714"/>
      <c r="B150" s="712"/>
      <c r="C150" s="720"/>
      <c r="D150" s="714"/>
      <c r="E150" s="41"/>
      <c r="F150" s="41"/>
      <c r="G150" s="41"/>
      <c r="H150" s="41"/>
      <c r="I150" s="339"/>
      <c r="J150" s="41"/>
      <c r="K150" s="41"/>
      <c r="L150" s="41"/>
      <c r="M150" s="41"/>
      <c r="N150" s="41"/>
      <c r="O150" s="41"/>
      <c r="P150" s="41"/>
      <c r="Q150" s="41"/>
      <c r="R150" s="716"/>
      <c r="S150" s="718"/>
      <c r="T150" s="716"/>
      <c r="U150" s="718"/>
    </row>
    <row r="151" spans="1:21">
      <c r="F151" s="35" t="s">
        <v>484</v>
      </c>
    </row>
    <row r="152" spans="1:21">
      <c r="F152" s="35" t="s">
        <v>486</v>
      </c>
    </row>
    <row r="153" spans="1:21">
      <c r="F153" s="35" t="s">
        <v>487</v>
      </c>
    </row>
    <row r="154" spans="1:21">
      <c r="F154" s="35" t="s">
        <v>488</v>
      </c>
    </row>
    <row r="155" spans="1:21">
      <c r="F155" s="35" t="s">
        <v>489</v>
      </c>
    </row>
    <row r="156" spans="1:21">
      <c r="F156" s="35" t="s">
        <v>490</v>
      </c>
    </row>
    <row r="157" spans="1:21">
      <c r="F157" s="35" t="s">
        <v>538</v>
      </c>
    </row>
    <row r="158" spans="1:21">
      <c r="F158" s="35" t="s">
        <v>620</v>
      </c>
      <c r="J158" s="356"/>
      <c r="K158" s="34"/>
      <c r="L158" s="34"/>
      <c r="M158" s="34"/>
      <c r="N158" s="34"/>
      <c r="O158" s="34"/>
      <c r="P158" s="34"/>
    </row>
    <row r="159" spans="1:21">
      <c r="F159" s="35" t="s">
        <v>715</v>
      </c>
    </row>
  </sheetData>
  <protectedRanges>
    <protectedRange algorithmName="SHA-512" hashValue="1KBEcuQtlYi6rO43xyk72NZFnqMiimZjRAq61ekcdD5A2NysWBUQTGp6TmY6TNG+X1ntU21VgD1zvkS609JIrg==" saltValue="brL6QYkkAw8fP/UM5Njj5w==" spinCount="100000" sqref="C2 C41:C43 C47:C49 C5 B20:D23 D2:D5 B2:B5 G2:G5 G20:G23 B44:D46 G44:G46" name="범위1"/>
  </protectedRanges>
  <mergeCells count="527">
    <mergeCell ref="J52:P52"/>
    <mergeCell ref="J133:P133"/>
    <mergeCell ref="J134:P134"/>
    <mergeCell ref="A59:A61"/>
    <mergeCell ref="B59:B61"/>
    <mergeCell ref="D59:D61"/>
    <mergeCell ref="T59:T61"/>
    <mergeCell ref="U59:U61"/>
    <mergeCell ref="J59:N59"/>
    <mergeCell ref="J60:N60"/>
    <mergeCell ref="J61:N61"/>
    <mergeCell ref="O59:P59"/>
    <mergeCell ref="O60:P60"/>
    <mergeCell ref="O61:P61"/>
    <mergeCell ref="J75:P75"/>
    <mergeCell ref="J76:P76"/>
    <mergeCell ref="D75:D76"/>
    <mergeCell ref="A75:A76"/>
    <mergeCell ref="B75:B76"/>
    <mergeCell ref="C75:C76"/>
    <mergeCell ref="R75:R76"/>
    <mergeCell ref="S75:S76"/>
    <mergeCell ref="T75:T76"/>
    <mergeCell ref="U106:U109"/>
    <mergeCell ref="T110:T111"/>
    <mergeCell ref="T112:T115"/>
    <mergeCell ref="U112:U115"/>
    <mergeCell ref="R112:R115"/>
    <mergeCell ref="S112:S115"/>
    <mergeCell ref="R106:R109"/>
    <mergeCell ref="S106:S109"/>
    <mergeCell ref="R110:R111"/>
    <mergeCell ref="S110:S111"/>
    <mergeCell ref="U56:U58"/>
    <mergeCell ref="R69:R72"/>
    <mergeCell ref="S69:S72"/>
    <mergeCell ref="U69:U72"/>
    <mergeCell ref="R67:R68"/>
    <mergeCell ref="S67:S68"/>
    <mergeCell ref="U88:U89"/>
    <mergeCell ref="U90:U93"/>
    <mergeCell ref="U94:U97"/>
    <mergeCell ref="R84:R87"/>
    <mergeCell ref="S84:S87"/>
    <mergeCell ref="T84:T87"/>
    <mergeCell ref="U84:U87"/>
    <mergeCell ref="S73:S74"/>
    <mergeCell ref="U98:U101"/>
    <mergeCell ref="T67:T68"/>
    <mergeCell ref="S88:S89"/>
    <mergeCell ref="T88:T89"/>
    <mergeCell ref="T90:T93"/>
    <mergeCell ref="R90:R93"/>
    <mergeCell ref="S90:S93"/>
    <mergeCell ref="D119:D120"/>
    <mergeCell ref="D121:D122"/>
    <mergeCell ref="J85:P85"/>
    <mergeCell ref="J86:P86"/>
    <mergeCell ref="U67:U68"/>
    <mergeCell ref="J118:P118"/>
    <mergeCell ref="J119:P119"/>
    <mergeCell ref="T104:T105"/>
    <mergeCell ref="J105:P105"/>
    <mergeCell ref="J98:P98"/>
    <mergeCell ref="J101:P101"/>
    <mergeCell ref="J106:P106"/>
    <mergeCell ref="J95:P95"/>
    <mergeCell ref="J107:P107"/>
    <mergeCell ref="J88:P88"/>
    <mergeCell ref="J89:P89"/>
    <mergeCell ref="S104:S105"/>
    <mergeCell ref="D123:D124"/>
    <mergeCell ref="A104:A105"/>
    <mergeCell ref="B104:B105"/>
    <mergeCell ref="D104:D105"/>
    <mergeCell ref="R104:R105"/>
    <mergeCell ref="A106:A109"/>
    <mergeCell ref="A110:A111"/>
    <mergeCell ref="A112:A115"/>
    <mergeCell ref="B106:B109"/>
    <mergeCell ref="B110:B111"/>
    <mergeCell ref="B112:B115"/>
    <mergeCell ref="D106:D109"/>
    <mergeCell ref="D110:D111"/>
    <mergeCell ref="D112:D115"/>
    <mergeCell ref="C117:C118"/>
    <mergeCell ref="J117:P117"/>
    <mergeCell ref="J109:M109"/>
    <mergeCell ref="N109:P109"/>
    <mergeCell ref="C123:C124"/>
    <mergeCell ref="C104:C105"/>
    <mergeCell ref="N115:P115"/>
    <mergeCell ref="J124:P124"/>
    <mergeCell ref="J104:P104"/>
    <mergeCell ref="J120:P120"/>
    <mergeCell ref="C80:C83"/>
    <mergeCell ref="A73:A74"/>
    <mergeCell ref="B73:B74"/>
    <mergeCell ref="A80:A83"/>
    <mergeCell ref="B80:B83"/>
    <mergeCell ref="A69:A72"/>
    <mergeCell ref="U75:U76"/>
    <mergeCell ref="T73:T74"/>
    <mergeCell ref="T80:T83"/>
    <mergeCell ref="J72:P72"/>
    <mergeCell ref="C73:C74"/>
    <mergeCell ref="U80:U83"/>
    <mergeCell ref="A78:A79"/>
    <mergeCell ref="B78:B79"/>
    <mergeCell ref="C78:C79"/>
    <mergeCell ref="D78:D79"/>
    <mergeCell ref="J78:P78"/>
    <mergeCell ref="R78:R79"/>
    <mergeCell ref="S78:S79"/>
    <mergeCell ref="T78:T79"/>
    <mergeCell ref="J79:P79"/>
    <mergeCell ref="U78:U79"/>
    <mergeCell ref="J71:P71"/>
    <mergeCell ref="R73:R74"/>
    <mergeCell ref="U12:U13"/>
    <mergeCell ref="U14:U15"/>
    <mergeCell ref="U16:U17"/>
    <mergeCell ref="R12:R13"/>
    <mergeCell ref="S12:S13"/>
    <mergeCell ref="R14:R15"/>
    <mergeCell ref="S14:S15"/>
    <mergeCell ref="R16:R17"/>
    <mergeCell ref="S16:S17"/>
    <mergeCell ref="T16:T17"/>
    <mergeCell ref="T14:T15"/>
    <mergeCell ref="A25:A26"/>
    <mergeCell ref="B25:B26"/>
    <mergeCell ref="A32:A35"/>
    <mergeCell ref="B32:B35"/>
    <mergeCell ref="U20:U23"/>
    <mergeCell ref="A6:A8"/>
    <mergeCell ref="A9:A11"/>
    <mergeCell ref="B6:B8"/>
    <mergeCell ref="B9:B11"/>
    <mergeCell ref="J7:P7"/>
    <mergeCell ref="R6:R8"/>
    <mergeCell ref="S6:S8"/>
    <mergeCell ref="S20:S23"/>
    <mergeCell ref="R20:R23"/>
    <mergeCell ref="J10:P10"/>
    <mergeCell ref="R9:R11"/>
    <mergeCell ref="S9:S11"/>
    <mergeCell ref="U18:U19"/>
    <mergeCell ref="D6:D8"/>
    <mergeCell ref="D9:D11"/>
    <mergeCell ref="C9:C11"/>
    <mergeCell ref="B12:B13"/>
    <mergeCell ref="B14:B15"/>
    <mergeCell ref="B16:B17"/>
    <mergeCell ref="B2:B5"/>
    <mergeCell ref="B20:B23"/>
    <mergeCell ref="A2:A5"/>
    <mergeCell ref="A20:A23"/>
    <mergeCell ref="A14:A15"/>
    <mergeCell ref="A16:A17"/>
    <mergeCell ref="D12:D13"/>
    <mergeCell ref="D14:D15"/>
    <mergeCell ref="D16:D17"/>
    <mergeCell ref="C14:C15"/>
    <mergeCell ref="C16:C17"/>
    <mergeCell ref="A18:A19"/>
    <mergeCell ref="B18:B19"/>
    <mergeCell ref="C18:C19"/>
    <mergeCell ref="D2:D5"/>
    <mergeCell ref="A12:A13"/>
    <mergeCell ref="C6:C8"/>
    <mergeCell ref="C2:C5"/>
    <mergeCell ref="C12:C13"/>
    <mergeCell ref="D18:D19"/>
    <mergeCell ref="C20:C23"/>
    <mergeCell ref="S18:S19"/>
    <mergeCell ref="T18:T19"/>
    <mergeCell ref="T20:T23"/>
    <mergeCell ref="R44:R46"/>
    <mergeCell ref="S44:S46"/>
    <mergeCell ref="J46:P46"/>
    <mergeCell ref="T44:T46"/>
    <mergeCell ref="J64:P64"/>
    <mergeCell ref="R64:R66"/>
    <mergeCell ref="S64:S66"/>
    <mergeCell ref="R47:R49"/>
    <mergeCell ref="S47:S49"/>
    <mergeCell ref="R62:R63"/>
    <mergeCell ref="S62:S63"/>
    <mergeCell ref="J21:P21"/>
    <mergeCell ref="J22:P22"/>
    <mergeCell ref="J26:P26"/>
    <mergeCell ref="T56:T58"/>
    <mergeCell ref="T32:T35"/>
    <mergeCell ref="J19:P19"/>
    <mergeCell ref="T54:T55"/>
    <mergeCell ref="T41:T43"/>
    <mergeCell ref="R18:R19"/>
    <mergeCell ref="J42:P42"/>
    <mergeCell ref="T2:T5"/>
    <mergeCell ref="J2:P2"/>
    <mergeCell ref="J11:P11"/>
    <mergeCell ref="J9:P9"/>
    <mergeCell ref="J5:P5"/>
    <mergeCell ref="J12:P12"/>
    <mergeCell ref="T9:T11"/>
    <mergeCell ref="T12:T13"/>
    <mergeCell ref="J3:P3"/>
    <mergeCell ref="J6:P6"/>
    <mergeCell ref="J13:P13"/>
    <mergeCell ref="Q6:Q8"/>
    <mergeCell ref="Q9:Q11"/>
    <mergeCell ref="J4:P4"/>
    <mergeCell ref="T6:T8"/>
    <mergeCell ref="J8:P8"/>
    <mergeCell ref="R2:R5"/>
    <mergeCell ref="S2:S5"/>
    <mergeCell ref="C36:C38"/>
    <mergeCell ref="C25:C26"/>
    <mergeCell ref="D20:D23"/>
    <mergeCell ref="D41:D43"/>
    <mergeCell ref="D44:D46"/>
    <mergeCell ref="D47:D49"/>
    <mergeCell ref="D25:D26"/>
    <mergeCell ref="C32:C35"/>
    <mergeCell ref="D32:D35"/>
    <mergeCell ref="C28:C31"/>
    <mergeCell ref="C44:C46"/>
    <mergeCell ref="C41:C43"/>
    <mergeCell ref="C39:C40"/>
    <mergeCell ref="D39:D40"/>
    <mergeCell ref="U6:U8"/>
    <mergeCell ref="U9:U11"/>
    <mergeCell ref="J102:P102"/>
    <mergeCell ref="U102:U103"/>
    <mergeCell ref="J50:P50"/>
    <mergeCell ref="T47:T49"/>
    <mergeCell ref="J47:P47"/>
    <mergeCell ref="J31:P31"/>
    <mergeCell ref="J25:P25"/>
    <mergeCell ref="J27:P27"/>
    <mergeCell ref="J53:P53"/>
    <mergeCell ref="J51:P51"/>
    <mergeCell ref="U73:U74"/>
    <mergeCell ref="T62:T63"/>
    <mergeCell ref="T36:T38"/>
    <mergeCell ref="J36:P36"/>
    <mergeCell ref="J16:P16"/>
    <mergeCell ref="J17:P17"/>
    <mergeCell ref="J14:P14"/>
    <mergeCell ref="J15:P15"/>
    <mergeCell ref="J18:P18"/>
    <mergeCell ref="J20:P20"/>
    <mergeCell ref="J67:P67"/>
    <mergeCell ref="J48:P48"/>
    <mergeCell ref="T25:T26"/>
    <mergeCell ref="U41:U43"/>
    <mergeCell ref="U44:U46"/>
    <mergeCell ref="U2:U5"/>
    <mergeCell ref="J62:P62"/>
    <mergeCell ref="J63:P63"/>
    <mergeCell ref="U117:U118"/>
    <mergeCell ref="U104:U105"/>
    <mergeCell ref="T69:T72"/>
    <mergeCell ref="J68:P68"/>
    <mergeCell ref="J58:P58"/>
    <mergeCell ref="J32:M32"/>
    <mergeCell ref="N32:P32"/>
    <mergeCell ref="J33:M33"/>
    <mergeCell ref="N33:P33"/>
    <mergeCell ref="J34:P34"/>
    <mergeCell ref="J35:P35"/>
    <mergeCell ref="J55:P55"/>
    <mergeCell ref="J54:P54"/>
    <mergeCell ref="J41:P41"/>
    <mergeCell ref="J43:P43"/>
    <mergeCell ref="J49:P49"/>
    <mergeCell ref="J23:P23"/>
    <mergeCell ref="J56:P56"/>
    <mergeCell ref="J57:P57"/>
    <mergeCell ref="T106:T109"/>
    <mergeCell ref="R88:R89"/>
    <mergeCell ref="J65:P65"/>
    <mergeCell ref="U25:U26"/>
    <mergeCell ref="J29:P29"/>
    <mergeCell ref="U62:U63"/>
    <mergeCell ref="U54:U55"/>
    <mergeCell ref="J82:P82"/>
    <mergeCell ref="J84:P84"/>
    <mergeCell ref="U36:U38"/>
    <mergeCell ref="U32:U35"/>
    <mergeCell ref="U28:U31"/>
    <mergeCell ref="T28:T31"/>
    <mergeCell ref="T64:T66"/>
    <mergeCell ref="U64:U66"/>
    <mergeCell ref="J37:P37"/>
    <mergeCell ref="J38:P38"/>
    <mergeCell ref="J66:P66"/>
    <mergeCell ref="J30:P30"/>
    <mergeCell ref="J28:P28"/>
    <mergeCell ref="J73:P73"/>
    <mergeCell ref="J74:P74"/>
    <mergeCell ref="J87:P87"/>
    <mergeCell ref="C125:C126"/>
    <mergeCell ref="C102:C103"/>
    <mergeCell ref="C145:C146"/>
    <mergeCell ref="J39:P39"/>
    <mergeCell ref="J125:P125"/>
    <mergeCell ref="J126:P126"/>
    <mergeCell ref="J123:P123"/>
    <mergeCell ref="J103:P103"/>
    <mergeCell ref="J115:M115"/>
    <mergeCell ref="J146:P146"/>
    <mergeCell ref="J40:P40"/>
    <mergeCell ref="J135:P135"/>
    <mergeCell ref="J136:P136"/>
    <mergeCell ref="J111:P111"/>
    <mergeCell ref="J113:P113"/>
    <mergeCell ref="J114:P114"/>
    <mergeCell ref="J110:P110"/>
    <mergeCell ref="J108:M108"/>
    <mergeCell ref="N108:P108"/>
    <mergeCell ref="J112:P112"/>
    <mergeCell ref="C119:C120"/>
    <mergeCell ref="J145:P145"/>
    <mergeCell ref="C121:C122"/>
    <mergeCell ref="D117:D118"/>
    <mergeCell ref="C112:C115"/>
    <mergeCell ref="C84:C87"/>
    <mergeCell ref="C88:C89"/>
    <mergeCell ref="C90:C93"/>
    <mergeCell ref="C94:C97"/>
    <mergeCell ref="D51:D53"/>
    <mergeCell ref="C110:C111"/>
    <mergeCell ref="C106:C109"/>
    <mergeCell ref="D73:D74"/>
    <mergeCell ref="D80:D83"/>
    <mergeCell ref="C51:C53"/>
    <mergeCell ref="D69:D72"/>
    <mergeCell ref="C54:C55"/>
    <mergeCell ref="D67:D68"/>
    <mergeCell ref="C98:C101"/>
    <mergeCell ref="D90:D93"/>
    <mergeCell ref="D88:D89"/>
    <mergeCell ref="D84:D87"/>
    <mergeCell ref="C59:C61"/>
    <mergeCell ref="D94:D97"/>
    <mergeCell ref="D56:D58"/>
    <mergeCell ref="C56:C58"/>
    <mergeCell ref="D54:D55"/>
    <mergeCell ref="C67:C68"/>
    <mergeCell ref="A94:A97"/>
    <mergeCell ref="B62:B63"/>
    <mergeCell ref="A51:A53"/>
    <mergeCell ref="B51:B53"/>
    <mergeCell ref="A67:A68"/>
    <mergeCell ref="B67:B68"/>
    <mergeCell ref="B69:B72"/>
    <mergeCell ref="A56:A58"/>
    <mergeCell ref="B56:B58"/>
    <mergeCell ref="A84:A87"/>
    <mergeCell ref="A88:A89"/>
    <mergeCell ref="A54:A55"/>
    <mergeCell ref="B54:B55"/>
    <mergeCell ref="B84:B87"/>
    <mergeCell ref="B88:B89"/>
    <mergeCell ref="B94:B97"/>
    <mergeCell ref="B41:B43"/>
    <mergeCell ref="A64:A66"/>
    <mergeCell ref="B64:B66"/>
    <mergeCell ref="A47:A49"/>
    <mergeCell ref="A90:A93"/>
    <mergeCell ref="B90:B93"/>
    <mergeCell ref="A28:A31"/>
    <mergeCell ref="B28:B31"/>
    <mergeCell ref="D28:D31"/>
    <mergeCell ref="A36:A38"/>
    <mergeCell ref="B36:B38"/>
    <mergeCell ref="D36:D38"/>
    <mergeCell ref="A44:A46"/>
    <mergeCell ref="B44:B46"/>
    <mergeCell ref="A41:A43"/>
    <mergeCell ref="B47:B49"/>
    <mergeCell ref="A62:A63"/>
    <mergeCell ref="C47:C49"/>
    <mergeCell ref="C64:C66"/>
    <mergeCell ref="D64:D66"/>
    <mergeCell ref="D62:D63"/>
    <mergeCell ref="C62:C63"/>
    <mergeCell ref="C69:C72"/>
    <mergeCell ref="A39:A40"/>
    <mergeCell ref="A102:A103"/>
    <mergeCell ref="B102:B103"/>
    <mergeCell ref="D102:D103"/>
    <mergeCell ref="R102:R103"/>
    <mergeCell ref="S102:S103"/>
    <mergeCell ref="T102:T103"/>
    <mergeCell ref="T98:T101"/>
    <mergeCell ref="A98:A101"/>
    <mergeCell ref="B98:B101"/>
    <mergeCell ref="D98:D101"/>
    <mergeCell ref="R98:R101"/>
    <mergeCell ref="S98:S101"/>
    <mergeCell ref="J99:P99"/>
    <mergeCell ref="J100:P100"/>
    <mergeCell ref="W51:X53"/>
    <mergeCell ref="W67:X68"/>
    <mergeCell ref="W44:X46"/>
    <mergeCell ref="T117:T118"/>
    <mergeCell ref="T119:T120"/>
    <mergeCell ref="U119:U120"/>
    <mergeCell ref="T121:T122"/>
    <mergeCell ref="D125:D126"/>
    <mergeCell ref="U121:U122"/>
    <mergeCell ref="R117:R118"/>
    <mergeCell ref="S117:S118"/>
    <mergeCell ref="R119:R120"/>
    <mergeCell ref="S119:S120"/>
    <mergeCell ref="R123:R124"/>
    <mergeCell ref="S123:S124"/>
    <mergeCell ref="R121:R122"/>
    <mergeCell ref="S121:S122"/>
    <mergeCell ref="R94:R97"/>
    <mergeCell ref="S94:S97"/>
    <mergeCell ref="T94:T97"/>
    <mergeCell ref="J96:P96"/>
    <mergeCell ref="J97:P97"/>
    <mergeCell ref="J94:P94"/>
    <mergeCell ref="U47:U49"/>
    <mergeCell ref="A117:A118"/>
    <mergeCell ref="A119:A120"/>
    <mergeCell ref="A121:A122"/>
    <mergeCell ref="A123:A124"/>
    <mergeCell ref="A125:A126"/>
    <mergeCell ref="B117:B118"/>
    <mergeCell ref="B119:B120"/>
    <mergeCell ref="B121:B122"/>
    <mergeCell ref="B123:B124"/>
    <mergeCell ref="B125:B126"/>
    <mergeCell ref="A127:A130"/>
    <mergeCell ref="C127:C130"/>
    <mergeCell ref="D127:D130"/>
    <mergeCell ref="A131:A132"/>
    <mergeCell ref="B127:B130"/>
    <mergeCell ref="B131:B132"/>
    <mergeCell ref="C131:C132"/>
    <mergeCell ref="D131:D132"/>
    <mergeCell ref="A133:A134"/>
    <mergeCell ref="C133:C134"/>
    <mergeCell ref="D133:D134"/>
    <mergeCell ref="A135:A136"/>
    <mergeCell ref="C135:C136"/>
    <mergeCell ref="D135:D136"/>
    <mergeCell ref="B39:B40"/>
    <mergeCell ref="T127:T130"/>
    <mergeCell ref="U127:U130"/>
    <mergeCell ref="R125:R126"/>
    <mergeCell ref="S125:S126"/>
    <mergeCell ref="R127:R130"/>
    <mergeCell ref="S127:S130"/>
    <mergeCell ref="T123:T124"/>
    <mergeCell ref="U123:U124"/>
    <mergeCell ref="T125:T126"/>
    <mergeCell ref="U125:U126"/>
    <mergeCell ref="R131:R132"/>
    <mergeCell ref="S131:S132"/>
    <mergeCell ref="T131:T132"/>
    <mergeCell ref="U131:U132"/>
    <mergeCell ref="R133:R134"/>
    <mergeCell ref="S133:S134"/>
    <mergeCell ref="T133:T134"/>
    <mergeCell ref="U133:U134"/>
    <mergeCell ref="R135:R136"/>
    <mergeCell ref="S135:S136"/>
    <mergeCell ref="A141:A142"/>
    <mergeCell ref="B141:B142"/>
    <mergeCell ref="C141:C142"/>
    <mergeCell ref="D141:D142"/>
    <mergeCell ref="A143:A144"/>
    <mergeCell ref="B143:B144"/>
    <mergeCell ref="C143:C144"/>
    <mergeCell ref="A137:A138"/>
    <mergeCell ref="B137:B138"/>
    <mergeCell ref="C137:C138"/>
    <mergeCell ref="D137:D138"/>
    <mergeCell ref="A139:A140"/>
    <mergeCell ref="B139:B140"/>
    <mergeCell ref="C139:C140"/>
    <mergeCell ref="D139:D140"/>
    <mergeCell ref="D143:D144"/>
    <mergeCell ref="R147:R148"/>
    <mergeCell ref="S147:S148"/>
    <mergeCell ref="T147:T148"/>
    <mergeCell ref="U147:U148"/>
    <mergeCell ref="A147:A148"/>
    <mergeCell ref="B147:B148"/>
    <mergeCell ref="C147:C148"/>
    <mergeCell ref="D147:D148"/>
    <mergeCell ref="A149:A150"/>
    <mergeCell ref="B149:B150"/>
    <mergeCell ref="C149:C150"/>
    <mergeCell ref="D149:D150"/>
    <mergeCell ref="J149:P149"/>
    <mergeCell ref="R149:R150"/>
    <mergeCell ref="S149:S150"/>
    <mergeCell ref="T149:T150"/>
    <mergeCell ref="U149:U150"/>
    <mergeCell ref="B135:B136"/>
    <mergeCell ref="D145:D146"/>
    <mergeCell ref="R139:R140"/>
    <mergeCell ref="S139:S140"/>
    <mergeCell ref="T139:T140"/>
    <mergeCell ref="U139:U140"/>
    <mergeCell ref="R141:R142"/>
    <mergeCell ref="S141:S142"/>
    <mergeCell ref="T141:T142"/>
    <mergeCell ref="U141:U142"/>
    <mergeCell ref="R143:R144"/>
    <mergeCell ref="S143:S144"/>
    <mergeCell ref="T143:T144"/>
    <mergeCell ref="U143:U144"/>
    <mergeCell ref="T135:T136"/>
    <mergeCell ref="U135:U136"/>
    <mergeCell ref="R137:R138"/>
    <mergeCell ref="S137:S138"/>
    <mergeCell ref="T137:T138"/>
    <mergeCell ref="U137:U138"/>
  </mergeCells>
  <phoneticPr fontId="1" type="noConversion"/>
  <hyperlinks>
    <hyperlink ref="F36" r:id="rId1" xr:uid="{5E1B31D8-ECB8-4DC9-8173-6F698E17C53D}"/>
    <hyperlink ref="F2" r:id="rId2" xr:uid="{EC7572D8-F6BD-4F6B-BD19-913942E18A22}"/>
    <hyperlink ref="F6" r:id="rId3" display="호텔보스" xr:uid="{4F270F86-833C-4074-9F3D-6AAA0AE83EE5}"/>
    <hyperlink ref="F9" r:id="rId4" xr:uid="{2AE8E7A2-9C18-42CF-A4EF-1A0933244412}"/>
    <hyperlink ref="F12" r:id="rId5" xr:uid="{DD1E7039-770D-424D-84C5-97B62AE9DAE8}"/>
    <hyperlink ref="F14" r:id="rId6" xr:uid="{05F03EB2-0D8C-4228-8674-7F995B1A7016}"/>
    <hyperlink ref="F16" r:id="rId7" xr:uid="{887BF902-D24F-4ADD-8A5F-494C60613638}"/>
    <hyperlink ref="F20" r:id="rId8" xr:uid="{849BB732-1077-49BD-B115-D9D5AEBA2184}"/>
    <hyperlink ref="F50" r:id="rId9" xr:uid="{8040C61F-BF6B-4734-92F9-FD2338504964}"/>
    <hyperlink ref="F25" r:id="rId10" xr:uid="{B19BB633-4C0C-4481-B624-2EBFECF6B068}"/>
    <hyperlink ref="F41" r:id="rId11" xr:uid="{C1694741-4523-4392-B31D-A76A3A2C2EB6}"/>
    <hyperlink ref="F47" r:id="rId12" display="머큐어 스티븐" xr:uid="{9A2A7D8D-C0AB-4897-94F5-DC549AD4A7DB}"/>
    <hyperlink ref="F27" r:id="rId13" xr:uid="{56822236-9F15-4703-85BE-55F32B783EF5}"/>
    <hyperlink ref="F28" r:id="rId14" display="페이버 파크" xr:uid="{78B720EC-916A-4D0E-88A7-1C6CB5562BBB}"/>
    <hyperlink ref="F62" r:id="rId15" display="콩코드 호텔 싱가포르" xr:uid="{39C4778F-8F56-4FEA-9BFB-23747A6FB566}"/>
    <hyperlink ref="F117" r:id="rId16" display="프라마 리버프론트" xr:uid="{00FBCC94-3175-4555-9FE6-6661D90347BA}"/>
    <hyperlink ref="F65" r:id="rId17" display="오아시나 노베나" xr:uid="{547BDC29-4C91-48E6-A9EA-093EA7E4FD14}"/>
    <hyperlink ref="F66" r:id="rId18" display="오아시나 노베나" xr:uid="{1188EB97-38E8-4448-B2B0-31AB753C50D9}"/>
    <hyperlink ref="F54" r:id="rId19" xr:uid="{2BE23FED-F0CD-4714-AD94-9B310B9AD4CD}"/>
    <hyperlink ref="F119" r:id="rId20" xr:uid="{16DF3101-619E-4DBD-B526-A77514FBAFAF}"/>
    <hyperlink ref="F73" r:id="rId21" xr:uid="{9B0AE9F2-5D87-4CEF-A5BB-0263FA40A314}"/>
    <hyperlink ref="F69" r:id="rId22" xr:uid="{D05AF0C6-3662-4518-B299-5EBD2FF5DF19}"/>
    <hyperlink ref="F123" r:id="rId23" xr:uid="{2D25C1ED-632A-40CA-9FC9-42D95988806E}"/>
    <hyperlink ref="F104" r:id="rId24" xr:uid="{B688EAA6-BD33-40F8-AB39-FC9E80E444BB}"/>
    <hyperlink ref="F125" r:id="rId25" xr:uid="{8FC09A9B-5F99-4721-B080-983BDB441A34}"/>
    <hyperlink ref="F84" r:id="rId26" xr:uid="{9A840D05-3C32-459C-B404-C49DD9FDB424}"/>
    <hyperlink ref="F80" r:id="rId27" xr:uid="{3032385A-87A3-418E-8A3C-1FC9F12A4EC6}"/>
    <hyperlink ref="F88" r:id="rId28" xr:uid="{6179C9B0-46CB-44AD-8B57-6395E21D4A4C}"/>
    <hyperlink ref="F90" r:id="rId29" xr:uid="{C59AD8D0-454D-44F3-A035-78F7B338ED58}"/>
    <hyperlink ref="F94" r:id="rId30" xr:uid="{8897E463-9745-4BFC-8C69-454739374935}"/>
    <hyperlink ref="F108" r:id="rId31" xr:uid="{18DDC780-7234-4D7E-8088-53DFE763EA49}"/>
    <hyperlink ref="F110" r:id="rId32" xr:uid="{D1E5767D-8C09-41C3-95C3-4A8313E4FB2C}"/>
    <hyperlink ref="F112" r:id="rId33" xr:uid="{87E113C2-87B5-4935-AA07-964C80076472}"/>
    <hyperlink ref="F121" r:id="rId34" xr:uid="{EE089639-5EB8-412B-B170-CD8C0B935B7C}"/>
    <hyperlink ref="F51" r:id="rId35" display="엠소셜" xr:uid="{88FE6C3E-EBC1-47DC-AA68-FA3A46E786C2}"/>
    <hyperlink ref="F102" r:id="rId36" xr:uid="{33128505-1626-4C1F-97B0-C761BC2AD4D2}"/>
    <hyperlink ref="F44" r:id="rId37" display="모멘투스 호텔 알렉산드라" xr:uid="{8BFF6DC5-59C8-4791-AE25-93EBA66E518D}"/>
    <hyperlink ref="F39" r:id="rId38" xr:uid="{FECA5965-8CE2-41F8-87A3-3AA04F6F3A4C}"/>
    <hyperlink ref="F67" r:id="rId39" xr:uid="{158A99A9-8FBB-4D93-9A96-3AD0EDFCA727}"/>
    <hyperlink ref="F7" r:id="rId40" display="호텔보스" xr:uid="{ACE2EE1C-D8A9-4584-9556-F6154A8D9C77}"/>
    <hyperlink ref="F18" r:id="rId41" display="홀리데이인  익스프레스 카통" xr:uid="{B7702590-A92D-404B-84A9-7E91CF42B704}"/>
    <hyperlink ref="F64" r:id="rId42" display="오아시나 노베나" xr:uid="{A3473464-7B6E-447D-B1D8-25661033000F}"/>
    <hyperlink ref="F32" r:id="rId43" xr:uid="{3B385CD7-7E51-4F38-82D0-6F1E25501047}"/>
    <hyperlink ref="F75" r:id="rId44" xr:uid="{504176CC-290E-48FA-9EC5-B880DA00EA4E}"/>
    <hyperlink ref="F59" r:id="rId45" xr:uid="{1B36FCAC-4EE8-4465-A7B5-9B724008E767}"/>
    <hyperlink ref="F56" r:id="rId46" display="머큐어 부기스 ( ~ 6월)" xr:uid="{E68CA685-226E-4671-9F15-97F09FBCE016}"/>
    <hyperlink ref="F127" r:id="rId47" xr:uid="{0D3DF660-DC6B-4E53-8B01-C23B800CF731}"/>
    <hyperlink ref="F52" r:id="rId48" display="엠소셜" xr:uid="{DFCBA891-DFC4-4103-A923-0E9E7A6AF830}"/>
    <hyperlink ref="F78" r:id="rId49" xr:uid="{0C762B29-549E-4C05-8E01-C4359041090C}"/>
  </hyperlinks>
  <pageMargins left="0.7" right="0.7" top="0.75" bottom="0.75" header="0.3" footer="0.3"/>
  <pageSetup paperSize="9" orientation="portrait" r:id="rId5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4586B-A229-AB47-B844-8E444BF0D60E}">
  <dimension ref="A1:V112"/>
  <sheetViews>
    <sheetView tabSelected="1" zoomScale="136" zoomScaleNormal="90" zoomScaleSheetLayoutView="90" workbookViewId="0">
      <pane ySplit="1" topLeftCell="A2" activePane="bottomLeft" state="frozen"/>
      <selection pane="bottomLeft" activeCell="H42" sqref="H42:N42"/>
    </sheetView>
  </sheetViews>
  <sheetFormatPr baseColWidth="10" defaultColWidth="9" defaultRowHeight="15"/>
  <cols>
    <col min="1" max="1" width="27.1640625" style="352" customWidth="1"/>
    <col min="2" max="2" width="28.6640625" style="352" customWidth="1"/>
    <col min="3" max="3" width="8.33203125" style="288" bestFit="1" customWidth="1"/>
    <col min="4" max="4" width="25.83203125" style="352" customWidth="1"/>
    <col min="5" max="5" width="5.6640625" style="35" customWidth="1"/>
    <col min="6" max="6" width="13" style="35" customWidth="1"/>
    <col min="7" max="7" width="17.5" style="35" customWidth="1"/>
    <col min="8" max="8" width="4.1640625" style="1252" bestFit="1" customWidth="1"/>
    <col min="9" max="14" width="4.5" style="35" bestFit="1" customWidth="1"/>
    <col min="15" max="15" width="8" style="35" bestFit="1" customWidth="1"/>
    <col min="16" max="16" width="7.1640625" style="240" bestFit="1" customWidth="1"/>
    <col min="17" max="17" width="7.1640625" style="241" bestFit="1" customWidth="1"/>
    <col min="18" max="18" width="9.33203125" style="240" customWidth="1"/>
    <col min="19" max="19" width="10.5" style="241" customWidth="1"/>
    <col min="20" max="20" width="9.33203125" style="241" customWidth="1"/>
    <col min="21" max="21" width="11.33203125" style="352" bestFit="1" customWidth="1"/>
    <col min="22" max="22" width="18.6640625" style="1365" customWidth="1"/>
    <col min="23" max="16384" width="9" style="352"/>
  </cols>
  <sheetData>
    <row r="1" spans="1:22" s="1381" customFormat="1" ht="19.5" customHeight="1" thickBot="1">
      <c r="A1" s="1369" t="s">
        <v>1</v>
      </c>
      <c r="B1" s="1369" t="s">
        <v>0</v>
      </c>
      <c r="C1" s="1370" t="s">
        <v>1154</v>
      </c>
      <c r="D1" s="1369" t="s">
        <v>390</v>
      </c>
      <c r="E1" s="1371" t="s">
        <v>3</v>
      </c>
      <c r="F1" s="1371" t="s">
        <v>1368</v>
      </c>
      <c r="G1" s="1371" t="s">
        <v>1369</v>
      </c>
      <c r="H1" s="1372" t="s">
        <v>4</v>
      </c>
      <c r="I1" s="1373" t="s">
        <v>5</v>
      </c>
      <c r="J1" s="1373" t="s">
        <v>6</v>
      </c>
      <c r="K1" s="1373" t="s">
        <v>7</v>
      </c>
      <c r="L1" s="1373" t="s">
        <v>8</v>
      </c>
      <c r="M1" s="1374" t="s">
        <v>9</v>
      </c>
      <c r="N1" s="1374" t="s">
        <v>10</v>
      </c>
      <c r="O1" s="1375" t="s">
        <v>428</v>
      </c>
      <c r="P1" s="1376" t="s">
        <v>748</v>
      </c>
      <c r="Q1" s="1377" t="s">
        <v>749</v>
      </c>
      <c r="R1" s="1378" t="s">
        <v>258</v>
      </c>
      <c r="S1" s="1379" t="s">
        <v>1371</v>
      </c>
      <c r="T1" s="1379" t="s">
        <v>425</v>
      </c>
      <c r="U1" s="1369" t="s">
        <v>2</v>
      </c>
      <c r="V1" s="1380" t="s">
        <v>725</v>
      </c>
    </row>
    <row r="2" spans="1:22" ht="16.5" customHeight="1">
      <c r="A2" s="1278" t="s">
        <v>383</v>
      </c>
      <c r="B2" s="1279" t="s">
        <v>710</v>
      </c>
      <c r="C2" s="742" t="s">
        <v>443</v>
      </c>
      <c r="D2" s="1279" t="s">
        <v>514</v>
      </c>
      <c r="E2" s="37" t="s">
        <v>11</v>
      </c>
      <c r="F2" s="1271">
        <v>45658</v>
      </c>
      <c r="G2" s="1271">
        <v>45838</v>
      </c>
      <c r="H2" s="1257">
        <v>155</v>
      </c>
      <c r="I2" s="783"/>
      <c r="J2" s="783"/>
      <c r="K2" s="783"/>
      <c r="L2" s="783"/>
      <c r="M2" s="783"/>
      <c r="N2" s="783"/>
      <c r="O2" s="40" t="s">
        <v>362</v>
      </c>
      <c r="P2" s="796">
        <v>24.95</v>
      </c>
      <c r="Q2" s="799">
        <v>10</v>
      </c>
      <c r="R2" s="715">
        <v>241</v>
      </c>
      <c r="S2" s="717">
        <v>74</v>
      </c>
      <c r="T2" s="142"/>
      <c r="U2" s="1280" t="s">
        <v>384</v>
      </c>
      <c r="V2" s="1282" t="s">
        <v>721</v>
      </c>
    </row>
    <row r="3" spans="1:22" ht="16.5" customHeight="1">
      <c r="A3" s="1283" t="s">
        <v>383</v>
      </c>
      <c r="B3" s="1284" t="s">
        <v>710</v>
      </c>
      <c r="C3" s="743"/>
      <c r="D3" s="1284" t="s">
        <v>436</v>
      </c>
      <c r="E3" s="226" t="s">
        <v>11</v>
      </c>
      <c r="F3" s="1272">
        <v>45658</v>
      </c>
      <c r="G3" s="1272">
        <v>45838</v>
      </c>
      <c r="H3" s="1258">
        <v>145</v>
      </c>
      <c r="I3" s="1259"/>
      <c r="J3" s="1259"/>
      <c r="K3" s="1259"/>
      <c r="L3" s="1259"/>
      <c r="M3" s="1259"/>
      <c r="N3" s="1259"/>
      <c r="O3" s="222" t="s">
        <v>435</v>
      </c>
      <c r="P3" s="797"/>
      <c r="Q3" s="800"/>
      <c r="R3" s="737"/>
      <c r="S3" s="738"/>
      <c r="T3" s="695"/>
      <c r="U3" s="1285"/>
      <c r="V3" s="1287"/>
    </row>
    <row r="4" spans="1:22" ht="16.5" customHeight="1" thickBot="1">
      <c r="A4" s="1288" t="s">
        <v>383</v>
      </c>
      <c r="B4" s="1368" t="s">
        <v>711</v>
      </c>
      <c r="C4" s="743"/>
      <c r="D4" s="1289" t="s">
        <v>385</v>
      </c>
      <c r="E4" s="366" t="s">
        <v>11</v>
      </c>
      <c r="F4" s="1273">
        <v>45839</v>
      </c>
      <c r="G4" s="1273">
        <v>45900</v>
      </c>
      <c r="H4" s="1260">
        <v>175</v>
      </c>
      <c r="I4" s="1261"/>
      <c r="J4" s="1261"/>
      <c r="K4" s="1261"/>
      <c r="L4" s="1261"/>
      <c r="M4" s="1261"/>
      <c r="N4" s="1261"/>
      <c r="O4" s="365" t="s">
        <v>435</v>
      </c>
      <c r="P4" s="797"/>
      <c r="Q4" s="800"/>
      <c r="R4" s="737"/>
      <c r="S4" s="738"/>
      <c r="T4" s="695"/>
      <c r="U4" s="1285"/>
      <c r="V4" s="1287"/>
    </row>
    <row r="5" spans="1:22" ht="16.5" customHeight="1">
      <c r="A5" s="1366" t="s">
        <v>383</v>
      </c>
      <c r="B5" s="1367" t="s">
        <v>710</v>
      </c>
      <c r="C5" s="743"/>
      <c r="D5" s="1279" t="s">
        <v>514</v>
      </c>
      <c r="E5" s="37" t="s">
        <v>11</v>
      </c>
      <c r="F5" s="1271">
        <v>45901</v>
      </c>
      <c r="G5" s="1271">
        <v>46022</v>
      </c>
      <c r="H5" s="1257">
        <v>155</v>
      </c>
      <c r="I5" s="783"/>
      <c r="J5" s="783"/>
      <c r="K5" s="783"/>
      <c r="L5" s="783"/>
      <c r="M5" s="783"/>
      <c r="N5" s="783"/>
      <c r="O5" s="40" t="s">
        <v>362</v>
      </c>
      <c r="P5" s="797"/>
      <c r="Q5" s="800"/>
      <c r="R5" s="737"/>
      <c r="S5" s="738"/>
      <c r="T5" s="695"/>
      <c r="U5" s="1285"/>
      <c r="V5" s="1287"/>
    </row>
    <row r="6" spans="1:22" ht="16.5" customHeight="1">
      <c r="A6" s="1283" t="s">
        <v>383</v>
      </c>
      <c r="B6" s="1284" t="s">
        <v>710</v>
      </c>
      <c r="C6" s="743"/>
      <c r="D6" s="1284" t="s">
        <v>436</v>
      </c>
      <c r="E6" s="226" t="s">
        <v>11</v>
      </c>
      <c r="F6" s="1272">
        <v>45901</v>
      </c>
      <c r="G6" s="1272">
        <v>46022</v>
      </c>
      <c r="H6" s="1258">
        <v>145</v>
      </c>
      <c r="I6" s="1259"/>
      <c r="J6" s="1259"/>
      <c r="K6" s="1259"/>
      <c r="L6" s="1259"/>
      <c r="M6" s="1259"/>
      <c r="N6" s="1259"/>
      <c r="O6" s="222" t="s">
        <v>435</v>
      </c>
      <c r="P6" s="797"/>
      <c r="Q6" s="800"/>
      <c r="R6" s="737"/>
      <c r="S6" s="738"/>
      <c r="T6" s="695"/>
      <c r="U6" s="1285"/>
      <c r="V6" s="1287"/>
    </row>
    <row r="7" spans="1:22" ht="17.25" customHeight="1" thickBot="1">
      <c r="A7" s="1290" t="s">
        <v>383</v>
      </c>
      <c r="B7" s="1290" t="s">
        <v>710</v>
      </c>
      <c r="C7" s="744"/>
      <c r="D7" s="1290" t="s">
        <v>673</v>
      </c>
      <c r="E7" s="39" t="s">
        <v>11</v>
      </c>
      <c r="F7" s="1274">
        <v>45658</v>
      </c>
      <c r="G7" s="1274">
        <v>46022</v>
      </c>
      <c r="H7" s="1262">
        <v>215</v>
      </c>
      <c r="I7" s="789"/>
      <c r="J7" s="789"/>
      <c r="K7" s="789"/>
      <c r="L7" s="789"/>
      <c r="M7" s="789"/>
      <c r="N7" s="789"/>
      <c r="O7" s="41" t="s">
        <v>362</v>
      </c>
      <c r="P7" s="798"/>
      <c r="Q7" s="801"/>
      <c r="R7" s="716"/>
      <c r="S7" s="718"/>
      <c r="T7" s="696"/>
      <c r="U7" s="1291"/>
      <c r="V7" s="1293"/>
    </row>
    <row r="8" spans="1:22" ht="16.5" customHeight="1">
      <c r="A8" s="1294" t="s">
        <v>477</v>
      </c>
      <c r="B8" s="1281" t="s">
        <v>234</v>
      </c>
      <c r="C8" s="711" t="s">
        <v>444</v>
      </c>
      <c r="D8" s="1281" t="s">
        <v>529</v>
      </c>
      <c r="E8" s="698" t="s">
        <v>11</v>
      </c>
      <c r="F8" s="1275">
        <v>45658</v>
      </c>
      <c r="G8" s="1275">
        <v>46022</v>
      </c>
      <c r="H8" s="1263">
        <v>173</v>
      </c>
      <c r="I8" s="722"/>
      <c r="J8" s="722"/>
      <c r="K8" s="722"/>
      <c r="L8" s="722"/>
      <c r="M8" s="722"/>
      <c r="N8" s="722"/>
      <c r="O8" s="726">
        <v>93</v>
      </c>
      <c r="P8" s="721">
        <v>13</v>
      </c>
      <c r="Q8" s="726">
        <v>13</v>
      </c>
      <c r="R8" s="795">
        <v>1500</v>
      </c>
      <c r="S8" s="717">
        <v>428</v>
      </c>
      <c r="T8" s="142"/>
      <c r="U8" s="1297" t="s">
        <v>396</v>
      </c>
      <c r="V8" s="1298" t="s">
        <v>750</v>
      </c>
    </row>
    <row r="9" spans="1:22" ht="16.5" customHeight="1">
      <c r="A9" s="1299" t="s">
        <v>477</v>
      </c>
      <c r="B9" s="1300" t="s">
        <v>234</v>
      </c>
      <c r="C9" s="732"/>
      <c r="D9" s="1300" t="s">
        <v>742</v>
      </c>
      <c r="E9" s="1247" t="s">
        <v>11</v>
      </c>
      <c r="F9" s="1276">
        <v>45658</v>
      </c>
      <c r="G9" s="1276">
        <v>46022</v>
      </c>
      <c r="H9" s="1264">
        <v>185</v>
      </c>
      <c r="I9" s="1265"/>
      <c r="J9" s="1265"/>
      <c r="K9" s="1265"/>
      <c r="L9" s="1265"/>
      <c r="M9" s="1265"/>
      <c r="N9" s="1265"/>
      <c r="O9" s="727"/>
      <c r="P9" s="724"/>
      <c r="Q9" s="727"/>
      <c r="R9" s="780"/>
      <c r="S9" s="738"/>
      <c r="T9" s="695"/>
      <c r="U9" s="1302"/>
      <c r="V9" s="1303"/>
    </row>
    <row r="10" spans="1:22" ht="16.5" customHeight="1" thickBot="1">
      <c r="A10" s="1292" t="s">
        <v>477</v>
      </c>
      <c r="B10" s="1292" t="s">
        <v>234</v>
      </c>
      <c r="C10" s="712"/>
      <c r="D10" s="1292" t="s">
        <v>530</v>
      </c>
      <c r="E10" s="369" t="s">
        <v>11</v>
      </c>
      <c r="F10" s="1277">
        <v>45658</v>
      </c>
      <c r="G10" s="1277">
        <v>46022</v>
      </c>
      <c r="H10" s="1266">
        <v>189</v>
      </c>
      <c r="I10" s="723"/>
      <c r="J10" s="723"/>
      <c r="K10" s="723"/>
      <c r="L10" s="723"/>
      <c r="M10" s="723"/>
      <c r="N10" s="723"/>
      <c r="O10" s="728"/>
      <c r="P10" s="725"/>
      <c r="Q10" s="728"/>
      <c r="R10" s="790"/>
      <c r="S10" s="718"/>
      <c r="T10" s="696"/>
      <c r="U10" s="1306"/>
      <c r="V10" s="1307"/>
    </row>
    <row r="11" spans="1:22" ht="16.5" customHeight="1">
      <c r="A11" s="1308" t="s">
        <v>395</v>
      </c>
      <c r="B11" s="352" t="s">
        <v>343</v>
      </c>
      <c r="C11" s="711" t="s">
        <v>445</v>
      </c>
      <c r="D11" s="352" t="s">
        <v>529</v>
      </c>
      <c r="E11" s="380" t="s">
        <v>11</v>
      </c>
      <c r="F11" s="1275">
        <v>45658</v>
      </c>
      <c r="G11" s="1275">
        <v>46022</v>
      </c>
      <c r="H11" s="1267">
        <v>173</v>
      </c>
      <c r="I11" s="1268"/>
      <c r="J11" s="1268"/>
      <c r="K11" s="1268"/>
      <c r="L11" s="1268"/>
      <c r="M11" s="1268"/>
      <c r="N11" s="1268"/>
      <c r="O11" s="727">
        <v>93</v>
      </c>
      <c r="P11" s="721">
        <v>13</v>
      </c>
      <c r="Q11" s="726">
        <v>13</v>
      </c>
      <c r="R11" s="780">
        <v>888</v>
      </c>
      <c r="S11" s="738">
        <v>261</v>
      </c>
      <c r="T11" s="695"/>
      <c r="U11" s="1297" t="s">
        <v>396</v>
      </c>
      <c r="V11" s="1309" t="s">
        <v>724</v>
      </c>
    </row>
    <row r="12" spans="1:22" ht="16.5" customHeight="1">
      <c r="A12" s="1299" t="s">
        <v>727</v>
      </c>
      <c r="B12" s="1300" t="s">
        <v>726</v>
      </c>
      <c r="C12" s="732"/>
      <c r="D12" s="1300" t="s">
        <v>742</v>
      </c>
      <c r="E12" s="403" t="s">
        <v>11</v>
      </c>
      <c r="F12" s="1276">
        <v>45658</v>
      </c>
      <c r="G12" s="1276">
        <v>46022</v>
      </c>
      <c r="H12" s="1264">
        <v>185</v>
      </c>
      <c r="I12" s="1265"/>
      <c r="J12" s="1265"/>
      <c r="K12" s="1265"/>
      <c r="L12" s="1265"/>
      <c r="M12" s="1265"/>
      <c r="N12" s="1265"/>
      <c r="O12" s="727"/>
      <c r="P12" s="724"/>
      <c r="Q12" s="727"/>
      <c r="R12" s="780"/>
      <c r="S12" s="738"/>
      <c r="T12" s="695"/>
      <c r="U12" s="1302"/>
      <c r="V12" s="1310"/>
    </row>
    <row r="13" spans="1:22" ht="16.5" customHeight="1" thickBot="1">
      <c r="A13" s="1292" t="s">
        <v>395</v>
      </c>
      <c r="B13" s="1292" t="s">
        <v>343</v>
      </c>
      <c r="C13" s="712"/>
      <c r="D13" s="1292" t="s">
        <v>531</v>
      </c>
      <c r="E13" s="369" t="s">
        <v>11</v>
      </c>
      <c r="F13" s="1277">
        <v>45658</v>
      </c>
      <c r="G13" s="1277">
        <v>46022</v>
      </c>
      <c r="H13" s="1266">
        <v>189</v>
      </c>
      <c r="I13" s="723"/>
      <c r="J13" s="723"/>
      <c r="K13" s="723"/>
      <c r="L13" s="723"/>
      <c r="M13" s="723"/>
      <c r="N13" s="723"/>
      <c r="O13" s="728"/>
      <c r="P13" s="725"/>
      <c r="Q13" s="728"/>
      <c r="R13" s="790"/>
      <c r="S13" s="718"/>
      <c r="T13" s="696"/>
      <c r="U13" s="1306"/>
      <c r="V13" s="1311"/>
    </row>
    <row r="14" spans="1:22" ht="16.5" customHeight="1">
      <c r="A14" s="1294" t="s">
        <v>397</v>
      </c>
      <c r="B14" s="1281" t="s">
        <v>344</v>
      </c>
      <c r="C14" s="711" t="s">
        <v>444</v>
      </c>
      <c r="D14" s="1281" t="s">
        <v>529</v>
      </c>
      <c r="E14" s="37" t="s">
        <v>11</v>
      </c>
      <c r="F14" s="1382">
        <v>45658</v>
      </c>
      <c r="G14" s="1382">
        <v>46022</v>
      </c>
      <c r="H14" s="1263">
        <v>169</v>
      </c>
      <c r="I14" s="722"/>
      <c r="J14" s="722"/>
      <c r="K14" s="722"/>
      <c r="L14" s="722"/>
      <c r="M14" s="722"/>
      <c r="N14" s="722"/>
      <c r="O14" s="40" t="s">
        <v>362</v>
      </c>
      <c r="P14" s="721">
        <v>13</v>
      </c>
      <c r="Q14" s="726">
        <v>13</v>
      </c>
      <c r="R14" s="715">
        <v>272</v>
      </c>
      <c r="S14" s="717"/>
      <c r="T14" s="142"/>
      <c r="U14" s="1297" t="s">
        <v>398</v>
      </c>
      <c r="V14" s="1312" t="s">
        <v>735</v>
      </c>
    </row>
    <row r="15" spans="1:22" ht="17.25" customHeight="1" thickBot="1">
      <c r="A15" s="1292" t="s">
        <v>397</v>
      </c>
      <c r="B15" s="1292" t="s">
        <v>344</v>
      </c>
      <c r="C15" s="712"/>
      <c r="D15" s="1292" t="s">
        <v>531</v>
      </c>
      <c r="E15" s="39" t="s">
        <v>11</v>
      </c>
      <c r="F15" s="1383">
        <v>45658</v>
      </c>
      <c r="G15" s="1383">
        <v>46022</v>
      </c>
      <c r="H15" s="1266">
        <v>189</v>
      </c>
      <c r="I15" s="723"/>
      <c r="J15" s="723"/>
      <c r="K15" s="723"/>
      <c r="L15" s="723"/>
      <c r="M15" s="723"/>
      <c r="N15" s="723"/>
      <c r="O15" s="41" t="s">
        <v>362</v>
      </c>
      <c r="P15" s="725"/>
      <c r="Q15" s="728"/>
      <c r="R15" s="716"/>
      <c r="S15" s="718"/>
      <c r="T15" s="696"/>
      <c r="U15" s="1306"/>
      <c r="V15" s="1313"/>
    </row>
    <row r="16" spans="1:22" ht="16.5" customHeight="1">
      <c r="A16" s="1294" t="s">
        <v>388</v>
      </c>
      <c r="B16" s="1281" t="s">
        <v>386</v>
      </c>
      <c r="C16" s="711" t="s">
        <v>444</v>
      </c>
      <c r="D16" s="1281" t="s">
        <v>529</v>
      </c>
      <c r="E16" s="37" t="s">
        <v>11</v>
      </c>
      <c r="F16" s="1382">
        <v>45658</v>
      </c>
      <c r="G16" s="1382">
        <v>46022</v>
      </c>
      <c r="H16" s="1263">
        <v>177</v>
      </c>
      <c r="I16" s="722"/>
      <c r="J16" s="722"/>
      <c r="K16" s="722"/>
      <c r="L16" s="722"/>
      <c r="M16" s="722"/>
      <c r="N16" s="722"/>
      <c r="O16" s="40" t="s">
        <v>362</v>
      </c>
      <c r="P16" s="721">
        <v>13</v>
      </c>
      <c r="Q16" s="726">
        <v>13</v>
      </c>
      <c r="R16" s="715">
        <v>342</v>
      </c>
      <c r="S16" s="717"/>
      <c r="T16" s="142"/>
      <c r="U16" s="1297" t="s">
        <v>398</v>
      </c>
      <c r="V16" s="1314" t="s">
        <v>1370</v>
      </c>
    </row>
    <row r="17" spans="1:22" ht="17.25" customHeight="1" thickBot="1">
      <c r="A17" s="1292" t="s">
        <v>388</v>
      </c>
      <c r="B17" s="1292" t="s">
        <v>386</v>
      </c>
      <c r="C17" s="712"/>
      <c r="D17" s="1292" t="s">
        <v>530</v>
      </c>
      <c r="E17" s="39" t="s">
        <v>11</v>
      </c>
      <c r="F17" s="1383">
        <v>45658</v>
      </c>
      <c r="G17" s="1383">
        <v>46022</v>
      </c>
      <c r="H17" s="1266">
        <v>197</v>
      </c>
      <c r="I17" s="723"/>
      <c r="J17" s="723"/>
      <c r="K17" s="723"/>
      <c r="L17" s="723"/>
      <c r="M17" s="723"/>
      <c r="N17" s="723"/>
      <c r="O17" s="41" t="s">
        <v>362</v>
      </c>
      <c r="P17" s="725"/>
      <c r="Q17" s="728"/>
      <c r="R17" s="716"/>
      <c r="S17" s="718"/>
      <c r="T17" s="696"/>
      <c r="U17" s="1306"/>
      <c r="V17" s="1315"/>
    </row>
    <row r="18" spans="1:22" ht="16">
      <c r="A18" s="1294" t="s">
        <v>399</v>
      </c>
      <c r="B18" s="1281" t="s">
        <v>387</v>
      </c>
      <c r="C18" s="711" t="s">
        <v>444</v>
      </c>
      <c r="D18" s="1281" t="s">
        <v>728</v>
      </c>
      <c r="E18" s="37" t="s">
        <v>11</v>
      </c>
      <c r="F18" s="1382">
        <v>45658</v>
      </c>
      <c r="G18" s="1382">
        <v>46022</v>
      </c>
      <c r="H18" s="1263">
        <v>177</v>
      </c>
      <c r="I18" s="722"/>
      <c r="J18" s="722"/>
      <c r="K18" s="722"/>
      <c r="L18" s="722"/>
      <c r="M18" s="722"/>
      <c r="N18" s="722"/>
      <c r="O18" s="40" t="s">
        <v>362</v>
      </c>
      <c r="P18" s="721">
        <v>13</v>
      </c>
      <c r="Q18" s="726">
        <v>13</v>
      </c>
      <c r="R18" s="795">
        <v>530</v>
      </c>
      <c r="S18" s="717"/>
      <c r="T18" s="142"/>
      <c r="U18" s="1297" t="s">
        <v>389</v>
      </c>
      <c r="V18" s="1316" t="s">
        <v>757</v>
      </c>
    </row>
    <row r="19" spans="1:22" ht="17.25" customHeight="1" thickBot="1">
      <c r="A19" s="1292" t="s">
        <v>399</v>
      </c>
      <c r="B19" s="1292" t="s">
        <v>387</v>
      </c>
      <c r="C19" s="712"/>
      <c r="D19" s="1292" t="s">
        <v>530</v>
      </c>
      <c r="E19" s="39" t="s">
        <v>11</v>
      </c>
      <c r="F19" s="1383">
        <v>45658</v>
      </c>
      <c r="G19" s="1383">
        <v>46022</v>
      </c>
      <c r="H19" s="1266">
        <v>197</v>
      </c>
      <c r="I19" s="723"/>
      <c r="J19" s="723"/>
      <c r="K19" s="723"/>
      <c r="L19" s="723"/>
      <c r="M19" s="723"/>
      <c r="N19" s="723"/>
      <c r="O19" s="41" t="s">
        <v>362</v>
      </c>
      <c r="P19" s="725"/>
      <c r="Q19" s="728"/>
      <c r="R19" s="790"/>
      <c r="S19" s="718"/>
      <c r="T19" s="696"/>
      <c r="U19" s="1306"/>
      <c r="V19" s="1317"/>
    </row>
    <row r="20" spans="1:22" ht="16">
      <c r="A20" s="1308" t="s">
        <v>716</v>
      </c>
      <c r="B20" s="352" t="s">
        <v>736</v>
      </c>
      <c r="C20" s="732" t="s">
        <v>444</v>
      </c>
      <c r="D20" s="352" t="s">
        <v>738</v>
      </c>
      <c r="E20" s="218" t="s">
        <v>11</v>
      </c>
      <c r="F20" s="1382">
        <v>45658</v>
      </c>
      <c r="G20" s="1382">
        <v>46022</v>
      </c>
      <c r="H20" s="1267">
        <v>200</v>
      </c>
      <c r="I20" s="1268"/>
      <c r="J20" s="1268"/>
      <c r="K20" s="1268"/>
      <c r="L20" s="1268"/>
      <c r="M20" s="1268"/>
      <c r="N20" s="1268"/>
      <c r="O20" s="35" t="s">
        <v>362</v>
      </c>
      <c r="P20" s="724"/>
      <c r="Q20" s="727"/>
      <c r="R20" s="780">
        <v>451</v>
      </c>
      <c r="S20" s="738"/>
      <c r="T20" s="695"/>
      <c r="U20" s="1297" t="s">
        <v>737</v>
      </c>
      <c r="V20" s="1318" t="s">
        <v>735</v>
      </c>
    </row>
    <row r="21" spans="1:22" ht="17.25" customHeight="1" thickBot="1">
      <c r="A21" s="1292" t="s">
        <v>716</v>
      </c>
      <c r="B21" s="1292" t="s">
        <v>736</v>
      </c>
      <c r="C21" s="712"/>
      <c r="D21" s="1292" t="s">
        <v>741</v>
      </c>
      <c r="E21" s="39" t="s">
        <v>11</v>
      </c>
      <c r="F21" s="1383">
        <v>45658</v>
      </c>
      <c r="G21" s="1383">
        <v>46022</v>
      </c>
      <c r="H21" s="1266">
        <v>180</v>
      </c>
      <c r="I21" s="723"/>
      <c r="J21" s="723"/>
      <c r="K21" s="723"/>
      <c r="L21" s="723"/>
      <c r="M21" s="723"/>
      <c r="N21" s="723"/>
      <c r="O21" s="41" t="s">
        <v>362</v>
      </c>
      <c r="P21" s="725"/>
      <c r="Q21" s="728"/>
      <c r="R21" s="790"/>
      <c r="S21" s="718"/>
      <c r="T21" s="696"/>
      <c r="U21" s="1306"/>
      <c r="V21" s="1318"/>
    </row>
    <row r="22" spans="1:22" ht="16">
      <c r="A22" s="1278" t="s">
        <v>413</v>
      </c>
      <c r="B22" s="1384" t="s">
        <v>459</v>
      </c>
      <c r="C22" s="1385" t="s">
        <v>446</v>
      </c>
      <c r="D22" s="1386" t="s">
        <v>516</v>
      </c>
      <c r="E22" s="1387" t="s">
        <v>192</v>
      </c>
      <c r="F22" s="1382">
        <v>45658</v>
      </c>
      <c r="G22" s="1382">
        <v>46022</v>
      </c>
      <c r="H22" s="1388">
        <v>310</v>
      </c>
      <c r="I22" s="1387">
        <v>310</v>
      </c>
      <c r="J22" s="1387">
        <v>310</v>
      </c>
      <c r="K22" s="1387">
        <v>310</v>
      </c>
      <c r="L22" s="1387">
        <v>280</v>
      </c>
      <c r="M22" s="1387">
        <v>280</v>
      </c>
      <c r="N22" s="1387">
        <v>280</v>
      </c>
      <c r="O22" s="1389">
        <v>110</v>
      </c>
      <c r="P22" s="1390">
        <v>30</v>
      </c>
      <c r="Q22" s="726">
        <v>15</v>
      </c>
      <c r="R22" s="713">
        <v>415</v>
      </c>
      <c r="S22" s="713">
        <v>120</v>
      </c>
      <c r="T22" s="338"/>
      <c r="U22" s="1296" t="s">
        <v>191</v>
      </c>
      <c r="V22" s="1319" t="s">
        <v>823</v>
      </c>
    </row>
    <row r="23" spans="1:22" ht="17.25" customHeight="1">
      <c r="A23" s="1391" t="s">
        <v>413</v>
      </c>
      <c r="B23" s="1392" t="s">
        <v>459</v>
      </c>
      <c r="C23" s="1393"/>
      <c r="D23" s="1391" t="s">
        <v>429</v>
      </c>
      <c r="E23" s="1394" t="s">
        <v>11</v>
      </c>
      <c r="F23" s="1382">
        <v>45658</v>
      </c>
      <c r="G23" s="1409">
        <v>46022</v>
      </c>
      <c r="H23" s="1395">
        <v>340</v>
      </c>
      <c r="I23" s="1396">
        <v>340</v>
      </c>
      <c r="J23" s="1396">
        <v>340</v>
      </c>
      <c r="K23" s="1396">
        <v>340</v>
      </c>
      <c r="L23" s="1396">
        <v>305</v>
      </c>
      <c r="M23" s="1396">
        <v>305</v>
      </c>
      <c r="N23" s="1396">
        <v>305</v>
      </c>
      <c r="O23" s="1397">
        <v>110</v>
      </c>
      <c r="P23" s="1398"/>
      <c r="Q23" s="727"/>
      <c r="R23" s="729"/>
      <c r="S23" s="729"/>
      <c r="T23" s="299"/>
      <c r="U23" s="1301"/>
      <c r="V23" s="1320"/>
    </row>
    <row r="24" spans="1:22" ht="16.5" customHeight="1">
      <c r="A24" s="1399" t="s">
        <v>605</v>
      </c>
      <c r="B24" s="1392" t="s">
        <v>607</v>
      </c>
      <c r="C24" s="1393"/>
      <c r="D24" s="1391" t="s">
        <v>606</v>
      </c>
      <c r="E24" s="1394" t="s">
        <v>11</v>
      </c>
      <c r="F24" s="1382">
        <v>45658</v>
      </c>
      <c r="G24" s="1382">
        <v>46022</v>
      </c>
      <c r="H24" s="1398">
        <v>210</v>
      </c>
      <c r="I24" s="1400"/>
      <c r="J24" s="1400"/>
      <c r="K24" s="1400"/>
      <c r="L24" s="1400"/>
      <c r="M24" s="1400"/>
      <c r="N24" s="1400"/>
      <c r="O24" s="1397">
        <v>110</v>
      </c>
      <c r="P24" s="1398"/>
      <c r="Q24" s="727"/>
      <c r="R24" s="729"/>
      <c r="S24" s="729"/>
      <c r="T24" s="299">
        <v>10</v>
      </c>
      <c r="U24" s="1301"/>
      <c r="V24" s="1322"/>
    </row>
    <row r="25" spans="1:22" ht="16.5" customHeight="1" thickBot="1">
      <c r="A25" s="1401" t="s">
        <v>605</v>
      </c>
      <c r="B25" s="1402" t="s">
        <v>607</v>
      </c>
      <c r="C25" s="1403"/>
      <c r="D25" s="1404" t="s">
        <v>429</v>
      </c>
      <c r="E25" s="1405" t="s">
        <v>11</v>
      </c>
      <c r="F25" s="1383">
        <v>45658</v>
      </c>
      <c r="G25" s="1383">
        <v>46022</v>
      </c>
      <c r="H25" s="1406">
        <v>240</v>
      </c>
      <c r="I25" s="1407"/>
      <c r="J25" s="1407"/>
      <c r="K25" s="1407"/>
      <c r="L25" s="1407"/>
      <c r="M25" s="1407"/>
      <c r="N25" s="1407"/>
      <c r="O25" s="1408">
        <v>110</v>
      </c>
      <c r="P25" s="1406"/>
      <c r="Q25" s="728"/>
      <c r="R25" s="714"/>
      <c r="S25" s="714"/>
      <c r="T25" s="339">
        <v>10</v>
      </c>
      <c r="U25" s="1305"/>
      <c r="V25" s="1323"/>
    </row>
    <row r="26" spans="1:22" ht="16.5" customHeight="1">
      <c r="A26" s="1324" t="s">
        <v>309</v>
      </c>
      <c r="B26" s="1281" t="s">
        <v>308</v>
      </c>
      <c r="C26" s="711" t="s">
        <v>445</v>
      </c>
      <c r="D26" s="1281" t="s">
        <v>310</v>
      </c>
      <c r="E26" s="37" t="s">
        <v>192</v>
      </c>
      <c r="F26" s="1382">
        <v>45658</v>
      </c>
      <c r="G26" s="1382">
        <v>46022</v>
      </c>
      <c r="H26" s="722">
        <v>255</v>
      </c>
      <c r="I26" s="722"/>
      <c r="J26" s="722"/>
      <c r="K26" s="722"/>
      <c r="L26" s="722"/>
      <c r="M26" s="722"/>
      <c r="N26" s="722"/>
      <c r="O26" s="40">
        <v>90</v>
      </c>
      <c r="P26" s="721"/>
      <c r="Q26" s="726"/>
      <c r="R26" s="715">
        <v>565</v>
      </c>
      <c r="S26" s="766">
        <v>110</v>
      </c>
      <c r="T26" s="318"/>
      <c r="U26" s="1297" t="s">
        <v>199</v>
      </c>
      <c r="V26" s="1319" t="s">
        <v>760</v>
      </c>
    </row>
    <row r="27" spans="1:22" ht="17.25" customHeight="1" thickBot="1">
      <c r="A27" s="352" t="s">
        <v>309</v>
      </c>
      <c r="B27" s="352" t="s">
        <v>308</v>
      </c>
      <c r="C27" s="732"/>
      <c r="D27" s="352" t="s">
        <v>311</v>
      </c>
      <c r="E27" s="218" t="s">
        <v>192</v>
      </c>
      <c r="F27" s="1383">
        <v>45658</v>
      </c>
      <c r="G27" s="1383">
        <v>46022</v>
      </c>
      <c r="H27" s="736">
        <v>275</v>
      </c>
      <c r="I27" s="736"/>
      <c r="J27" s="736"/>
      <c r="K27" s="736"/>
      <c r="L27" s="736"/>
      <c r="M27" s="736"/>
      <c r="N27" s="736"/>
      <c r="O27" s="35">
        <v>90</v>
      </c>
      <c r="P27" s="724"/>
      <c r="Q27" s="727"/>
      <c r="R27" s="737"/>
      <c r="S27" s="773"/>
      <c r="T27" s="108">
        <v>5</v>
      </c>
      <c r="U27" s="1302"/>
      <c r="V27" s="1322"/>
    </row>
    <row r="28" spans="1:22" ht="18" customHeight="1">
      <c r="A28" s="1325" t="s">
        <v>495</v>
      </c>
      <c r="B28" s="1281" t="s">
        <v>494</v>
      </c>
      <c r="C28" s="711" t="s">
        <v>445</v>
      </c>
      <c r="D28" s="1281" t="s">
        <v>671</v>
      </c>
      <c r="E28" s="40" t="s">
        <v>192</v>
      </c>
      <c r="F28" s="1382">
        <v>45658</v>
      </c>
      <c r="G28" s="1382">
        <v>46022</v>
      </c>
      <c r="H28" s="721">
        <v>275</v>
      </c>
      <c r="I28" s="722"/>
      <c r="J28" s="722"/>
      <c r="K28" s="722"/>
      <c r="L28" s="722"/>
      <c r="M28" s="722"/>
      <c r="N28" s="722"/>
      <c r="O28" s="40" t="s">
        <v>362</v>
      </c>
      <c r="P28" s="721"/>
      <c r="Q28" s="726"/>
      <c r="R28" s="721">
        <v>314</v>
      </c>
      <c r="S28" s="726"/>
      <c r="T28" s="238"/>
      <c r="U28" s="1297" t="s">
        <v>191</v>
      </c>
      <c r="V28" s="1326" t="s">
        <v>735</v>
      </c>
    </row>
    <row r="29" spans="1:22" ht="17.25" customHeight="1" thickBot="1">
      <c r="A29" s="1292" t="s">
        <v>495</v>
      </c>
      <c r="B29" s="1292" t="s">
        <v>494</v>
      </c>
      <c r="C29" s="712"/>
      <c r="D29" s="1292" t="s">
        <v>672</v>
      </c>
      <c r="E29" s="41" t="s">
        <v>192</v>
      </c>
      <c r="F29" s="1383">
        <v>45658</v>
      </c>
      <c r="G29" s="1383">
        <v>46022</v>
      </c>
      <c r="H29" s="725">
        <v>295</v>
      </c>
      <c r="I29" s="723"/>
      <c r="J29" s="723"/>
      <c r="K29" s="723"/>
      <c r="L29" s="723"/>
      <c r="M29" s="723"/>
      <c r="N29" s="723"/>
      <c r="O29" s="41" t="s">
        <v>362</v>
      </c>
      <c r="P29" s="725"/>
      <c r="Q29" s="728"/>
      <c r="R29" s="725"/>
      <c r="S29" s="728"/>
      <c r="T29" s="243"/>
      <c r="U29" s="1306"/>
      <c r="V29" s="1327"/>
    </row>
    <row r="30" spans="1:22" ht="5.25" customHeight="1" thickBot="1">
      <c r="A30" s="1328"/>
      <c r="B30" s="1329"/>
      <c r="C30" s="413"/>
      <c r="D30" s="1329"/>
      <c r="E30" s="416"/>
      <c r="F30" s="416"/>
      <c r="G30" s="416"/>
      <c r="H30" s="1250"/>
      <c r="I30" s="416"/>
      <c r="J30" s="416"/>
      <c r="K30" s="416"/>
      <c r="L30" s="416"/>
      <c r="M30" s="416"/>
      <c r="N30" s="416"/>
      <c r="O30" s="416"/>
      <c r="P30" s="412"/>
      <c r="Q30" s="419"/>
      <c r="R30" s="412"/>
      <c r="S30" s="419"/>
      <c r="T30" s="419"/>
      <c r="U30" s="1330"/>
      <c r="V30" s="1331"/>
    </row>
    <row r="31" spans="1:22" ht="16.5" customHeight="1">
      <c r="A31" s="1332" t="s">
        <v>877</v>
      </c>
      <c r="B31" s="1333" t="s">
        <v>818</v>
      </c>
      <c r="C31" s="822" t="s">
        <v>421</v>
      </c>
      <c r="D31" s="1334" t="s">
        <v>516</v>
      </c>
      <c r="E31" s="1248" t="s">
        <v>11</v>
      </c>
      <c r="F31" s="1269"/>
      <c r="G31" s="1269"/>
      <c r="H31" s="828">
        <v>210</v>
      </c>
      <c r="I31" s="829"/>
      <c r="J31" s="829"/>
      <c r="K31" s="829"/>
      <c r="L31" s="829"/>
      <c r="M31" s="829"/>
      <c r="N31" s="829"/>
      <c r="O31" s="448">
        <v>100</v>
      </c>
      <c r="P31" s="806">
        <v>36</v>
      </c>
      <c r="Q31" s="766">
        <v>18</v>
      </c>
      <c r="R31" s="830">
        <v>387</v>
      </c>
      <c r="S31" s="717">
        <v>100</v>
      </c>
      <c r="T31" s="142"/>
      <c r="U31" s="1335" t="s">
        <v>191</v>
      </c>
      <c r="V31" s="1336" t="s">
        <v>820</v>
      </c>
    </row>
    <row r="32" spans="1:22" ht="17.25" customHeight="1" thickBot="1">
      <c r="A32" s="1337" t="s">
        <v>819</v>
      </c>
      <c r="B32" s="1338" t="s">
        <v>818</v>
      </c>
      <c r="C32" s="823"/>
      <c r="D32" s="1337" t="s">
        <v>516</v>
      </c>
      <c r="E32" s="1249" t="s">
        <v>11</v>
      </c>
      <c r="F32" s="1270"/>
      <c r="G32" s="1270"/>
      <c r="H32" s="832" t="s">
        <v>821</v>
      </c>
      <c r="I32" s="833"/>
      <c r="J32" s="833"/>
      <c r="K32" s="833"/>
      <c r="L32" s="833"/>
      <c r="M32" s="833"/>
      <c r="N32" s="833"/>
      <c r="O32" s="452">
        <v>120</v>
      </c>
      <c r="P32" s="808"/>
      <c r="Q32" s="767"/>
      <c r="R32" s="831"/>
      <c r="S32" s="718"/>
      <c r="T32" s="696"/>
      <c r="U32" s="1339"/>
      <c r="V32" s="1340"/>
    </row>
    <row r="33" spans="1:22">
      <c r="A33" s="1324" t="s">
        <v>198</v>
      </c>
      <c r="B33" s="1281" t="s">
        <v>197</v>
      </c>
      <c r="C33" s="711" t="s">
        <v>422</v>
      </c>
      <c r="D33" s="1281" t="s">
        <v>419</v>
      </c>
      <c r="E33" s="40" t="s">
        <v>192</v>
      </c>
      <c r="F33" s="40"/>
      <c r="G33" s="40"/>
      <c r="H33" s="1251">
        <v>325</v>
      </c>
      <c r="I33" s="40">
        <v>325</v>
      </c>
      <c r="J33" s="40">
        <v>325</v>
      </c>
      <c r="K33" s="40">
        <v>325</v>
      </c>
      <c r="L33" s="327">
        <v>300</v>
      </c>
      <c r="M33" s="327">
        <v>300</v>
      </c>
      <c r="N33" s="327">
        <v>300</v>
      </c>
      <c r="O33" s="40"/>
      <c r="P33" s="237"/>
      <c r="Q33" s="238"/>
      <c r="R33" s="715">
        <v>656</v>
      </c>
      <c r="S33" s="717"/>
      <c r="T33" s="142"/>
      <c r="U33" s="1297" t="s">
        <v>199</v>
      </c>
      <c r="V33" s="1319" t="s">
        <v>824</v>
      </c>
    </row>
    <row r="34" spans="1:22" ht="16.5" customHeight="1">
      <c r="A34" s="352" t="s">
        <v>198</v>
      </c>
      <c r="B34" s="352" t="s">
        <v>197</v>
      </c>
      <c r="C34" s="732"/>
      <c r="D34" s="352" t="s">
        <v>201</v>
      </c>
      <c r="E34" s="35" t="s">
        <v>192</v>
      </c>
      <c r="H34" s="1252">
        <v>355</v>
      </c>
      <c r="I34" s="35">
        <v>355</v>
      </c>
      <c r="J34" s="35">
        <v>355</v>
      </c>
      <c r="K34" s="35">
        <v>355</v>
      </c>
      <c r="L34" s="395">
        <v>330</v>
      </c>
      <c r="M34" s="395">
        <v>330</v>
      </c>
      <c r="N34" s="395">
        <v>330</v>
      </c>
      <c r="O34" s="35">
        <v>110</v>
      </c>
      <c r="R34" s="737"/>
      <c r="S34" s="738"/>
      <c r="T34" s="695"/>
      <c r="U34" s="1302"/>
      <c r="V34" s="1322"/>
    </row>
    <row r="35" spans="1:22" ht="16.5" customHeight="1">
      <c r="A35" s="1321" t="s">
        <v>198</v>
      </c>
      <c r="B35" s="1321" t="s">
        <v>608</v>
      </c>
      <c r="C35" s="732"/>
      <c r="D35" s="1321" t="s">
        <v>200</v>
      </c>
      <c r="E35" s="396" t="s">
        <v>192</v>
      </c>
      <c r="F35" s="396"/>
      <c r="G35" s="396"/>
      <c r="H35" s="768">
        <v>240</v>
      </c>
      <c r="I35" s="769"/>
      <c r="J35" s="769"/>
      <c r="K35" s="769"/>
      <c r="L35" s="769"/>
      <c r="M35" s="769"/>
      <c r="N35" s="769"/>
      <c r="O35" s="396">
        <v>110</v>
      </c>
      <c r="R35" s="737"/>
      <c r="S35" s="738"/>
      <c r="T35" s="695">
        <v>24</v>
      </c>
      <c r="U35" s="1302"/>
      <c r="V35" s="1322"/>
    </row>
    <row r="36" spans="1:22" ht="17.25" customHeight="1" thickBot="1">
      <c r="A36" s="1341" t="s">
        <v>198</v>
      </c>
      <c r="B36" s="1342" t="s">
        <v>566</v>
      </c>
      <c r="C36" s="712"/>
      <c r="D36" s="1341" t="s">
        <v>202</v>
      </c>
      <c r="E36" s="46" t="s">
        <v>192</v>
      </c>
      <c r="F36" s="46"/>
      <c r="G36" s="46"/>
      <c r="H36" s="1253">
        <v>325</v>
      </c>
      <c r="I36" s="46">
        <v>325</v>
      </c>
      <c r="J36" s="46">
        <v>325</v>
      </c>
      <c r="K36" s="46">
        <v>325</v>
      </c>
      <c r="L36" s="67">
        <v>300</v>
      </c>
      <c r="M36" s="67">
        <v>300</v>
      </c>
      <c r="N36" s="67">
        <v>300</v>
      </c>
      <c r="O36" s="46"/>
      <c r="P36" s="242"/>
      <c r="Q36" s="243"/>
      <c r="R36" s="716"/>
      <c r="S36" s="718"/>
      <c r="T36" s="696"/>
      <c r="U36" s="1306"/>
      <c r="V36" s="1323"/>
    </row>
    <row r="37" spans="1:22" ht="16.5" customHeight="1">
      <c r="A37" s="1344" t="s">
        <v>233</v>
      </c>
      <c r="B37" s="352" t="s">
        <v>232</v>
      </c>
      <c r="C37" s="711" t="s">
        <v>422</v>
      </c>
      <c r="D37" s="352" t="s">
        <v>312</v>
      </c>
      <c r="E37" s="35" t="s">
        <v>192</v>
      </c>
      <c r="H37" s="736">
        <v>335</v>
      </c>
      <c r="I37" s="736"/>
      <c r="J37" s="736"/>
      <c r="K37" s="736"/>
      <c r="L37" s="736"/>
      <c r="M37" s="736"/>
      <c r="N37" s="736"/>
      <c r="O37" s="35">
        <v>110</v>
      </c>
      <c r="P37" s="721">
        <v>30</v>
      </c>
      <c r="Q37" s="726">
        <v>18</v>
      </c>
      <c r="R37" s="715">
        <v>438</v>
      </c>
      <c r="S37" s="717">
        <v>106</v>
      </c>
      <c r="T37" s="142"/>
      <c r="U37" s="1297" t="s">
        <v>404</v>
      </c>
      <c r="V37" s="1345" t="s">
        <v>766</v>
      </c>
    </row>
    <row r="38" spans="1:22" ht="16.5" customHeight="1">
      <c r="A38" s="352" t="s">
        <v>233</v>
      </c>
      <c r="B38" s="352" t="s">
        <v>232</v>
      </c>
      <c r="C38" s="732"/>
      <c r="D38" s="352" t="s">
        <v>313</v>
      </c>
      <c r="E38" s="35" t="s">
        <v>192</v>
      </c>
      <c r="H38" s="736">
        <v>365</v>
      </c>
      <c r="I38" s="736"/>
      <c r="J38" s="736"/>
      <c r="K38" s="736"/>
      <c r="L38" s="736"/>
      <c r="M38" s="736"/>
      <c r="N38" s="736"/>
      <c r="O38" s="35">
        <v>110</v>
      </c>
      <c r="P38" s="724"/>
      <c r="Q38" s="727"/>
      <c r="R38" s="737"/>
      <c r="S38" s="738"/>
      <c r="T38" s="695"/>
      <c r="U38" s="1302"/>
      <c r="V38" s="1345"/>
    </row>
    <row r="39" spans="1:22" ht="16.5" customHeight="1">
      <c r="A39" s="1286" t="s">
        <v>233</v>
      </c>
      <c r="B39" s="1286" t="s">
        <v>232</v>
      </c>
      <c r="C39" s="732"/>
      <c r="D39" s="1286" t="s">
        <v>312</v>
      </c>
      <c r="E39" s="222" t="s">
        <v>192</v>
      </c>
      <c r="F39" s="222"/>
      <c r="G39" s="222"/>
      <c r="H39" s="740">
        <v>270</v>
      </c>
      <c r="I39" s="740"/>
      <c r="J39" s="740"/>
      <c r="K39" s="740"/>
      <c r="L39" s="740"/>
      <c r="M39" s="740"/>
      <c r="N39" s="740"/>
      <c r="O39" s="222">
        <v>110</v>
      </c>
      <c r="P39" s="724"/>
      <c r="Q39" s="727"/>
      <c r="R39" s="737"/>
      <c r="S39" s="738"/>
      <c r="T39" s="695"/>
      <c r="U39" s="1302"/>
      <c r="V39" s="1345"/>
    </row>
    <row r="40" spans="1:22" ht="17.25" customHeight="1" thickBot="1">
      <c r="A40" s="1341" t="s">
        <v>233</v>
      </c>
      <c r="B40" s="1342" t="s">
        <v>235</v>
      </c>
      <c r="C40" s="712"/>
      <c r="D40" s="1341" t="s">
        <v>313</v>
      </c>
      <c r="E40" s="46" t="s">
        <v>192</v>
      </c>
      <c r="F40" s="46"/>
      <c r="G40" s="46"/>
      <c r="H40" s="760">
        <v>300</v>
      </c>
      <c r="I40" s="760"/>
      <c r="J40" s="760"/>
      <c r="K40" s="760"/>
      <c r="L40" s="760"/>
      <c r="M40" s="760"/>
      <c r="N40" s="760"/>
      <c r="O40" s="46">
        <v>110</v>
      </c>
      <c r="P40" s="725"/>
      <c r="Q40" s="728"/>
      <c r="R40" s="716"/>
      <c r="S40" s="718"/>
      <c r="T40" s="696"/>
      <c r="U40" s="1306"/>
      <c r="V40" s="1346"/>
    </row>
    <row r="41" spans="1:22" ht="16.5" customHeight="1">
      <c r="A41" s="1347" t="s">
        <v>350</v>
      </c>
      <c r="B41" s="1348" t="s">
        <v>349</v>
      </c>
      <c r="C41" s="711" t="s">
        <v>421</v>
      </c>
      <c r="D41" s="1348" t="s">
        <v>352</v>
      </c>
      <c r="E41" s="221" t="s">
        <v>11</v>
      </c>
      <c r="F41" s="221"/>
      <c r="G41" s="221"/>
      <c r="H41" s="763">
        <v>310</v>
      </c>
      <c r="I41" s="763"/>
      <c r="J41" s="763"/>
      <c r="K41" s="763"/>
      <c r="L41" s="763"/>
      <c r="M41" s="763"/>
      <c r="N41" s="763"/>
      <c r="O41" s="221">
        <v>110</v>
      </c>
      <c r="P41" s="721">
        <v>30</v>
      </c>
      <c r="Q41" s="726">
        <v>20</v>
      </c>
      <c r="R41" s="715">
        <v>343</v>
      </c>
      <c r="S41" s="717">
        <v>103</v>
      </c>
      <c r="T41" s="142"/>
      <c r="U41" s="1297" t="s">
        <v>351</v>
      </c>
      <c r="V41" s="1326" t="s">
        <v>735</v>
      </c>
    </row>
    <row r="42" spans="1:22" ht="17.25" customHeight="1" thickBot="1">
      <c r="A42" s="1343" t="s">
        <v>663</v>
      </c>
      <c r="B42" s="1341" t="s">
        <v>349</v>
      </c>
      <c r="C42" s="712"/>
      <c r="D42" s="1341" t="s">
        <v>353</v>
      </c>
      <c r="E42" s="46" t="s">
        <v>11</v>
      </c>
      <c r="F42" s="46"/>
      <c r="G42" s="46"/>
      <c r="H42" s="760">
        <v>360</v>
      </c>
      <c r="I42" s="760"/>
      <c r="J42" s="760"/>
      <c r="K42" s="760"/>
      <c r="L42" s="760"/>
      <c r="M42" s="760"/>
      <c r="N42" s="760"/>
      <c r="O42" s="46">
        <v>110</v>
      </c>
      <c r="P42" s="725"/>
      <c r="Q42" s="728"/>
      <c r="R42" s="716"/>
      <c r="S42" s="718"/>
      <c r="T42" s="696"/>
      <c r="U42" s="1306"/>
      <c r="V42" s="1327"/>
    </row>
    <row r="43" spans="1:22">
      <c r="A43" s="1324" t="s">
        <v>194</v>
      </c>
      <c r="B43" s="1281" t="s">
        <v>462</v>
      </c>
      <c r="C43" s="711" t="s">
        <v>421</v>
      </c>
      <c r="D43" s="1281" t="s">
        <v>306</v>
      </c>
      <c r="E43" s="40" t="s">
        <v>192</v>
      </c>
      <c r="F43" s="40"/>
      <c r="G43" s="40"/>
      <c r="H43" s="1251">
        <v>390</v>
      </c>
      <c r="I43" s="40">
        <v>390</v>
      </c>
      <c r="J43" s="40">
        <v>390</v>
      </c>
      <c r="K43" s="40">
        <v>390</v>
      </c>
      <c r="L43" s="68">
        <v>460</v>
      </c>
      <c r="M43" s="68">
        <v>460</v>
      </c>
      <c r="N43" s="40">
        <v>390</v>
      </c>
      <c r="O43" s="40">
        <v>120</v>
      </c>
      <c r="P43" s="721">
        <v>60</v>
      </c>
      <c r="Q43" s="726">
        <v>25</v>
      </c>
      <c r="R43" s="715">
        <v>215</v>
      </c>
      <c r="S43" s="766">
        <v>46</v>
      </c>
      <c r="T43" s="318"/>
      <c r="U43" s="1297" t="s">
        <v>195</v>
      </c>
      <c r="V43" s="1349" t="s">
        <v>771</v>
      </c>
    </row>
    <row r="44" spans="1:22" ht="16.5" customHeight="1">
      <c r="A44" s="352" t="s">
        <v>194</v>
      </c>
      <c r="B44" s="352" t="s">
        <v>462</v>
      </c>
      <c r="C44" s="732"/>
      <c r="D44" s="352" t="s">
        <v>307</v>
      </c>
      <c r="E44" s="35" t="s">
        <v>192</v>
      </c>
      <c r="H44" s="1252">
        <v>420</v>
      </c>
      <c r="I44" s="35">
        <v>420</v>
      </c>
      <c r="J44" s="35">
        <v>420</v>
      </c>
      <c r="K44" s="35">
        <v>420</v>
      </c>
      <c r="L44" s="438">
        <v>500</v>
      </c>
      <c r="M44" s="438">
        <v>500</v>
      </c>
      <c r="N44" s="35">
        <v>420</v>
      </c>
      <c r="O44" s="35">
        <v>120</v>
      </c>
      <c r="P44" s="724"/>
      <c r="Q44" s="727"/>
      <c r="R44" s="737"/>
      <c r="S44" s="770"/>
      <c r="T44" s="697"/>
      <c r="U44" s="1302"/>
      <c r="V44" s="1345"/>
    </row>
    <row r="45" spans="1:22" ht="16.5" customHeight="1">
      <c r="A45" s="1286" t="s">
        <v>194</v>
      </c>
      <c r="B45" s="1286" t="s">
        <v>768</v>
      </c>
      <c r="C45" s="732"/>
      <c r="D45" s="1286" t="s">
        <v>196</v>
      </c>
      <c r="E45" s="222" t="s">
        <v>192</v>
      </c>
      <c r="F45" s="222"/>
      <c r="G45" s="222"/>
      <c r="H45" s="1254">
        <v>300</v>
      </c>
      <c r="I45" s="222">
        <v>300</v>
      </c>
      <c r="J45" s="222">
        <v>300</v>
      </c>
      <c r="K45" s="222">
        <v>300</v>
      </c>
      <c r="L45" s="439">
        <v>350</v>
      </c>
      <c r="M45" s="439">
        <v>350</v>
      </c>
      <c r="N45" s="222">
        <v>300</v>
      </c>
      <c r="O45" s="222">
        <v>120</v>
      </c>
      <c r="P45" s="724"/>
      <c r="Q45" s="727"/>
      <c r="R45" s="737"/>
      <c r="S45" s="770"/>
      <c r="T45" s="697"/>
      <c r="U45" s="1302"/>
      <c r="V45" s="1345"/>
    </row>
    <row r="46" spans="1:22" ht="17.25" customHeight="1" thickBot="1">
      <c r="A46" s="1341" t="s">
        <v>194</v>
      </c>
      <c r="B46" s="1342" t="s">
        <v>769</v>
      </c>
      <c r="C46" s="712"/>
      <c r="D46" s="1341" t="s">
        <v>770</v>
      </c>
      <c r="E46" s="46" t="s">
        <v>192</v>
      </c>
      <c r="F46" s="46"/>
      <c r="G46" s="46"/>
      <c r="H46" s="1253">
        <v>330</v>
      </c>
      <c r="I46" s="46">
        <v>330</v>
      </c>
      <c r="J46" s="46">
        <v>330</v>
      </c>
      <c r="K46" s="46">
        <v>330</v>
      </c>
      <c r="L46" s="47">
        <v>350</v>
      </c>
      <c r="M46" s="47">
        <v>350</v>
      </c>
      <c r="N46" s="46">
        <v>330</v>
      </c>
      <c r="O46" s="46">
        <v>120</v>
      </c>
      <c r="P46" s="725"/>
      <c r="Q46" s="728"/>
      <c r="R46" s="716"/>
      <c r="S46" s="767"/>
      <c r="T46" s="139"/>
      <c r="U46" s="1306"/>
      <c r="V46" s="1346"/>
    </row>
    <row r="47" spans="1:22" ht="16.5" customHeight="1">
      <c r="A47" s="1344" t="s">
        <v>220</v>
      </c>
      <c r="B47" s="352" t="s">
        <v>217</v>
      </c>
      <c r="C47" s="711" t="s">
        <v>421</v>
      </c>
      <c r="D47" s="352" t="s">
        <v>218</v>
      </c>
      <c r="E47" s="35" t="s">
        <v>11</v>
      </c>
      <c r="H47" s="736">
        <v>488</v>
      </c>
      <c r="I47" s="736"/>
      <c r="J47" s="736"/>
      <c r="K47" s="736"/>
      <c r="L47" s="736"/>
      <c r="M47" s="736"/>
      <c r="N47" s="736"/>
      <c r="O47" s="35">
        <v>100</v>
      </c>
      <c r="P47" s="721">
        <v>47</v>
      </c>
      <c r="Q47" s="726">
        <v>20</v>
      </c>
      <c r="R47" s="715">
        <v>1252</v>
      </c>
      <c r="S47" s="717"/>
      <c r="T47" s="142"/>
      <c r="U47" s="1297" t="s">
        <v>420</v>
      </c>
      <c r="V47" s="1320" t="s">
        <v>447</v>
      </c>
    </row>
    <row r="48" spans="1:22" ht="16.5" customHeight="1">
      <c r="A48" s="1350" t="s">
        <v>772</v>
      </c>
      <c r="B48" s="1286" t="s">
        <v>442</v>
      </c>
      <c r="C48" s="732"/>
      <c r="D48" s="1286" t="s">
        <v>654</v>
      </c>
      <c r="E48" s="222" t="s">
        <v>11</v>
      </c>
      <c r="F48" s="222"/>
      <c r="G48" s="222"/>
      <c r="H48" s="739">
        <v>366</v>
      </c>
      <c r="I48" s="740"/>
      <c r="J48" s="740"/>
      <c r="K48" s="740"/>
      <c r="L48" s="740"/>
      <c r="M48" s="740"/>
      <c r="N48" s="740"/>
      <c r="O48" s="222">
        <v>100</v>
      </c>
      <c r="P48" s="724"/>
      <c r="Q48" s="727"/>
      <c r="R48" s="737"/>
      <c r="S48" s="738"/>
      <c r="T48" s="695"/>
      <c r="U48" s="1302"/>
      <c r="V48" s="1322"/>
    </row>
    <row r="49" spans="1:22" ht="16.5" customHeight="1">
      <c r="A49" s="1350" t="s">
        <v>220</v>
      </c>
      <c r="B49" s="1286" t="s">
        <v>217</v>
      </c>
      <c r="C49" s="732"/>
      <c r="D49" s="1286" t="s">
        <v>778</v>
      </c>
      <c r="E49" s="222" t="s">
        <v>11</v>
      </c>
      <c r="F49" s="222"/>
      <c r="G49" s="222"/>
      <c r="H49" s="739">
        <v>402</v>
      </c>
      <c r="I49" s="740"/>
      <c r="J49" s="740"/>
      <c r="K49" s="740"/>
      <c r="L49" s="740"/>
      <c r="M49" s="740"/>
      <c r="N49" s="740"/>
      <c r="O49" s="222">
        <v>100</v>
      </c>
      <c r="P49" s="724"/>
      <c r="Q49" s="727"/>
      <c r="R49" s="737"/>
      <c r="S49" s="738"/>
      <c r="T49" s="695"/>
      <c r="U49" s="1302"/>
      <c r="V49" s="1322"/>
    </row>
    <row r="50" spans="1:22" ht="17.25" customHeight="1" thickBot="1">
      <c r="A50" s="1292" t="s">
        <v>220</v>
      </c>
      <c r="B50" s="1292" t="s">
        <v>217</v>
      </c>
      <c r="C50" s="712"/>
      <c r="D50" s="1292" t="s">
        <v>219</v>
      </c>
      <c r="E50" s="41" t="s">
        <v>11</v>
      </c>
      <c r="F50" s="41"/>
      <c r="G50" s="41"/>
      <c r="H50" s="723">
        <v>536</v>
      </c>
      <c r="I50" s="723"/>
      <c r="J50" s="723"/>
      <c r="K50" s="723"/>
      <c r="L50" s="723"/>
      <c r="M50" s="723"/>
      <c r="N50" s="723"/>
      <c r="O50" s="41">
        <v>100</v>
      </c>
      <c r="P50" s="725"/>
      <c r="Q50" s="728"/>
      <c r="R50" s="716"/>
      <c r="S50" s="718"/>
      <c r="T50" s="696"/>
      <c r="U50" s="1306"/>
      <c r="V50" s="1323"/>
    </row>
    <row r="51" spans="1:22" ht="16.5" customHeight="1">
      <c r="A51" s="1281" t="s">
        <v>321</v>
      </c>
      <c r="B51" s="1281" t="s">
        <v>345</v>
      </c>
      <c r="C51" s="711" t="s">
        <v>421</v>
      </c>
      <c r="D51" s="1281" t="s">
        <v>775</v>
      </c>
      <c r="E51" s="40" t="s">
        <v>11</v>
      </c>
      <c r="F51" s="40"/>
      <c r="G51" s="40"/>
      <c r="H51" s="722">
        <v>517</v>
      </c>
      <c r="I51" s="722"/>
      <c r="J51" s="722"/>
      <c r="K51" s="722"/>
      <c r="L51" s="722"/>
      <c r="M51" s="722"/>
      <c r="N51" s="722"/>
      <c r="O51" s="40">
        <v>100</v>
      </c>
      <c r="P51" s="721">
        <v>47</v>
      </c>
      <c r="Q51" s="726">
        <v>20</v>
      </c>
      <c r="R51" s="715">
        <v>778</v>
      </c>
      <c r="S51" s="717"/>
      <c r="T51" s="142"/>
      <c r="U51" s="1297" t="s">
        <v>420</v>
      </c>
      <c r="V51" s="1351" t="s">
        <v>779</v>
      </c>
    </row>
    <row r="52" spans="1:22" ht="16.5" customHeight="1">
      <c r="A52" s="1350" t="s">
        <v>774</v>
      </c>
      <c r="B52" s="1286" t="s">
        <v>345</v>
      </c>
      <c r="C52" s="732"/>
      <c r="D52" s="1286" t="s">
        <v>776</v>
      </c>
      <c r="E52" s="222" t="s">
        <v>11</v>
      </c>
      <c r="F52" s="222"/>
      <c r="G52" s="222"/>
      <c r="H52" s="739">
        <v>388</v>
      </c>
      <c r="I52" s="740"/>
      <c r="J52" s="740"/>
      <c r="K52" s="740"/>
      <c r="L52" s="740"/>
      <c r="M52" s="740"/>
      <c r="N52" s="740"/>
      <c r="O52" s="222">
        <v>100</v>
      </c>
      <c r="P52" s="724"/>
      <c r="Q52" s="727"/>
      <c r="R52" s="737"/>
      <c r="S52" s="738"/>
      <c r="T52" s="695"/>
      <c r="U52" s="1302"/>
      <c r="V52" s="1352"/>
    </row>
    <row r="53" spans="1:22" ht="16.5" customHeight="1">
      <c r="A53" s="1350" t="s">
        <v>321</v>
      </c>
      <c r="B53" s="1286" t="s">
        <v>345</v>
      </c>
      <c r="C53" s="732"/>
      <c r="D53" s="1286" t="s">
        <v>777</v>
      </c>
      <c r="E53" s="222" t="s">
        <v>11</v>
      </c>
      <c r="F53" s="222"/>
      <c r="G53" s="222"/>
      <c r="H53" s="739">
        <v>423</v>
      </c>
      <c r="I53" s="740"/>
      <c r="J53" s="740"/>
      <c r="K53" s="740"/>
      <c r="L53" s="740"/>
      <c r="M53" s="740"/>
      <c r="N53" s="740"/>
      <c r="O53" s="222">
        <v>100</v>
      </c>
      <c r="P53" s="724"/>
      <c r="Q53" s="727"/>
      <c r="R53" s="737"/>
      <c r="S53" s="738"/>
      <c r="T53" s="695"/>
      <c r="U53" s="1302"/>
      <c r="V53" s="1352"/>
    </row>
    <row r="54" spans="1:22" ht="17.25" customHeight="1" thickBot="1">
      <c r="A54" s="1292" t="s">
        <v>321</v>
      </c>
      <c r="B54" s="1292" t="s">
        <v>345</v>
      </c>
      <c r="C54" s="712"/>
      <c r="D54" s="1292" t="s">
        <v>352</v>
      </c>
      <c r="E54" s="41" t="s">
        <v>11</v>
      </c>
      <c r="F54" s="41"/>
      <c r="G54" s="41"/>
      <c r="H54" s="723">
        <v>565</v>
      </c>
      <c r="I54" s="723"/>
      <c r="J54" s="723"/>
      <c r="K54" s="723"/>
      <c r="L54" s="723"/>
      <c r="M54" s="723"/>
      <c r="N54" s="723"/>
      <c r="O54" s="41">
        <v>100</v>
      </c>
      <c r="P54" s="725"/>
      <c r="Q54" s="728"/>
      <c r="R54" s="716"/>
      <c r="S54" s="718"/>
      <c r="T54" s="696"/>
      <c r="U54" s="1306"/>
      <c r="V54" s="1353"/>
    </row>
    <row r="55" spans="1:22" ht="16.5" customHeight="1">
      <c r="A55" s="1347" t="s">
        <v>449</v>
      </c>
      <c r="B55" s="1348" t="s">
        <v>782</v>
      </c>
      <c r="C55" s="711" t="s">
        <v>422</v>
      </c>
      <c r="D55" s="1348" t="s">
        <v>780</v>
      </c>
      <c r="E55" s="436" t="s">
        <v>11</v>
      </c>
      <c r="F55" s="436"/>
      <c r="G55" s="436"/>
      <c r="H55" s="763">
        <v>280</v>
      </c>
      <c r="I55" s="763"/>
      <c r="J55" s="763"/>
      <c r="K55" s="763"/>
      <c r="L55" s="763"/>
      <c r="M55" s="763"/>
      <c r="N55" s="763"/>
      <c r="O55" s="221">
        <v>100</v>
      </c>
      <c r="P55" s="721">
        <v>40</v>
      </c>
      <c r="Q55" s="726">
        <v>20</v>
      </c>
      <c r="R55" s="715">
        <v>191</v>
      </c>
      <c r="S55" s="766"/>
      <c r="T55" s="766"/>
      <c r="U55" s="1297" t="s">
        <v>195</v>
      </c>
      <c r="V55" s="1354" t="s">
        <v>825</v>
      </c>
    </row>
    <row r="56" spans="1:22" ht="17.25" customHeight="1" thickBot="1">
      <c r="A56" s="1355" t="s">
        <v>449</v>
      </c>
      <c r="B56" s="1341" t="s">
        <v>448</v>
      </c>
      <c r="C56" s="712"/>
      <c r="D56" s="1341" t="s">
        <v>781</v>
      </c>
      <c r="E56" s="441" t="s">
        <v>11</v>
      </c>
      <c r="F56" s="441"/>
      <c r="G56" s="441"/>
      <c r="H56" s="760">
        <v>375</v>
      </c>
      <c r="I56" s="760"/>
      <c r="J56" s="760"/>
      <c r="K56" s="760"/>
      <c r="L56" s="760"/>
      <c r="M56" s="760"/>
      <c r="N56" s="760"/>
      <c r="O56" s="46">
        <v>100</v>
      </c>
      <c r="P56" s="725"/>
      <c r="Q56" s="728"/>
      <c r="R56" s="716"/>
      <c r="S56" s="767"/>
      <c r="T56" s="767"/>
      <c r="U56" s="1306"/>
      <c r="V56" s="1356"/>
    </row>
    <row r="57" spans="1:22" ht="16.5" customHeight="1">
      <c r="A57" s="1324" t="s">
        <v>417</v>
      </c>
      <c r="B57" s="1281" t="s">
        <v>363</v>
      </c>
      <c r="C57" s="711" t="s">
        <v>421</v>
      </c>
      <c r="D57" s="1281" t="s">
        <v>364</v>
      </c>
      <c r="E57" s="40" t="s">
        <v>192</v>
      </c>
      <c r="F57" s="40"/>
      <c r="G57" s="40"/>
      <c r="H57" s="722">
        <v>280</v>
      </c>
      <c r="I57" s="722"/>
      <c r="J57" s="722"/>
      <c r="K57" s="722"/>
      <c r="L57" s="722"/>
      <c r="M57" s="722"/>
      <c r="N57" s="722"/>
      <c r="O57" s="40" t="s">
        <v>362</v>
      </c>
      <c r="P57" s="721">
        <v>47.96</v>
      </c>
      <c r="Q57" s="726">
        <v>24</v>
      </c>
      <c r="R57" s="715">
        <v>302</v>
      </c>
      <c r="S57" s="717">
        <v>38</v>
      </c>
      <c r="T57" s="717"/>
      <c r="U57" s="1297" t="s">
        <v>191</v>
      </c>
      <c r="V57" s="1326" t="s">
        <v>735</v>
      </c>
    </row>
    <row r="58" spans="1:22" ht="17.25" customHeight="1" thickBot="1">
      <c r="A58" s="1292" t="s">
        <v>417</v>
      </c>
      <c r="B58" s="1292" t="s">
        <v>363</v>
      </c>
      <c r="C58" s="712"/>
      <c r="D58" s="1292" t="s">
        <v>367</v>
      </c>
      <c r="E58" s="41" t="s">
        <v>192</v>
      </c>
      <c r="F58" s="41"/>
      <c r="G58" s="41"/>
      <c r="H58" s="723">
        <v>360</v>
      </c>
      <c r="I58" s="723"/>
      <c r="J58" s="723"/>
      <c r="K58" s="723"/>
      <c r="L58" s="723"/>
      <c r="M58" s="723"/>
      <c r="N58" s="723"/>
      <c r="O58" s="41" t="s">
        <v>362</v>
      </c>
      <c r="P58" s="725"/>
      <c r="Q58" s="728"/>
      <c r="R58" s="716"/>
      <c r="S58" s="718"/>
      <c r="T58" s="718"/>
      <c r="U58" s="1306"/>
      <c r="V58" s="1327"/>
    </row>
    <row r="59" spans="1:22" ht="16.5" customHeight="1">
      <c r="A59" s="1348" t="s">
        <v>370</v>
      </c>
      <c r="B59" s="1348" t="s">
        <v>461</v>
      </c>
      <c r="C59" s="711" t="s">
        <v>421</v>
      </c>
      <c r="D59" s="1348" t="s">
        <v>347</v>
      </c>
      <c r="E59" s="221" t="s">
        <v>11</v>
      </c>
      <c r="F59" s="221"/>
      <c r="G59" s="221"/>
      <c r="H59" s="763">
        <v>445</v>
      </c>
      <c r="I59" s="763"/>
      <c r="J59" s="763"/>
      <c r="K59" s="763"/>
      <c r="L59" s="763"/>
      <c r="M59" s="763"/>
      <c r="N59" s="763"/>
      <c r="O59" s="221">
        <v>130</v>
      </c>
      <c r="P59" s="721"/>
      <c r="Q59" s="726"/>
      <c r="R59" s="715">
        <v>358</v>
      </c>
      <c r="S59" s="717">
        <v>51</v>
      </c>
      <c r="T59" s="717"/>
      <c r="U59" s="1297" t="s">
        <v>199</v>
      </c>
      <c r="V59" s="1351" t="s">
        <v>441</v>
      </c>
    </row>
    <row r="60" spans="1:22" ht="16.5" customHeight="1">
      <c r="A60" s="1286" t="s">
        <v>371</v>
      </c>
      <c r="B60" s="1286" t="s">
        <v>461</v>
      </c>
      <c r="C60" s="732"/>
      <c r="D60" s="1286" t="s">
        <v>369</v>
      </c>
      <c r="E60" s="222" t="s">
        <v>11</v>
      </c>
      <c r="F60" s="222"/>
      <c r="G60" s="222"/>
      <c r="H60" s="740">
        <v>482</v>
      </c>
      <c r="I60" s="740"/>
      <c r="J60" s="740"/>
      <c r="K60" s="740"/>
      <c r="L60" s="740"/>
      <c r="M60" s="740"/>
      <c r="N60" s="740"/>
      <c r="O60" s="222">
        <v>130</v>
      </c>
      <c r="P60" s="724"/>
      <c r="Q60" s="727"/>
      <c r="R60" s="737"/>
      <c r="S60" s="738"/>
      <c r="T60" s="738"/>
      <c r="U60" s="1302"/>
      <c r="V60" s="1352"/>
    </row>
    <row r="61" spans="1:22" ht="16.5" customHeight="1">
      <c r="A61" s="1357" t="s">
        <v>368</v>
      </c>
      <c r="B61" s="352" t="s">
        <v>461</v>
      </c>
      <c r="C61" s="732"/>
      <c r="D61" s="352" t="s">
        <v>347</v>
      </c>
      <c r="E61" s="35" t="s">
        <v>11</v>
      </c>
      <c r="H61" s="724">
        <v>487</v>
      </c>
      <c r="I61" s="736"/>
      <c r="J61" s="736"/>
      <c r="K61" s="736"/>
      <c r="L61" s="736">
        <v>386</v>
      </c>
      <c r="M61" s="736"/>
      <c r="N61" s="736"/>
      <c r="O61" s="35">
        <v>130</v>
      </c>
      <c r="P61" s="724"/>
      <c r="Q61" s="727"/>
      <c r="R61" s="737"/>
      <c r="S61" s="738"/>
      <c r="T61" s="738"/>
      <c r="U61" s="1302"/>
      <c r="V61" s="1352"/>
    </row>
    <row r="62" spans="1:22" ht="17.25" customHeight="1" thickBot="1">
      <c r="A62" s="1292" t="s">
        <v>346</v>
      </c>
      <c r="B62" s="1292" t="s">
        <v>461</v>
      </c>
      <c r="C62" s="712"/>
      <c r="D62" s="1292" t="s">
        <v>348</v>
      </c>
      <c r="E62" s="41" t="s">
        <v>11</v>
      </c>
      <c r="F62" s="41"/>
      <c r="G62" s="41"/>
      <c r="H62" s="725">
        <v>540</v>
      </c>
      <c r="I62" s="723"/>
      <c r="J62" s="723"/>
      <c r="K62" s="723"/>
      <c r="L62" s="723">
        <v>429</v>
      </c>
      <c r="M62" s="723"/>
      <c r="N62" s="723"/>
      <c r="O62" s="41">
        <v>130</v>
      </c>
      <c r="P62" s="725"/>
      <c r="Q62" s="728"/>
      <c r="R62" s="716"/>
      <c r="S62" s="718"/>
      <c r="T62" s="718"/>
      <c r="U62" s="1306"/>
      <c r="V62" s="1353"/>
    </row>
    <row r="63" spans="1:22" ht="16.5" customHeight="1">
      <c r="A63" s="1324" t="s">
        <v>373</v>
      </c>
      <c r="B63" s="1281" t="s">
        <v>372</v>
      </c>
      <c r="C63" s="711" t="s">
        <v>421</v>
      </c>
      <c r="D63" s="1281" t="s">
        <v>374</v>
      </c>
      <c r="E63" s="40" t="s">
        <v>11</v>
      </c>
      <c r="F63" s="40"/>
      <c r="G63" s="40"/>
      <c r="H63" s="722">
        <v>437</v>
      </c>
      <c r="I63" s="722"/>
      <c r="J63" s="722"/>
      <c r="K63" s="722"/>
      <c r="L63" s="722"/>
      <c r="M63" s="722"/>
      <c r="N63" s="722"/>
      <c r="O63" s="40">
        <v>130</v>
      </c>
      <c r="P63" s="721"/>
      <c r="Q63" s="726"/>
      <c r="R63" s="715">
        <v>262</v>
      </c>
      <c r="S63" s="318">
        <v>72</v>
      </c>
      <c r="T63" s="318"/>
      <c r="U63" s="1297" t="s">
        <v>195</v>
      </c>
      <c r="V63" s="1354" t="s">
        <v>791</v>
      </c>
    </row>
    <row r="64" spans="1:22" ht="17.25" customHeight="1" thickBot="1">
      <c r="A64" s="352" t="s">
        <v>373</v>
      </c>
      <c r="B64" s="352" t="s">
        <v>372</v>
      </c>
      <c r="C64" s="712"/>
      <c r="D64" s="352" t="s">
        <v>375</v>
      </c>
      <c r="E64" s="35" t="s">
        <v>11</v>
      </c>
      <c r="H64" s="736">
        <v>494</v>
      </c>
      <c r="I64" s="736"/>
      <c r="J64" s="736"/>
      <c r="K64" s="736"/>
      <c r="L64" s="736"/>
      <c r="M64" s="736"/>
      <c r="N64" s="736"/>
      <c r="O64" s="35">
        <v>130</v>
      </c>
      <c r="P64" s="725"/>
      <c r="Q64" s="728"/>
      <c r="R64" s="737"/>
      <c r="S64" s="108">
        <v>49</v>
      </c>
      <c r="T64" s="108"/>
      <c r="U64" s="1306"/>
      <c r="V64" s="1356"/>
    </row>
    <row r="65" spans="1:22" ht="16.5" customHeight="1">
      <c r="A65" s="1347" t="s">
        <v>424</v>
      </c>
      <c r="B65" s="1348" t="s">
        <v>788</v>
      </c>
      <c r="C65" s="711" t="s">
        <v>422</v>
      </c>
      <c r="D65" s="1348" t="s">
        <v>434</v>
      </c>
      <c r="E65" s="221" t="s">
        <v>192</v>
      </c>
      <c r="F65" s="221"/>
      <c r="G65" s="221"/>
      <c r="H65" s="762">
        <v>540</v>
      </c>
      <c r="I65" s="763"/>
      <c r="J65" s="763"/>
      <c r="K65" s="763"/>
      <c r="L65" s="763"/>
      <c r="M65" s="763"/>
      <c r="N65" s="763"/>
      <c r="O65" s="221">
        <v>100</v>
      </c>
      <c r="P65" s="721">
        <v>36</v>
      </c>
      <c r="Q65" s="726">
        <v>18</v>
      </c>
      <c r="R65" s="806">
        <v>510</v>
      </c>
      <c r="S65" s="766"/>
      <c r="T65" s="766"/>
      <c r="U65" s="1297" t="s">
        <v>426</v>
      </c>
      <c r="V65" s="1349" t="s">
        <v>787</v>
      </c>
    </row>
    <row r="66" spans="1:22" ht="16.5" customHeight="1">
      <c r="A66" s="1350" t="s">
        <v>423</v>
      </c>
      <c r="B66" s="1286" t="s">
        <v>789</v>
      </c>
      <c r="C66" s="732"/>
      <c r="D66" s="1286" t="s">
        <v>427</v>
      </c>
      <c r="E66" s="222" t="s">
        <v>192</v>
      </c>
      <c r="F66" s="222"/>
      <c r="G66" s="222"/>
      <c r="H66" s="739">
        <v>620</v>
      </c>
      <c r="I66" s="740"/>
      <c r="J66" s="740"/>
      <c r="K66" s="740"/>
      <c r="L66" s="740"/>
      <c r="M66" s="740"/>
      <c r="N66" s="740"/>
      <c r="O66" s="222">
        <v>100</v>
      </c>
      <c r="P66" s="724"/>
      <c r="Q66" s="727"/>
      <c r="R66" s="807"/>
      <c r="S66" s="770"/>
      <c r="T66" s="770">
        <v>4</v>
      </c>
      <c r="U66" s="1302"/>
      <c r="V66" s="1345"/>
    </row>
    <row r="67" spans="1:22" ht="16.5" customHeight="1">
      <c r="A67" s="1350" t="s">
        <v>424</v>
      </c>
      <c r="B67" s="1286" t="s">
        <v>788</v>
      </c>
      <c r="C67" s="732"/>
      <c r="D67" s="1286" t="s">
        <v>432</v>
      </c>
      <c r="E67" s="222" t="s">
        <v>192</v>
      </c>
      <c r="F67" s="222"/>
      <c r="G67" s="222"/>
      <c r="H67" s="739">
        <v>720</v>
      </c>
      <c r="I67" s="740"/>
      <c r="J67" s="740"/>
      <c r="K67" s="740"/>
      <c r="L67" s="740"/>
      <c r="M67" s="740"/>
      <c r="N67" s="740"/>
      <c r="O67" s="222">
        <v>100</v>
      </c>
      <c r="P67" s="724"/>
      <c r="Q67" s="727"/>
      <c r="R67" s="807"/>
      <c r="S67" s="770"/>
      <c r="T67" s="770">
        <v>2</v>
      </c>
      <c r="U67" s="1302"/>
      <c r="V67" s="1345"/>
    </row>
    <row r="68" spans="1:22" ht="16.5" customHeight="1" thickBot="1">
      <c r="A68" s="1341" t="s">
        <v>424</v>
      </c>
      <c r="B68" s="1341" t="s">
        <v>788</v>
      </c>
      <c r="C68" s="712"/>
      <c r="D68" s="1341" t="s">
        <v>433</v>
      </c>
      <c r="E68" s="46" t="s">
        <v>192</v>
      </c>
      <c r="F68" s="46"/>
      <c r="G68" s="46"/>
      <c r="H68" s="761">
        <v>880</v>
      </c>
      <c r="I68" s="760"/>
      <c r="J68" s="760"/>
      <c r="K68" s="760"/>
      <c r="L68" s="760">
        <v>830</v>
      </c>
      <c r="M68" s="760"/>
      <c r="N68" s="760"/>
      <c r="O68" s="46">
        <v>180</v>
      </c>
      <c r="P68" s="725"/>
      <c r="Q68" s="728"/>
      <c r="R68" s="808"/>
      <c r="S68" s="767"/>
      <c r="T68" s="767">
        <v>1</v>
      </c>
      <c r="U68" s="1306"/>
      <c r="V68" s="1346"/>
    </row>
    <row r="69" spans="1:22" ht="14.25" customHeight="1" thickBot="1">
      <c r="A69" s="1358"/>
      <c r="B69" s="1358"/>
      <c r="C69" s="455"/>
      <c r="D69" s="1358"/>
      <c r="E69" s="457"/>
      <c r="F69" s="457"/>
      <c r="G69" s="457"/>
      <c r="H69" s="1255"/>
      <c r="I69" s="454"/>
      <c r="J69" s="454"/>
      <c r="K69" s="454"/>
      <c r="L69" s="454"/>
      <c r="M69" s="454"/>
      <c r="N69" s="454"/>
      <c r="O69" s="454"/>
      <c r="P69" s="459"/>
      <c r="Q69" s="460"/>
      <c r="R69" s="461"/>
      <c r="S69" s="462"/>
      <c r="T69" s="462"/>
      <c r="U69" s="1358"/>
      <c r="V69" s="1359"/>
    </row>
    <row r="70" spans="1:22" ht="16">
      <c r="A70" s="1324" t="s">
        <v>409</v>
      </c>
      <c r="B70" s="1281" t="s">
        <v>376</v>
      </c>
      <c r="C70" s="711" t="s">
        <v>445</v>
      </c>
      <c r="D70" s="1281" t="s">
        <v>356</v>
      </c>
      <c r="E70" s="37" t="s">
        <v>11</v>
      </c>
      <c r="F70" s="37"/>
      <c r="G70" s="37"/>
      <c r="H70" s="722">
        <v>220</v>
      </c>
      <c r="I70" s="722"/>
      <c r="J70" s="722"/>
      <c r="K70" s="722"/>
      <c r="L70" s="722"/>
      <c r="M70" s="722"/>
      <c r="N70" s="722"/>
      <c r="O70" s="40">
        <v>80</v>
      </c>
      <c r="P70" s="715"/>
      <c r="Q70" s="717"/>
      <c r="R70" s="715"/>
      <c r="S70" s="766"/>
      <c r="T70" s="766"/>
      <c r="U70" s="1297" t="s">
        <v>406</v>
      </c>
      <c r="V70" s="1360" t="s">
        <v>437</v>
      </c>
    </row>
    <row r="71" spans="1:22" ht="17.25" customHeight="1" thickBot="1">
      <c r="A71" s="1292" t="s">
        <v>409</v>
      </c>
      <c r="B71" s="1292" t="s">
        <v>376</v>
      </c>
      <c r="C71" s="712"/>
      <c r="D71" s="1292" t="s">
        <v>236</v>
      </c>
      <c r="E71" s="39" t="s">
        <v>11</v>
      </c>
      <c r="F71" s="39"/>
      <c r="G71" s="39"/>
      <c r="H71" s="723">
        <v>240</v>
      </c>
      <c r="I71" s="723"/>
      <c r="J71" s="723"/>
      <c r="K71" s="723"/>
      <c r="L71" s="723"/>
      <c r="M71" s="723"/>
      <c r="N71" s="723"/>
      <c r="O71" s="41">
        <v>80</v>
      </c>
      <c r="P71" s="716"/>
      <c r="Q71" s="718"/>
      <c r="R71" s="716"/>
      <c r="S71" s="767"/>
      <c r="T71" s="767"/>
      <c r="U71" s="1306"/>
      <c r="V71" s="1323"/>
    </row>
    <row r="72" spans="1:22" ht="16.5" customHeight="1">
      <c r="A72" s="1324" t="s">
        <v>410</v>
      </c>
      <c r="B72" s="1281" t="s">
        <v>377</v>
      </c>
      <c r="C72" s="711" t="s">
        <v>445</v>
      </c>
      <c r="D72" s="1281" t="s">
        <v>360</v>
      </c>
      <c r="E72" s="37" t="s">
        <v>11</v>
      </c>
      <c r="F72" s="37"/>
      <c r="G72" s="37"/>
      <c r="H72" s="722">
        <v>240</v>
      </c>
      <c r="I72" s="722"/>
      <c r="J72" s="722"/>
      <c r="K72" s="722"/>
      <c r="L72" s="722"/>
      <c r="M72" s="722"/>
      <c r="N72" s="722"/>
      <c r="O72" s="40">
        <v>80</v>
      </c>
      <c r="P72" s="737"/>
      <c r="Q72" s="738"/>
      <c r="R72" s="737"/>
      <c r="S72" s="738"/>
      <c r="T72" s="738"/>
      <c r="U72" s="1297" t="s">
        <v>411</v>
      </c>
      <c r="V72" s="1360" t="s">
        <v>437</v>
      </c>
    </row>
    <row r="73" spans="1:22" ht="17.25" customHeight="1" thickBot="1">
      <c r="A73" s="1292" t="s">
        <v>410</v>
      </c>
      <c r="B73" s="1292" t="s">
        <v>377</v>
      </c>
      <c r="C73" s="712"/>
      <c r="D73" s="1292" t="s">
        <v>361</v>
      </c>
      <c r="E73" s="39" t="s">
        <v>11</v>
      </c>
      <c r="F73" s="39"/>
      <c r="G73" s="39"/>
      <c r="H73" s="723">
        <v>260</v>
      </c>
      <c r="I73" s="723"/>
      <c r="J73" s="723"/>
      <c r="K73" s="723"/>
      <c r="L73" s="723"/>
      <c r="M73" s="723"/>
      <c r="N73" s="723"/>
      <c r="O73" s="41">
        <v>80</v>
      </c>
      <c r="P73" s="716"/>
      <c r="Q73" s="718"/>
      <c r="R73" s="716"/>
      <c r="S73" s="718"/>
      <c r="T73" s="718"/>
      <c r="U73" s="1306"/>
      <c r="V73" s="1323"/>
    </row>
    <row r="74" spans="1:22">
      <c r="A74" s="1324" t="s">
        <v>412</v>
      </c>
      <c r="B74" s="1281" t="s">
        <v>458</v>
      </c>
      <c r="C74" s="711" t="s">
        <v>445</v>
      </c>
      <c r="D74" s="1281" t="s">
        <v>646</v>
      </c>
      <c r="E74" s="40" t="s">
        <v>192</v>
      </c>
      <c r="F74" s="40"/>
      <c r="G74" s="40"/>
      <c r="H74" s="1251">
        <v>250</v>
      </c>
      <c r="I74" s="40">
        <v>250</v>
      </c>
      <c r="J74" s="40">
        <v>250</v>
      </c>
      <c r="K74" s="40">
        <v>250</v>
      </c>
      <c r="L74" s="70">
        <v>230</v>
      </c>
      <c r="M74" s="70">
        <v>230</v>
      </c>
      <c r="N74" s="70">
        <v>230</v>
      </c>
      <c r="O74" s="40">
        <v>100</v>
      </c>
      <c r="P74" s="721">
        <v>25</v>
      </c>
      <c r="Q74" s="726">
        <v>12.5</v>
      </c>
      <c r="R74" s="715">
        <v>543</v>
      </c>
      <c r="S74" s="717"/>
      <c r="T74" s="717"/>
      <c r="U74" s="1297" t="s">
        <v>396</v>
      </c>
      <c r="V74" s="1360" t="s">
        <v>437</v>
      </c>
    </row>
    <row r="75" spans="1:22" ht="17.25" customHeight="1" thickBot="1">
      <c r="A75" s="1292" t="s">
        <v>412</v>
      </c>
      <c r="B75" s="1292" t="s">
        <v>458</v>
      </c>
      <c r="C75" s="712"/>
      <c r="D75" s="1292" t="s">
        <v>647</v>
      </c>
      <c r="E75" s="41" t="s">
        <v>192</v>
      </c>
      <c r="F75" s="41"/>
      <c r="G75" s="41"/>
      <c r="H75" s="1256">
        <v>270</v>
      </c>
      <c r="I75" s="41">
        <v>270</v>
      </c>
      <c r="J75" s="41">
        <v>270</v>
      </c>
      <c r="K75" s="41">
        <v>270</v>
      </c>
      <c r="L75" s="191">
        <v>250</v>
      </c>
      <c r="M75" s="191">
        <v>250</v>
      </c>
      <c r="N75" s="191">
        <v>250</v>
      </c>
      <c r="O75" s="41">
        <v>100</v>
      </c>
      <c r="P75" s="725"/>
      <c r="Q75" s="728"/>
      <c r="R75" s="716"/>
      <c r="S75" s="718"/>
      <c r="T75" s="718"/>
      <c r="U75" s="1306"/>
      <c r="V75" s="1323"/>
    </row>
    <row r="76" spans="1:22" ht="16.5" customHeight="1">
      <c r="A76" s="1344" t="s">
        <v>414</v>
      </c>
      <c r="B76" s="352" t="s">
        <v>460</v>
      </c>
      <c r="C76" s="711" t="s">
        <v>445</v>
      </c>
      <c r="D76" s="352" t="s">
        <v>381</v>
      </c>
      <c r="E76" s="35" t="s">
        <v>192</v>
      </c>
      <c r="H76" s="736">
        <v>305</v>
      </c>
      <c r="I76" s="736"/>
      <c r="J76" s="736"/>
      <c r="K76" s="736"/>
      <c r="L76" s="736"/>
      <c r="M76" s="736"/>
      <c r="N76" s="736"/>
      <c r="P76" s="715"/>
      <c r="Q76" s="717"/>
      <c r="R76" s="715"/>
      <c r="S76" s="717"/>
      <c r="T76" s="717"/>
      <c r="U76" s="1297" t="s">
        <v>415</v>
      </c>
      <c r="V76" s="1360" t="s">
        <v>437</v>
      </c>
    </row>
    <row r="77" spans="1:22" ht="17.25" customHeight="1" thickBot="1">
      <c r="A77" s="352" t="s">
        <v>414</v>
      </c>
      <c r="B77" s="352" t="s">
        <v>460</v>
      </c>
      <c r="C77" s="712"/>
      <c r="D77" s="352" t="s">
        <v>382</v>
      </c>
      <c r="E77" s="35" t="s">
        <v>192</v>
      </c>
      <c r="H77" s="736">
        <v>345</v>
      </c>
      <c r="I77" s="736"/>
      <c r="J77" s="736"/>
      <c r="K77" s="736"/>
      <c r="L77" s="736"/>
      <c r="M77" s="736"/>
      <c r="N77" s="736"/>
      <c r="P77" s="716"/>
      <c r="Q77" s="718"/>
      <c r="R77" s="716"/>
      <c r="S77" s="718"/>
      <c r="T77" s="718"/>
      <c r="U77" s="1306"/>
      <c r="V77" s="1323"/>
    </row>
    <row r="78" spans="1:22" ht="16.5" customHeight="1">
      <c r="A78" s="1324" t="s">
        <v>366</v>
      </c>
      <c r="B78" s="1281" t="s">
        <v>365</v>
      </c>
      <c r="C78" s="711" t="s">
        <v>421</v>
      </c>
      <c r="D78" s="1281" t="s">
        <v>364</v>
      </c>
      <c r="E78" s="40" t="s">
        <v>192</v>
      </c>
      <c r="F78" s="40"/>
      <c r="G78" s="40"/>
      <c r="H78" s="722">
        <v>280</v>
      </c>
      <c r="I78" s="722"/>
      <c r="J78" s="722"/>
      <c r="K78" s="722"/>
      <c r="L78" s="722"/>
      <c r="M78" s="722"/>
      <c r="N78" s="722"/>
      <c r="O78" s="40" t="s">
        <v>362</v>
      </c>
      <c r="P78" s="721"/>
      <c r="Q78" s="726"/>
      <c r="R78" s="715"/>
      <c r="S78" s="717"/>
      <c r="T78" s="717"/>
      <c r="U78" s="1297" t="s">
        <v>418</v>
      </c>
      <c r="V78" s="1360" t="s">
        <v>437</v>
      </c>
    </row>
    <row r="79" spans="1:22" ht="17.25" customHeight="1" thickBot="1">
      <c r="A79" s="1292" t="s">
        <v>366</v>
      </c>
      <c r="B79" s="1292" t="s">
        <v>365</v>
      </c>
      <c r="C79" s="712"/>
      <c r="D79" s="1292" t="s">
        <v>353</v>
      </c>
      <c r="E79" s="41" t="s">
        <v>192</v>
      </c>
      <c r="F79" s="41"/>
      <c r="G79" s="41"/>
      <c r="H79" s="723">
        <v>340</v>
      </c>
      <c r="I79" s="723"/>
      <c r="J79" s="723"/>
      <c r="K79" s="723"/>
      <c r="L79" s="723"/>
      <c r="M79" s="723"/>
      <c r="N79" s="723"/>
      <c r="O79" s="41" t="s">
        <v>362</v>
      </c>
      <c r="P79" s="725"/>
      <c r="Q79" s="728"/>
      <c r="R79" s="716"/>
      <c r="S79" s="718"/>
      <c r="T79" s="718"/>
      <c r="U79" s="1306"/>
      <c r="V79" s="1323"/>
    </row>
    <row r="80" spans="1:22" ht="16.5" customHeight="1">
      <c r="A80" s="1324" t="s">
        <v>828</v>
      </c>
      <c r="B80" s="1281" t="s">
        <v>491</v>
      </c>
      <c r="C80" s="732" t="s">
        <v>422</v>
      </c>
      <c r="D80" s="1281" t="s">
        <v>236</v>
      </c>
      <c r="E80" s="40" t="s">
        <v>192</v>
      </c>
      <c r="F80" s="40"/>
      <c r="G80" s="40"/>
      <c r="H80" s="1251">
        <v>320</v>
      </c>
      <c r="I80" s="40">
        <v>320</v>
      </c>
      <c r="J80" s="40">
        <v>320</v>
      </c>
      <c r="K80" s="40">
        <v>320</v>
      </c>
      <c r="L80" s="40">
        <v>320</v>
      </c>
      <c r="M80" s="40">
        <v>320</v>
      </c>
      <c r="N80" s="40">
        <v>320</v>
      </c>
      <c r="O80" s="40" t="s">
        <v>362</v>
      </c>
      <c r="P80" s="721"/>
      <c r="Q80" s="726"/>
      <c r="R80" s="721">
        <v>324</v>
      </c>
      <c r="S80" s="726"/>
      <c r="T80" s="726"/>
      <c r="U80" s="1297" t="s">
        <v>829</v>
      </c>
      <c r="V80" s="1361" t="s">
        <v>832</v>
      </c>
    </row>
    <row r="81" spans="1:22" ht="16.5" customHeight="1">
      <c r="A81" s="352" t="s">
        <v>485</v>
      </c>
      <c r="B81" s="352" t="s">
        <v>491</v>
      </c>
      <c r="C81" s="732"/>
      <c r="D81" s="352" t="s">
        <v>202</v>
      </c>
      <c r="E81" s="35" t="s">
        <v>192</v>
      </c>
      <c r="H81" s="1252">
        <v>435</v>
      </c>
      <c r="I81" s="35">
        <v>435</v>
      </c>
      <c r="J81" s="35">
        <v>435</v>
      </c>
      <c r="K81" s="35">
        <v>435</v>
      </c>
      <c r="L81" s="35">
        <v>435</v>
      </c>
      <c r="M81" s="35">
        <v>435</v>
      </c>
      <c r="N81" s="35">
        <v>435</v>
      </c>
      <c r="P81" s="724"/>
      <c r="Q81" s="727"/>
      <c r="R81" s="724"/>
      <c r="S81" s="727"/>
      <c r="T81" s="727"/>
      <c r="U81" s="1302"/>
      <c r="V81" s="1362"/>
    </row>
    <row r="82" spans="1:22" ht="16.5" customHeight="1">
      <c r="A82" s="1286" t="s">
        <v>485</v>
      </c>
      <c r="B82" s="1286" t="s">
        <v>491</v>
      </c>
      <c r="C82" s="732"/>
      <c r="D82" s="1286" t="s">
        <v>492</v>
      </c>
      <c r="E82" s="222" t="s">
        <v>192</v>
      </c>
      <c r="F82" s="222"/>
      <c r="G82" s="222"/>
      <c r="H82" s="1254"/>
      <c r="I82" s="222"/>
      <c r="J82" s="222"/>
      <c r="K82" s="222"/>
      <c r="L82" s="222"/>
      <c r="M82" s="222"/>
      <c r="N82" s="222"/>
      <c r="O82" s="222"/>
      <c r="P82" s="724"/>
      <c r="Q82" s="727"/>
      <c r="R82" s="724"/>
      <c r="S82" s="727"/>
      <c r="T82" s="727"/>
      <c r="U82" s="1302"/>
      <c r="V82" s="1362"/>
    </row>
    <row r="83" spans="1:22" ht="17.25" customHeight="1" thickBot="1">
      <c r="A83" s="1341" t="s">
        <v>485</v>
      </c>
      <c r="B83" s="1341" t="s">
        <v>491</v>
      </c>
      <c r="C83" s="712"/>
      <c r="D83" s="1341" t="s">
        <v>493</v>
      </c>
      <c r="E83" s="46" t="s">
        <v>192</v>
      </c>
      <c r="F83" s="46"/>
      <c r="G83" s="46"/>
      <c r="H83" s="1253"/>
      <c r="I83" s="46"/>
      <c r="J83" s="46"/>
      <c r="K83" s="46"/>
      <c r="L83" s="46"/>
      <c r="M83" s="46"/>
      <c r="N83" s="46"/>
      <c r="O83" s="46"/>
      <c r="P83" s="725"/>
      <c r="Q83" s="728"/>
      <c r="R83" s="725"/>
      <c r="S83" s="728"/>
      <c r="T83" s="728"/>
      <c r="U83" s="1306"/>
      <c r="V83" s="1363"/>
    </row>
    <row r="84" spans="1:22">
      <c r="A84" s="1281" t="s">
        <v>496</v>
      </c>
      <c r="B84" s="1281" t="s">
        <v>662</v>
      </c>
      <c r="C84" s="711" t="s">
        <v>440</v>
      </c>
      <c r="D84" s="1281" t="s">
        <v>13</v>
      </c>
      <c r="E84" s="40"/>
      <c r="F84" s="40"/>
      <c r="G84" s="40"/>
      <c r="H84" s="1251">
        <v>250</v>
      </c>
      <c r="I84" s="40">
        <v>250</v>
      </c>
      <c r="J84" s="40">
        <v>250</v>
      </c>
      <c r="K84" s="40">
        <v>250</v>
      </c>
      <c r="L84" s="40">
        <v>250</v>
      </c>
      <c r="M84" s="40">
        <v>250</v>
      </c>
      <c r="N84" s="40">
        <v>250</v>
      </c>
      <c r="O84" s="40"/>
      <c r="P84" s="715"/>
      <c r="Q84" s="717"/>
      <c r="R84" s="715"/>
      <c r="S84" s="717"/>
      <c r="T84" s="717"/>
      <c r="U84" s="1297"/>
      <c r="V84" s="1351" t="s">
        <v>826</v>
      </c>
    </row>
    <row r="85" spans="1:22" ht="17.25" customHeight="1" thickBot="1">
      <c r="A85" s="1292" t="s">
        <v>496</v>
      </c>
      <c r="B85" s="1292" t="s">
        <v>662</v>
      </c>
      <c r="C85" s="712"/>
      <c r="D85" s="1292" t="s">
        <v>236</v>
      </c>
      <c r="E85" s="41"/>
      <c r="F85" s="41"/>
      <c r="G85" s="41"/>
      <c r="H85" s="1256">
        <v>270</v>
      </c>
      <c r="I85" s="41">
        <v>270</v>
      </c>
      <c r="J85" s="41">
        <v>270</v>
      </c>
      <c r="K85" s="41">
        <v>270</v>
      </c>
      <c r="L85" s="41">
        <v>270</v>
      </c>
      <c r="M85" s="41">
        <v>270</v>
      </c>
      <c r="N85" s="41">
        <v>270</v>
      </c>
      <c r="O85" s="41"/>
      <c r="P85" s="716"/>
      <c r="Q85" s="718"/>
      <c r="R85" s="716"/>
      <c r="S85" s="718"/>
      <c r="T85" s="718"/>
      <c r="U85" s="1306"/>
      <c r="V85" s="1353"/>
    </row>
    <row r="86" spans="1:22" ht="16.5" customHeight="1">
      <c r="A86" s="1281" t="s">
        <v>496</v>
      </c>
      <c r="B86" s="1281" t="s">
        <v>661</v>
      </c>
      <c r="C86" s="287" t="s">
        <v>440</v>
      </c>
      <c r="D86" s="1281" t="s">
        <v>13</v>
      </c>
      <c r="E86" s="40"/>
      <c r="F86" s="40"/>
      <c r="G86" s="40"/>
      <c r="H86" s="721">
        <v>250</v>
      </c>
      <c r="I86" s="722"/>
      <c r="J86" s="722"/>
      <c r="K86" s="722"/>
      <c r="L86" s="722"/>
      <c r="M86" s="722"/>
      <c r="N86" s="722"/>
      <c r="O86" s="40"/>
      <c r="P86" s="715"/>
      <c r="Q86" s="717"/>
      <c r="R86" s="715"/>
      <c r="S86" s="717"/>
      <c r="T86" s="717"/>
      <c r="U86" s="1297"/>
      <c r="V86" s="1351" t="s">
        <v>826</v>
      </c>
    </row>
    <row r="87" spans="1:22" ht="17.25" customHeight="1" thickBot="1">
      <c r="A87" s="1292" t="s">
        <v>496</v>
      </c>
      <c r="B87" s="1292" t="s">
        <v>661</v>
      </c>
      <c r="C87" s="289" t="s">
        <v>440</v>
      </c>
      <c r="D87" s="1292" t="s">
        <v>236</v>
      </c>
      <c r="E87" s="41"/>
      <c r="F87" s="41"/>
      <c r="G87" s="41"/>
      <c r="H87" s="725">
        <v>270</v>
      </c>
      <c r="I87" s="723"/>
      <c r="J87" s="723"/>
      <c r="K87" s="723"/>
      <c r="L87" s="723"/>
      <c r="M87" s="723"/>
      <c r="N87" s="723"/>
      <c r="O87" s="41"/>
      <c r="P87" s="716"/>
      <c r="Q87" s="718"/>
      <c r="R87" s="716"/>
      <c r="S87" s="718"/>
      <c r="T87" s="718"/>
      <c r="U87" s="1306"/>
      <c r="V87" s="1353"/>
    </row>
    <row r="88" spans="1:22">
      <c r="A88" s="1281" t="s">
        <v>614</v>
      </c>
      <c r="B88" s="1281" t="s">
        <v>611</v>
      </c>
      <c r="C88" s="711" t="s">
        <v>422</v>
      </c>
      <c r="D88" s="1281" t="s">
        <v>613</v>
      </c>
      <c r="E88" s="40"/>
      <c r="F88" s="40"/>
      <c r="G88" s="40"/>
      <c r="H88" s="721">
        <v>270</v>
      </c>
      <c r="I88" s="722"/>
      <c r="J88" s="722"/>
      <c r="K88" s="722"/>
      <c r="L88" s="722"/>
      <c r="M88" s="722"/>
      <c r="N88" s="722"/>
      <c r="O88" s="40">
        <v>100</v>
      </c>
      <c r="P88" s="715"/>
      <c r="Q88" s="717"/>
      <c r="R88" s="715"/>
      <c r="S88" s="717"/>
      <c r="T88" s="717"/>
      <c r="U88" s="1297"/>
      <c r="V88" s="1364"/>
    </row>
    <row r="89" spans="1:22" ht="17.25" customHeight="1" thickBot="1">
      <c r="A89" s="1292" t="s">
        <v>615</v>
      </c>
      <c r="B89" s="1292" t="s">
        <v>610</v>
      </c>
      <c r="C89" s="712"/>
      <c r="D89" s="1292" t="s">
        <v>612</v>
      </c>
      <c r="E89" s="41"/>
      <c r="F89" s="41"/>
      <c r="G89" s="41"/>
      <c r="H89" s="725">
        <v>300</v>
      </c>
      <c r="I89" s="723"/>
      <c r="J89" s="723"/>
      <c r="K89" s="723"/>
      <c r="L89" s="723"/>
      <c r="M89" s="723"/>
      <c r="N89" s="723"/>
      <c r="O89" s="41">
        <v>100</v>
      </c>
      <c r="P89" s="716"/>
      <c r="Q89" s="718"/>
      <c r="R89" s="716"/>
      <c r="S89" s="718"/>
      <c r="T89" s="718"/>
      <c r="U89" s="1306"/>
      <c r="V89" s="1363"/>
    </row>
    <row r="90" spans="1:22" ht="17.25" customHeight="1">
      <c r="A90" s="1281" t="s">
        <v>509</v>
      </c>
      <c r="B90" s="1281"/>
      <c r="C90" s="711"/>
      <c r="D90" s="1281"/>
      <c r="E90" s="40"/>
      <c r="F90" s="40"/>
      <c r="G90" s="40"/>
      <c r="H90" s="1251"/>
      <c r="I90" s="40"/>
      <c r="J90" s="40"/>
      <c r="K90" s="40"/>
      <c r="L90" s="40"/>
      <c r="M90" s="40"/>
      <c r="N90" s="40"/>
      <c r="O90" s="40"/>
      <c r="P90" s="715"/>
      <c r="Q90" s="717"/>
      <c r="R90" s="715"/>
      <c r="S90" s="717"/>
      <c r="T90" s="717"/>
      <c r="U90" s="1297"/>
      <c r="V90" s="1364"/>
    </row>
    <row r="91" spans="1:22" ht="17.25" customHeight="1" thickBot="1">
      <c r="A91" s="1292" t="s">
        <v>509</v>
      </c>
      <c r="B91" s="1292"/>
      <c r="C91" s="712"/>
      <c r="D91" s="1292"/>
      <c r="E91" s="41"/>
      <c r="F91" s="41"/>
      <c r="G91" s="41"/>
      <c r="H91" s="1256"/>
      <c r="I91" s="41"/>
      <c r="J91" s="41"/>
      <c r="K91" s="41"/>
      <c r="L91" s="41"/>
      <c r="M91" s="41"/>
      <c r="N91" s="41"/>
      <c r="O91" s="41"/>
      <c r="P91" s="716"/>
      <c r="Q91" s="718"/>
      <c r="R91" s="716"/>
      <c r="S91" s="718"/>
      <c r="T91" s="718"/>
      <c r="U91" s="1306"/>
      <c r="V91" s="1363"/>
    </row>
    <row r="92" spans="1:22">
      <c r="A92" s="1281" t="s">
        <v>830</v>
      </c>
      <c r="B92" s="1281"/>
      <c r="C92" s="711"/>
      <c r="D92" s="1281"/>
      <c r="E92" s="40"/>
      <c r="F92" s="40"/>
      <c r="G92" s="40"/>
      <c r="H92" s="1251"/>
      <c r="I92" s="40"/>
      <c r="J92" s="40"/>
      <c r="K92" s="40"/>
      <c r="L92" s="40"/>
      <c r="M92" s="40"/>
      <c r="N92" s="40"/>
      <c r="O92" s="40"/>
      <c r="P92" s="715"/>
      <c r="Q92" s="717"/>
      <c r="R92" s="715"/>
      <c r="S92" s="717"/>
      <c r="T92" s="717"/>
      <c r="U92" s="1297"/>
      <c r="V92" s="1364"/>
    </row>
    <row r="93" spans="1:22" ht="16" thickBot="1">
      <c r="A93" s="1292" t="s">
        <v>716</v>
      </c>
      <c r="B93" s="1292"/>
      <c r="C93" s="712"/>
      <c r="D93" s="1292"/>
      <c r="E93" s="41"/>
      <c r="F93" s="41"/>
      <c r="G93" s="41"/>
      <c r="H93" s="1256"/>
      <c r="I93" s="41"/>
      <c r="J93" s="41"/>
      <c r="K93" s="41"/>
      <c r="L93" s="41"/>
      <c r="M93" s="41"/>
      <c r="N93" s="41"/>
      <c r="O93" s="41"/>
      <c r="P93" s="716"/>
      <c r="Q93" s="718"/>
      <c r="R93" s="716"/>
      <c r="S93" s="718"/>
      <c r="T93" s="718"/>
      <c r="U93" s="1306"/>
      <c r="V93" s="1363"/>
    </row>
    <row r="94" spans="1:22">
      <c r="A94" s="1281" t="s">
        <v>470</v>
      </c>
      <c r="B94" s="1281"/>
      <c r="C94" s="711"/>
      <c r="D94" s="1281"/>
      <c r="E94" s="40"/>
      <c r="F94" s="40"/>
      <c r="G94" s="40"/>
      <c r="H94" s="1251"/>
      <c r="I94" s="40"/>
      <c r="J94" s="40"/>
      <c r="K94" s="40"/>
      <c r="L94" s="40"/>
      <c r="M94" s="40"/>
      <c r="N94" s="40"/>
      <c r="O94" s="40"/>
      <c r="P94" s="715"/>
      <c r="Q94" s="717"/>
      <c r="R94" s="715"/>
      <c r="S94" s="717"/>
      <c r="T94" s="717"/>
      <c r="U94" s="1295"/>
      <c r="V94" s="1364"/>
    </row>
    <row r="95" spans="1:22" ht="16" thickBot="1">
      <c r="A95" s="1292" t="s">
        <v>470</v>
      </c>
      <c r="B95" s="1292"/>
      <c r="C95" s="712"/>
      <c r="D95" s="1292"/>
      <c r="E95" s="41"/>
      <c r="F95" s="41"/>
      <c r="G95" s="41"/>
      <c r="H95" s="1256"/>
      <c r="I95" s="41"/>
      <c r="J95" s="41"/>
      <c r="K95" s="41"/>
      <c r="L95" s="41"/>
      <c r="M95" s="41"/>
      <c r="N95" s="41"/>
      <c r="O95" s="41"/>
      <c r="P95" s="716"/>
      <c r="Q95" s="718"/>
      <c r="R95" s="716"/>
      <c r="S95" s="718"/>
      <c r="T95" s="718"/>
      <c r="U95" s="1304"/>
      <c r="V95" s="1363"/>
    </row>
    <row r="96" spans="1:22">
      <c r="A96" s="352" t="s">
        <v>479</v>
      </c>
      <c r="C96" s="711"/>
      <c r="P96" s="715"/>
      <c r="Q96" s="717"/>
      <c r="R96" s="715"/>
      <c r="S96" s="717"/>
      <c r="T96" s="717"/>
      <c r="U96" s="1297"/>
      <c r="V96" s="1364"/>
    </row>
    <row r="97" spans="1:22" ht="16" thickBot="1">
      <c r="A97" s="352" t="s">
        <v>479</v>
      </c>
      <c r="C97" s="712"/>
      <c r="P97" s="716"/>
      <c r="Q97" s="718"/>
      <c r="R97" s="716"/>
      <c r="S97" s="718"/>
      <c r="T97" s="718"/>
      <c r="U97" s="1306"/>
      <c r="V97" s="1363"/>
    </row>
    <row r="98" spans="1:22">
      <c r="A98" s="1281" t="s">
        <v>480</v>
      </c>
      <c r="B98" s="1281" t="s">
        <v>638</v>
      </c>
      <c r="C98" s="287" t="s">
        <v>440</v>
      </c>
      <c r="D98" s="1281" t="s">
        <v>677</v>
      </c>
      <c r="E98" s="228"/>
      <c r="F98" s="228"/>
      <c r="G98" s="228"/>
      <c r="H98" s="721">
        <v>170</v>
      </c>
      <c r="I98" s="722"/>
      <c r="J98" s="722"/>
      <c r="K98" s="722"/>
      <c r="L98" s="722"/>
      <c r="M98" s="722"/>
      <c r="N98" s="722"/>
      <c r="O98" s="40">
        <v>90</v>
      </c>
      <c r="P98" s="237">
        <v>20</v>
      </c>
      <c r="Q98" s="238">
        <v>20</v>
      </c>
      <c r="R98" s="237">
        <v>380</v>
      </c>
      <c r="S98" s="238"/>
      <c r="T98" s="238"/>
      <c r="U98" s="1297"/>
      <c r="V98" s="1364"/>
    </row>
    <row r="99" spans="1:22" ht="17.25" customHeight="1" thickBot="1">
      <c r="A99" s="1292" t="s">
        <v>480</v>
      </c>
      <c r="B99" s="1292" t="s">
        <v>638</v>
      </c>
      <c r="C99" s="289" t="s">
        <v>440</v>
      </c>
      <c r="D99" s="1292" t="s">
        <v>236</v>
      </c>
      <c r="E99" s="232"/>
      <c r="F99" s="232"/>
      <c r="G99" s="232"/>
      <c r="H99" s="725">
        <v>180</v>
      </c>
      <c r="I99" s="723"/>
      <c r="J99" s="723"/>
      <c r="K99" s="723"/>
      <c r="L99" s="723"/>
      <c r="M99" s="723"/>
      <c r="N99" s="723"/>
      <c r="O99" s="41">
        <v>90</v>
      </c>
      <c r="P99" s="242">
        <v>20</v>
      </c>
      <c r="Q99" s="243">
        <v>20</v>
      </c>
      <c r="R99" s="242">
        <v>380</v>
      </c>
      <c r="S99" s="243"/>
      <c r="T99" s="243"/>
      <c r="U99" s="1306"/>
      <c r="V99" s="1363"/>
    </row>
    <row r="100" spans="1:22">
      <c r="A100" s="352" t="s">
        <v>481</v>
      </c>
      <c r="C100" s="711"/>
      <c r="P100" s="715"/>
      <c r="Q100" s="717"/>
      <c r="R100" s="715"/>
      <c r="S100" s="717"/>
      <c r="T100" s="717"/>
      <c r="U100" s="1297"/>
      <c r="V100" s="1364"/>
    </row>
    <row r="101" spans="1:22" ht="16" thickBot="1">
      <c r="A101" s="352" t="s">
        <v>482</v>
      </c>
      <c r="C101" s="712"/>
      <c r="P101" s="716"/>
      <c r="Q101" s="718"/>
      <c r="R101" s="716"/>
      <c r="S101" s="718"/>
      <c r="T101" s="718"/>
      <c r="U101" s="1306"/>
      <c r="V101" s="1363"/>
    </row>
    <row r="102" spans="1:22" ht="16.5" customHeight="1">
      <c r="A102" s="1281" t="s">
        <v>483</v>
      </c>
      <c r="B102" s="1281"/>
      <c r="C102" s="711"/>
      <c r="D102" s="1281"/>
      <c r="E102" s="40"/>
      <c r="F102" s="40"/>
      <c r="G102" s="40"/>
      <c r="H102" s="721">
        <v>240</v>
      </c>
      <c r="I102" s="722"/>
      <c r="J102" s="722"/>
      <c r="K102" s="722"/>
      <c r="L102" s="722"/>
      <c r="M102" s="722"/>
      <c r="N102" s="722"/>
      <c r="O102" s="40"/>
      <c r="P102" s="715"/>
      <c r="Q102" s="717"/>
      <c r="R102" s="715"/>
      <c r="S102" s="717"/>
      <c r="T102" s="717"/>
      <c r="U102" s="1297" t="s">
        <v>195</v>
      </c>
      <c r="V102" s="1364" t="s">
        <v>831</v>
      </c>
    </row>
    <row r="103" spans="1:22" ht="16" thickBot="1">
      <c r="A103" s="1292"/>
      <c r="B103" s="1292"/>
      <c r="C103" s="712"/>
      <c r="D103" s="1292"/>
      <c r="E103" s="41"/>
      <c r="F103" s="41"/>
      <c r="G103" s="41"/>
      <c r="H103" s="1256"/>
      <c r="I103" s="41"/>
      <c r="J103" s="41"/>
      <c r="K103" s="41"/>
      <c r="L103" s="41"/>
      <c r="M103" s="41"/>
      <c r="N103" s="41"/>
      <c r="O103" s="41"/>
      <c r="P103" s="716"/>
      <c r="Q103" s="718"/>
      <c r="R103" s="716"/>
      <c r="S103" s="718"/>
      <c r="T103" s="718"/>
      <c r="U103" s="1306"/>
      <c r="V103" s="1363"/>
    </row>
    <row r="104" spans="1:22">
      <c r="A104" s="352" t="s">
        <v>484</v>
      </c>
    </row>
    <row r="105" spans="1:22">
      <c r="A105" s="352" t="s">
        <v>486</v>
      </c>
    </row>
    <row r="106" spans="1:22">
      <c r="A106" s="352" t="s">
        <v>487</v>
      </c>
    </row>
    <row r="107" spans="1:22">
      <c r="A107" s="352" t="s">
        <v>488</v>
      </c>
    </row>
    <row r="108" spans="1:22">
      <c r="A108" s="352" t="s">
        <v>489</v>
      </c>
    </row>
    <row r="109" spans="1:22">
      <c r="A109" s="352" t="s">
        <v>490</v>
      </c>
    </row>
    <row r="110" spans="1:22">
      <c r="A110" s="352" t="s">
        <v>538</v>
      </c>
    </row>
    <row r="111" spans="1:22">
      <c r="A111" s="352" t="s">
        <v>620</v>
      </c>
    </row>
    <row r="112" spans="1:22">
      <c r="A112" s="352" t="s">
        <v>715</v>
      </c>
    </row>
  </sheetData>
  <protectedRanges>
    <protectedRange algorithmName="SHA-512" hashValue="1KBEcuQtlYi6rO43xyk72NZFnqMiimZjRAq61ekcdD5A2NysWBUQTGp6TmY6TNG+X1ntU21VgD1zvkS609JIrg==" saltValue="brL6QYkkAw8fP/UM5Njj5w==" spinCount="100000" sqref="V2 U2:U7 V7 C2:D7" name="범위1"/>
  </protectedRanges>
  <mergeCells count="353">
    <mergeCell ref="H5:N5"/>
    <mergeCell ref="H6:N6"/>
    <mergeCell ref="T90:T91"/>
    <mergeCell ref="T92:T93"/>
    <mergeCell ref="T94:T95"/>
    <mergeCell ref="T96:T97"/>
    <mergeCell ref="T100:T101"/>
    <mergeCell ref="T102:T103"/>
    <mergeCell ref="T72:T73"/>
    <mergeCell ref="T74:T75"/>
    <mergeCell ref="T76:T77"/>
    <mergeCell ref="T78:T79"/>
    <mergeCell ref="T80:T83"/>
    <mergeCell ref="T84:T85"/>
    <mergeCell ref="T55:T56"/>
    <mergeCell ref="T57:T58"/>
    <mergeCell ref="T59:T62"/>
    <mergeCell ref="T65:T68"/>
    <mergeCell ref="S102:S103"/>
    <mergeCell ref="R100:R101"/>
    <mergeCell ref="S100:S101"/>
    <mergeCell ref="C102:C103"/>
    <mergeCell ref="V102:V103"/>
    <mergeCell ref="U102:U103"/>
    <mergeCell ref="H102:N102"/>
    <mergeCell ref="P102:P103"/>
    <mergeCell ref="Q102:Q103"/>
    <mergeCell ref="R102:R103"/>
    <mergeCell ref="C100:C101"/>
    <mergeCell ref="V100:V101"/>
    <mergeCell ref="U100:U101"/>
    <mergeCell ref="P100:P101"/>
    <mergeCell ref="Q100:Q101"/>
    <mergeCell ref="R96:R97"/>
    <mergeCell ref="S96:S97"/>
    <mergeCell ref="V98:V99"/>
    <mergeCell ref="U98:U99"/>
    <mergeCell ref="H98:N98"/>
    <mergeCell ref="H99:N99"/>
    <mergeCell ref="C96:C97"/>
    <mergeCell ref="V96:V97"/>
    <mergeCell ref="U96:U97"/>
    <mergeCell ref="P96:P97"/>
    <mergeCell ref="Q96:Q97"/>
    <mergeCell ref="S92:S93"/>
    <mergeCell ref="C94:C95"/>
    <mergeCell ref="V94:V95"/>
    <mergeCell ref="U94:U95"/>
    <mergeCell ref="P94:P95"/>
    <mergeCell ref="Q94:Q95"/>
    <mergeCell ref="R94:R95"/>
    <mergeCell ref="S94:S95"/>
    <mergeCell ref="Q90:Q91"/>
    <mergeCell ref="R90:R91"/>
    <mergeCell ref="S90:S91"/>
    <mergeCell ref="C92:C93"/>
    <mergeCell ref="V92:V93"/>
    <mergeCell ref="U92:U93"/>
    <mergeCell ref="P92:P93"/>
    <mergeCell ref="Q92:Q93"/>
    <mergeCell ref="R92:R93"/>
    <mergeCell ref="P88:P89"/>
    <mergeCell ref="Q88:Q89"/>
    <mergeCell ref="R88:R89"/>
    <mergeCell ref="S88:S89"/>
    <mergeCell ref="H89:N89"/>
    <mergeCell ref="C90:C91"/>
    <mergeCell ref="V90:V91"/>
    <mergeCell ref="U90:U91"/>
    <mergeCell ref="P90:P91"/>
    <mergeCell ref="H87:N87"/>
    <mergeCell ref="C88:C89"/>
    <mergeCell ref="V88:V89"/>
    <mergeCell ref="U88:U89"/>
    <mergeCell ref="H88:N88"/>
    <mergeCell ref="T86:T87"/>
    <mergeCell ref="T88:T89"/>
    <mergeCell ref="R84:R85"/>
    <mergeCell ref="S84:S85"/>
    <mergeCell ref="V86:V87"/>
    <mergeCell ref="U86:U87"/>
    <mergeCell ref="H86:N86"/>
    <mergeCell ref="P86:P87"/>
    <mergeCell ref="Q86:Q87"/>
    <mergeCell ref="R86:R87"/>
    <mergeCell ref="S86:S87"/>
    <mergeCell ref="C84:C85"/>
    <mergeCell ref="V84:V85"/>
    <mergeCell ref="U84:U85"/>
    <mergeCell ref="P84:P85"/>
    <mergeCell ref="Q84:Q85"/>
    <mergeCell ref="S78:S79"/>
    <mergeCell ref="H79:N79"/>
    <mergeCell ref="C80:C83"/>
    <mergeCell ref="V80:V83"/>
    <mergeCell ref="U80:U83"/>
    <mergeCell ref="P80:P83"/>
    <mergeCell ref="Q80:Q83"/>
    <mergeCell ref="R80:R83"/>
    <mergeCell ref="S80:S83"/>
    <mergeCell ref="S76:S77"/>
    <mergeCell ref="H77:N77"/>
    <mergeCell ref="C78:C79"/>
    <mergeCell ref="V78:V79"/>
    <mergeCell ref="U78:U79"/>
    <mergeCell ref="H78:N78"/>
    <mergeCell ref="P78:P79"/>
    <mergeCell ref="Q78:Q79"/>
    <mergeCell ref="R78:R79"/>
    <mergeCell ref="R74:R75"/>
    <mergeCell ref="S74:S75"/>
    <mergeCell ref="C76:C77"/>
    <mergeCell ref="V76:V77"/>
    <mergeCell ref="U76:U77"/>
    <mergeCell ref="H76:N76"/>
    <mergeCell ref="P76:P77"/>
    <mergeCell ref="Q76:Q77"/>
    <mergeCell ref="R76:R77"/>
    <mergeCell ref="Q72:Q73"/>
    <mergeCell ref="R72:R73"/>
    <mergeCell ref="S72:S73"/>
    <mergeCell ref="H73:N73"/>
    <mergeCell ref="C74:C75"/>
    <mergeCell ref="V74:V75"/>
    <mergeCell ref="U74:U75"/>
    <mergeCell ref="P74:P75"/>
    <mergeCell ref="Q74:Q75"/>
    <mergeCell ref="Q70:Q71"/>
    <mergeCell ref="R70:R71"/>
    <mergeCell ref="S70:S71"/>
    <mergeCell ref="H71:N71"/>
    <mergeCell ref="C72:C73"/>
    <mergeCell ref="V72:V73"/>
    <mergeCell ref="U72:U73"/>
    <mergeCell ref="H72:N72"/>
    <mergeCell ref="P72:P73"/>
    <mergeCell ref="C70:C71"/>
    <mergeCell ref="V70:V71"/>
    <mergeCell ref="U70:U71"/>
    <mergeCell ref="H70:N70"/>
    <mergeCell ref="P70:P71"/>
    <mergeCell ref="T70:T71"/>
    <mergeCell ref="R65:R68"/>
    <mergeCell ref="S65:S68"/>
    <mergeCell ref="H66:N66"/>
    <mergeCell ref="H67:N67"/>
    <mergeCell ref="H68:K68"/>
    <mergeCell ref="L68:N68"/>
    <mergeCell ref="Q63:Q64"/>
    <mergeCell ref="R63:R64"/>
    <mergeCell ref="H64:N64"/>
    <mergeCell ref="C65:C68"/>
    <mergeCell ref="V65:V68"/>
    <mergeCell ref="U65:U68"/>
    <mergeCell ref="H65:N65"/>
    <mergeCell ref="P65:P68"/>
    <mergeCell ref="Q65:Q68"/>
    <mergeCell ref="C63:C64"/>
    <mergeCell ref="V63:V64"/>
    <mergeCell ref="U63:U64"/>
    <mergeCell ref="H63:N63"/>
    <mergeCell ref="P63:P64"/>
    <mergeCell ref="Q59:Q62"/>
    <mergeCell ref="R59:R62"/>
    <mergeCell ref="S59:S62"/>
    <mergeCell ref="H60:N60"/>
    <mergeCell ref="H61:K61"/>
    <mergeCell ref="L61:N61"/>
    <mergeCell ref="H62:K62"/>
    <mergeCell ref="L62:N62"/>
    <mergeCell ref="Q57:Q58"/>
    <mergeCell ref="R57:R58"/>
    <mergeCell ref="S57:S58"/>
    <mergeCell ref="H58:N58"/>
    <mergeCell ref="C59:C62"/>
    <mergeCell ref="V59:V62"/>
    <mergeCell ref="U59:U62"/>
    <mergeCell ref="H59:N59"/>
    <mergeCell ref="P59:P62"/>
    <mergeCell ref="Q55:Q56"/>
    <mergeCell ref="R55:R56"/>
    <mergeCell ref="S55:S56"/>
    <mergeCell ref="H56:N56"/>
    <mergeCell ref="C57:C58"/>
    <mergeCell ref="V57:V58"/>
    <mergeCell ref="U57:U58"/>
    <mergeCell ref="H57:N57"/>
    <mergeCell ref="P57:P58"/>
    <mergeCell ref="C55:C56"/>
    <mergeCell ref="V55:V56"/>
    <mergeCell ref="U55:U56"/>
    <mergeCell ref="H55:N55"/>
    <mergeCell ref="P55:P56"/>
    <mergeCell ref="Q51:Q54"/>
    <mergeCell ref="R51:R54"/>
    <mergeCell ref="S51:S54"/>
    <mergeCell ref="H52:N52"/>
    <mergeCell ref="H53:N53"/>
    <mergeCell ref="H54:N54"/>
    <mergeCell ref="S47:S50"/>
    <mergeCell ref="H48:N48"/>
    <mergeCell ref="H49:N49"/>
    <mergeCell ref="H50:N50"/>
    <mergeCell ref="C51:C54"/>
    <mergeCell ref="V51:V54"/>
    <mergeCell ref="U51:U54"/>
    <mergeCell ref="H51:N51"/>
    <mergeCell ref="P51:P54"/>
    <mergeCell ref="R43:R46"/>
    <mergeCell ref="S43:S46"/>
    <mergeCell ref="C47:C50"/>
    <mergeCell ref="V47:V50"/>
    <mergeCell ref="U47:U50"/>
    <mergeCell ref="H47:N47"/>
    <mergeCell ref="P47:P50"/>
    <mergeCell ref="Q47:Q50"/>
    <mergeCell ref="R47:R50"/>
    <mergeCell ref="Q41:Q42"/>
    <mergeCell ref="R41:R42"/>
    <mergeCell ref="S41:S42"/>
    <mergeCell ref="H42:N42"/>
    <mergeCell ref="C43:C46"/>
    <mergeCell ref="V43:V46"/>
    <mergeCell ref="U43:U46"/>
    <mergeCell ref="P43:P46"/>
    <mergeCell ref="Q43:Q46"/>
    <mergeCell ref="C41:C42"/>
    <mergeCell ref="V41:V42"/>
    <mergeCell ref="U41:U42"/>
    <mergeCell ref="H41:N41"/>
    <mergeCell ref="P41:P42"/>
    <mergeCell ref="P37:P40"/>
    <mergeCell ref="Q37:Q40"/>
    <mergeCell ref="R37:R40"/>
    <mergeCell ref="S37:S40"/>
    <mergeCell ref="H38:N38"/>
    <mergeCell ref="H39:N39"/>
    <mergeCell ref="H40:N40"/>
    <mergeCell ref="H35:N35"/>
    <mergeCell ref="C37:C40"/>
    <mergeCell ref="V37:V40"/>
    <mergeCell ref="U37:U40"/>
    <mergeCell ref="H37:N37"/>
    <mergeCell ref="Q31:Q32"/>
    <mergeCell ref="R31:R32"/>
    <mergeCell ref="S31:S32"/>
    <mergeCell ref="H32:N32"/>
    <mergeCell ref="C33:C36"/>
    <mergeCell ref="V33:V36"/>
    <mergeCell ref="U33:U36"/>
    <mergeCell ref="R33:R36"/>
    <mergeCell ref="S33:S36"/>
    <mergeCell ref="Q28:Q29"/>
    <mergeCell ref="R28:R29"/>
    <mergeCell ref="S28:S29"/>
    <mergeCell ref="H29:N29"/>
    <mergeCell ref="C31:C32"/>
    <mergeCell ref="V31:V32"/>
    <mergeCell ref="U31:U32"/>
    <mergeCell ref="H31:N31"/>
    <mergeCell ref="P31:P32"/>
    <mergeCell ref="Q26:Q27"/>
    <mergeCell ref="R26:R27"/>
    <mergeCell ref="S26:S27"/>
    <mergeCell ref="H27:N27"/>
    <mergeCell ref="C28:C29"/>
    <mergeCell ref="V28:V29"/>
    <mergeCell ref="U28:U29"/>
    <mergeCell ref="H28:N28"/>
    <mergeCell ref="P28:P29"/>
    <mergeCell ref="R22:R25"/>
    <mergeCell ref="S22:S25"/>
    <mergeCell ref="H24:N24"/>
    <mergeCell ref="H25:N25"/>
    <mergeCell ref="C26:C27"/>
    <mergeCell ref="V26:V27"/>
    <mergeCell ref="U26:U27"/>
    <mergeCell ref="H26:N26"/>
    <mergeCell ref="P26:P27"/>
    <mergeCell ref="C22:C25"/>
    <mergeCell ref="V22:V25"/>
    <mergeCell ref="U22:U25"/>
    <mergeCell ref="P22:P25"/>
    <mergeCell ref="Q22:Q25"/>
    <mergeCell ref="Q20:Q21"/>
    <mergeCell ref="R20:R21"/>
    <mergeCell ref="S20:S21"/>
    <mergeCell ref="H21:N21"/>
    <mergeCell ref="Q18:Q19"/>
    <mergeCell ref="R18:R19"/>
    <mergeCell ref="S18:S19"/>
    <mergeCell ref="H19:N19"/>
    <mergeCell ref="C20:C21"/>
    <mergeCell ref="V20:V21"/>
    <mergeCell ref="U20:U21"/>
    <mergeCell ref="H20:N20"/>
    <mergeCell ref="P20:P21"/>
    <mergeCell ref="Q16:Q17"/>
    <mergeCell ref="R16:R17"/>
    <mergeCell ref="S16:S17"/>
    <mergeCell ref="H17:N17"/>
    <mergeCell ref="C18:C19"/>
    <mergeCell ref="V18:V19"/>
    <mergeCell ref="U18:U19"/>
    <mergeCell ref="H18:N18"/>
    <mergeCell ref="P18:P19"/>
    <mergeCell ref="Q14:Q15"/>
    <mergeCell ref="R14:R15"/>
    <mergeCell ref="S14:S15"/>
    <mergeCell ref="H15:N15"/>
    <mergeCell ref="C16:C17"/>
    <mergeCell ref="V16:V17"/>
    <mergeCell ref="U16:U17"/>
    <mergeCell ref="H16:N16"/>
    <mergeCell ref="P16:P17"/>
    <mergeCell ref="C14:C15"/>
    <mergeCell ref="V14:V15"/>
    <mergeCell ref="U14:U15"/>
    <mergeCell ref="H14:N14"/>
    <mergeCell ref="P14:P15"/>
    <mergeCell ref="P11:P13"/>
    <mergeCell ref="Q11:Q13"/>
    <mergeCell ref="R11:R13"/>
    <mergeCell ref="S11:S13"/>
    <mergeCell ref="H12:N12"/>
    <mergeCell ref="H13:N13"/>
    <mergeCell ref="C11:C13"/>
    <mergeCell ref="V11:V13"/>
    <mergeCell ref="U11:U13"/>
    <mergeCell ref="H11:N11"/>
    <mergeCell ref="O11:O13"/>
    <mergeCell ref="P8:P10"/>
    <mergeCell ref="Q8:Q10"/>
    <mergeCell ref="R8:R10"/>
    <mergeCell ref="S8:S10"/>
    <mergeCell ref="H9:N9"/>
    <mergeCell ref="H10:N10"/>
    <mergeCell ref="C8:C10"/>
    <mergeCell ref="V8:V10"/>
    <mergeCell ref="U8:U10"/>
    <mergeCell ref="H8:N8"/>
    <mergeCell ref="O8:O10"/>
    <mergeCell ref="Q2:Q7"/>
    <mergeCell ref="R2:R7"/>
    <mergeCell ref="S2:S7"/>
    <mergeCell ref="H3:N3"/>
    <mergeCell ref="H4:N4"/>
    <mergeCell ref="H7:N7"/>
    <mergeCell ref="C2:C7"/>
    <mergeCell ref="V2:V7"/>
    <mergeCell ref="U2:U7"/>
    <mergeCell ref="H2:N2"/>
    <mergeCell ref="P2:P7"/>
  </mergeCells>
  <phoneticPr fontId="1" type="noConversion"/>
  <hyperlinks>
    <hyperlink ref="A2" r:id="rId1" xr:uid="{09CE497A-B87E-9846-BEBE-E4BC78162047}"/>
    <hyperlink ref="A8" r:id="rId2" display="호텔보스" xr:uid="{85231062-B47C-A749-B002-FF2EED5265A3}"/>
    <hyperlink ref="A11" r:id="rId3" xr:uid="{B63E6BF4-5BBA-7144-9F76-FC97BDC0BA62}"/>
    <hyperlink ref="A14" r:id="rId4" xr:uid="{BAA6B84E-41A1-3A43-8446-77ADB1918947}"/>
    <hyperlink ref="A16" r:id="rId5" xr:uid="{AD42DD94-5076-0441-A04C-B5F3BDE7BC33}"/>
    <hyperlink ref="A18" r:id="rId6" xr:uid="{ABB9423D-8775-0248-85EF-A8C1B5639872}"/>
    <hyperlink ref="A70" r:id="rId7" display="프라마 리버프론트" xr:uid="{5FE1559F-75C7-DB40-9352-67A4494A6726}"/>
    <hyperlink ref="A72" r:id="rId8" xr:uid="{80CC4833-65E5-8142-9F57-83388D5C0686}"/>
    <hyperlink ref="A26" r:id="rId9" xr:uid="{4327EBAF-CB49-E842-BC68-8E36A316AC27}"/>
    <hyperlink ref="A22" r:id="rId10" xr:uid="{698F037A-E325-014C-94BA-BB101F129C0D}"/>
    <hyperlink ref="A76" r:id="rId11" xr:uid="{CECD079C-7A55-6543-82E3-F19B0E910B2A}"/>
    <hyperlink ref="A57" r:id="rId12" xr:uid="{0344AF58-B0E2-B845-BC9D-1B0844A86275}"/>
    <hyperlink ref="A78" r:id="rId13" xr:uid="{C47A663F-76EA-DF4F-9796-D7E9DC1E527B}"/>
    <hyperlink ref="A37" r:id="rId14" xr:uid="{4C8F6E01-B6F0-0346-9284-DCBCF21A2DC0}"/>
    <hyperlink ref="A33" r:id="rId15" xr:uid="{CE5AE5E8-1707-884F-839E-63C508011ADE}"/>
    <hyperlink ref="A41" r:id="rId16" xr:uid="{0BE60D1B-FDA8-9C41-8470-768EDC78FE12}"/>
    <hyperlink ref="A43" r:id="rId17" xr:uid="{48C29D9E-1CE5-4C44-B028-D713917B4F19}"/>
    <hyperlink ref="A47" r:id="rId18" xr:uid="{077E98C2-BD02-0841-A67C-BEC910738BBD}"/>
    <hyperlink ref="A61" r:id="rId19" xr:uid="{EA73AD75-E267-1B4B-923A-40F199C69849}"/>
    <hyperlink ref="A63" r:id="rId20" xr:uid="{837904E9-46F9-3B42-8788-C98D89621ACF}"/>
    <hyperlink ref="A65" r:id="rId21" xr:uid="{478E7040-3ABA-C94D-AC00-FD96A9E35246}"/>
    <hyperlink ref="A74" r:id="rId22" xr:uid="{3A437D60-EA3E-7E42-BF4A-C65453C92823}"/>
    <hyperlink ref="A55" r:id="rId23" xr:uid="{846481DE-FD67-9B4C-8183-A588EA3AC995}"/>
    <hyperlink ref="A9" r:id="rId24" display="호텔보스" xr:uid="{B3C8C9C7-2D9F-E540-B604-E049639676B3}"/>
    <hyperlink ref="A20" r:id="rId25" display="홀리데이인  익스프레스 카통" xr:uid="{C049E7FA-934D-4B42-9E07-27C3DC0B0F08}"/>
    <hyperlink ref="A28" r:id="rId26" xr:uid="{4ADA8296-F7C9-2B4D-8BC0-D72B604A5939}"/>
    <hyperlink ref="A80" r:id="rId27" xr:uid="{5CCCD882-606B-AD4E-983B-27B5940D9B33}"/>
    <hyperlink ref="A31" r:id="rId28" xr:uid="{2C036E17-CFB2-EC41-82DE-72749A51FC81}"/>
    <hyperlink ref="A5" r:id="rId29" xr:uid="{86840460-2EB5-0F4F-923E-2AB6A3D4A25E}"/>
  </hyperlinks>
  <pageMargins left="0.7" right="0.7" top="0.75" bottom="0.75" header="0.3" footer="0.3"/>
  <pageSetup paperSize="9" orientation="portrait" r:id="rId3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1B5E9-7B17-4C5D-80F8-F428633B49D8}">
  <dimension ref="A1:L83"/>
  <sheetViews>
    <sheetView zoomScale="200" zoomScaleNormal="100" workbookViewId="0">
      <selection activeCell="J24" sqref="J24"/>
    </sheetView>
  </sheetViews>
  <sheetFormatPr baseColWidth="10" defaultColWidth="9" defaultRowHeight="14"/>
  <cols>
    <col min="1" max="1" width="14.6640625" style="7" bestFit="1" customWidth="1"/>
    <col min="2" max="2" width="44" style="7" customWidth="1"/>
    <col min="3" max="3" width="34.5" style="7" customWidth="1"/>
    <col min="4" max="4" width="1.1640625" style="7" customWidth="1"/>
    <col min="5" max="6" width="7.5" style="10" bestFit="1" customWidth="1"/>
    <col min="7" max="8" width="5" style="10" bestFit="1" customWidth="1"/>
    <col min="9" max="9" width="35.1640625" style="10" bestFit="1" customWidth="1"/>
    <col min="10" max="10" width="11.1640625" style="7" customWidth="1"/>
    <col min="11" max="16384" width="9" style="7"/>
  </cols>
  <sheetData>
    <row r="1" spans="1:9">
      <c r="E1" s="840" t="s">
        <v>111</v>
      </c>
      <c r="F1" s="841"/>
      <c r="G1" s="842" t="s">
        <v>116</v>
      </c>
      <c r="H1" s="842"/>
      <c r="I1" s="10" t="s">
        <v>193</v>
      </c>
    </row>
    <row r="2" spans="1:9" ht="15" thickBot="1">
      <c r="A2" s="10" t="s">
        <v>105</v>
      </c>
      <c r="B2" s="10" t="s">
        <v>106</v>
      </c>
      <c r="C2" s="10" t="s">
        <v>107</v>
      </c>
      <c r="E2" s="22" t="s">
        <v>108</v>
      </c>
      <c r="F2" s="23" t="s">
        <v>109</v>
      </c>
    </row>
    <row r="3" spans="1:9" ht="15">
      <c r="A3" s="12" t="s">
        <v>114</v>
      </c>
      <c r="B3" s="13" t="s">
        <v>91</v>
      </c>
      <c r="C3" s="13" t="s">
        <v>115</v>
      </c>
      <c r="D3" s="17"/>
      <c r="E3" s="20">
        <v>75.3</v>
      </c>
      <c r="F3" s="21">
        <v>59.3</v>
      </c>
      <c r="G3" s="31">
        <v>83</v>
      </c>
      <c r="H3" s="21">
        <v>62</v>
      </c>
      <c r="I3" s="71"/>
    </row>
    <row r="4" spans="1:9" ht="15">
      <c r="A4" s="258" t="s">
        <v>102</v>
      </c>
      <c r="B4" s="259" t="s">
        <v>1343</v>
      </c>
      <c r="C4" s="259" t="s">
        <v>1344</v>
      </c>
      <c r="D4" s="260"/>
      <c r="E4" s="843">
        <v>85</v>
      </c>
      <c r="F4" s="844"/>
      <c r="G4" s="263">
        <v>100</v>
      </c>
      <c r="H4" s="262">
        <v>100</v>
      </c>
      <c r="I4" s="839" t="s">
        <v>237</v>
      </c>
    </row>
    <row r="5" spans="1:9" ht="15">
      <c r="A5" s="258" t="s">
        <v>102</v>
      </c>
      <c r="B5" s="259" t="s">
        <v>1345</v>
      </c>
      <c r="C5" s="259" t="s">
        <v>1346</v>
      </c>
      <c r="D5" s="260"/>
      <c r="E5" s="843">
        <v>111</v>
      </c>
      <c r="F5" s="844"/>
      <c r="G5" s="263">
        <v>110</v>
      </c>
      <c r="H5" s="262">
        <v>110</v>
      </c>
      <c r="I5" s="839"/>
    </row>
    <row r="6" spans="1:9" ht="16" thickBot="1">
      <c r="A6" s="258" t="s">
        <v>102</v>
      </c>
      <c r="B6" s="259" t="s">
        <v>1347</v>
      </c>
      <c r="C6" s="259" t="s">
        <v>1348</v>
      </c>
      <c r="D6" s="260"/>
      <c r="E6" s="843">
        <v>196</v>
      </c>
      <c r="F6" s="844"/>
      <c r="G6" s="263">
        <v>205</v>
      </c>
      <c r="H6" s="262">
        <v>205</v>
      </c>
      <c r="I6" s="839"/>
    </row>
    <row r="7" spans="1:9" ht="16" thickBot="1">
      <c r="A7" s="669" t="s">
        <v>99</v>
      </c>
      <c r="B7" s="670" t="s">
        <v>1349</v>
      </c>
      <c r="C7" s="670" t="s">
        <v>1350</v>
      </c>
      <c r="D7" s="671"/>
      <c r="E7" s="672">
        <v>49</v>
      </c>
      <c r="F7" s="673">
        <v>39</v>
      </c>
      <c r="G7" s="674">
        <v>69</v>
      </c>
      <c r="H7" s="673">
        <v>59</v>
      </c>
      <c r="I7" s="71"/>
    </row>
    <row r="8" spans="1:9" ht="15">
      <c r="A8" s="14" t="s">
        <v>102</v>
      </c>
      <c r="B8" s="6" t="s">
        <v>118</v>
      </c>
      <c r="C8" s="6" t="s">
        <v>117</v>
      </c>
      <c r="E8" s="22">
        <v>35.299999999999997</v>
      </c>
      <c r="F8" s="23">
        <v>28.3</v>
      </c>
      <c r="G8" s="10">
        <v>40</v>
      </c>
      <c r="H8" s="23">
        <v>32</v>
      </c>
    </row>
    <row r="9" spans="1:9" ht="16" thickBot="1">
      <c r="A9" s="14" t="s">
        <v>103</v>
      </c>
      <c r="B9" s="6" t="s">
        <v>92</v>
      </c>
      <c r="C9" s="6" t="s">
        <v>847</v>
      </c>
      <c r="E9" s="22">
        <v>41.3</v>
      </c>
      <c r="F9" s="23">
        <v>31.3</v>
      </c>
      <c r="G9" s="10">
        <v>44</v>
      </c>
      <c r="H9" s="23">
        <v>33</v>
      </c>
    </row>
    <row r="10" spans="1:9" ht="15">
      <c r="A10" s="61" t="s">
        <v>101</v>
      </c>
      <c r="B10" s="62" t="s">
        <v>230</v>
      </c>
      <c r="C10" s="62" t="s">
        <v>226</v>
      </c>
      <c r="D10" s="63"/>
      <c r="E10" s="212">
        <v>22</v>
      </c>
      <c r="F10" s="212">
        <v>18</v>
      </c>
      <c r="G10" s="212">
        <v>35</v>
      </c>
      <c r="H10" s="213">
        <v>25</v>
      </c>
      <c r="I10" s="839" t="s">
        <v>228</v>
      </c>
    </row>
    <row r="11" spans="1:9" ht="16" thickBot="1">
      <c r="A11" s="15" t="s">
        <v>101</v>
      </c>
      <c r="B11" s="16" t="s">
        <v>229</v>
      </c>
      <c r="C11" s="16" t="s">
        <v>227</v>
      </c>
      <c r="D11" s="19"/>
      <c r="E11" s="32">
        <v>20</v>
      </c>
      <c r="F11" s="32">
        <v>15</v>
      </c>
      <c r="G11" s="32">
        <v>33</v>
      </c>
      <c r="H11" s="30">
        <v>22</v>
      </c>
      <c r="I11" s="839"/>
    </row>
    <row r="12" spans="1:9" ht="16" thickBot="1">
      <c r="A12" s="15" t="s">
        <v>98</v>
      </c>
      <c r="B12" s="16" t="s">
        <v>50</v>
      </c>
      <c r="C12" s="16" t="s">
        <v>848</v>
      </c>
      <c r="D12" s="19"/>
      <c r="E12" s="25">
        <v>13.5</v>
      </c>
      <c r="F12" s="30">
        <v>11</v>
      </c>
      <c r="G12" s="32">
        <v>20</v>
      </c>
      <c r="H12" s="30">
        <v>17</v>
      </c>
    </row>
    <row r="13" spans="1:9" ht="16" thickBot="1">
      <c r="A13" s="12" t="s">
        <v>98</v>
      </c>
      <c r="B13" s="13" t="s">
        <v>172</v>
      </c>
      <c r="C13" s="13" t="s">
        <v>178</v>
      </c>
      <c r="D13" s="17"/>
      <c r="E13" s="849" t="s">
        <v>287</v>
      </c>
      <c r="F13" s="850"/>
      <c r="G13" s="31">
        <v>19</v>
      </c>
      <c r="H13" s="21">
        <v>19</v>
      </c>
      <c r="I13" s="10" t="s">
        <v>286</v>
      </c>
    </row>
    <row r="14" spans="1:9" ht="15">
      <c r="A14" s="12" t="s">
        <v>98</v>
      </c>
      <c r="B14" s="13" t="s">
        <v>1063</v>
      </c>
      <c r="C14" s="13" t="s">
        <v>178</v>
      </c>
      <c r="E14" s="849" t="s">
        <v>1064</v>
      </c>
      <c r="F14" s="850"/>
      <c r="G14" s="31">
        <v>28</v>
      </c>
      <c r="H14" s="21">
        <v>28</v>
      </c>
    </row>
    <row r="15" spans="1:9" ht="15">
      <c r="A15" s="258" t="s">
        <v>98</v>
      </c>
      <c r="B15" s="259" t="s">
        <v>171</v>
      </c>
      <c r="C15" s="259" t="s">
        <v>173</v>
      </c>
      <c r="D15" s="260"/>
      <c r="E15" s="843">
        <v>26</v>
      </c>
      <c r="F15" s="844"/>
      <c r="G15" s="843">
        <v>49</v>
      </c>
      <c r="H15" s="844"/>
    </row>
    <row r="16" spans="1:9" ht="15">
      <c r="A16" s="258" t="s">
        <v>98</v>
      </c>
      <c r="B16" s="259" t="s">
        <v>170</v>
      </c>
      <c r="C16" s="259" t="s">
        <v>174</v>
      </c>
      <c r="D16" s="260"/>
      <c r="E16" s="843">
        <v>24</v>
      </c>
      <c r="F16" s="844"/>
      <c r="G16" s="843">
        <v>49</v>
      </c>
      <c r="H16" s="844"/>
    </row>
    <row r="17" spans="1:9" ht="16" thickBot="1">
      <c r="A17" s="15" t="s">
        <v>98</v>
      </c>
      <c r="B17" s="33" t="s">
        <v>176</v>
      </c>
      <c r="C17" s="16" t="s">
        <v>175</v>
      </c>
      <c r="D17" s="19"/>
      <c r="E17" s="25">
        <v>43</v>
      </c>
      <c r="F17" s="30">
        <v>39</v>
      </c>
      <c r="G17" s="32">
        <v>84</v>
      </c>
      <c r="H17" s="30">
        <v>74</v>
      </c>
    </row>
    <row r="18" spans="1:9" ht="15">
      <c r="A18" s="264" t="s">
        <v>98</v>
      </c>
      <c r="B18" s="265" t="s">
        <v>35</v>
      </c>
      <c r="C18" s="265" t="s">
        <v>168</v>
      </c>
      <c r="D18" s="266"/>
      <c r="E18" s="845">
        <v>26.8</v>
      </c>
      <c r="F18" s="846"/>
      <c r="G18" s="845">
        <v>48</v>
      </c>
      <c r="H18" s="846"/>
    </row>
    <row r="19" spans="1:9" ht="15">
      <c r="A19" s="14" t="s">
        <v>98</v>
      </c>
      <c r="B19" s="6" t="s">
        <v>35</v>
      </c>
      <c r="C19" s="6" t="s">
        <v>113</v>
      </c>
      <c r="E19" s="847">
        <v>22.8</v>
      </c>
      <c r="F19" s="848"/>
      <c r="G19" s="847">
        <v>42</v>
      </c>
      <c r="H19" s="848"/>
    </row>
    <row r="20" spans="1:9" ht="16" thickBot="1">
      <c r="A20" s="15" t="s">
        <v>98</v>
      </c>
      <c r="B20" s="16" t="s">
        <v>221</v>
      </c>
      <c r="C20" s="16" t="s">
        <v>169</v>
      </c>
      <c r="D20" s="19"/>
      <c r="E20" s="851">
        <v>31.5</v>
      </c>
      <c r="F20" s="852"/>
      <c r="G20" s="851">
        <v>35</v>
      </c>
      <c r="H20" s="852"/>
    </row>
    <row r="21" spans="1:9" ht="15">
      <c r="A21" s="54" t="s">
        <v>98</v>
      </c>
      <c r="B21" s="54" t="s">
        <v>177</v>
      </c>
      <c r="C21" s="54" t="s">
        <v>30</v>
      </c>
      <c r="D21" s="56"/>
      <c r="E21" s="57">
        <v>17</v>
      </c>
      <c r="F21" s="58">
        <v>17</v>
      </c>
      <c r="G21" s="55">
        <v>59</v>
      </c>
      <c r="H21" s="55">
        <v>49</v>
      </c>
    </row>
    <row r="22" spans="1:9" ht="15">
      <c r="A22" s="6" t="s">
        <v>98</v>
      </c>
      <c r="B22" s="6" t="s">
        <v>203</v>
      </c>
      <c r="C22" s="6" t="s">
        <v>204</v>
      </c>
      <c r="E22" s="22">
        <v>33.75</v>
      </c>
      <c r="F22" s="23">
        <v>26</v>
      </c>
      <c r="G22" s="10">
        <v>45</v>
      </c>
      <c r="H22" s="10">
        <v>35</v>
      </c>
    </row>
    <row r="23" spans="1:9" ht="15">
      <c r="A23" s="259" t="s">
        <v>98</v>
      </c>
      <c r="B23" s="259" t="s">
        <v>207</v>
      </c>
      <c r="C23" s="259" t="s">
        <v>205</v>
      </c>
      <c r="D23" s="260"/>
      <c r="E23" s="261">
        <v>49.3</v>
      </c>
      <c r="F23" s="262">
        <v>35.299999999999997</v>
      </c>
      <c r="G23" s="263">
        <v>70</v>
      </c>
      <c r="H23" s="263">
        <v>50</v>
      </c>
    </row>
    <row r="24" spans="1:9" ht="16" thickBot="1">
      <c r="A24" s="6" t="s">
        <v>98</v>
      </c>
      <c r="B24" s="6" t="s">
        <v>208</v>
      </c>
      <c r="C24" s="6" t="s">
        <v>206</v>
      </c>
      <c r="E24" s="22">
        <v>21.3</v>
      </c>
      <c r="F24" s="23">
        <v>14.3</v>
      </c>
      <c r="G24" s="10">
        <v>30</v>
      </c>
      <c r="H24" s="10">
        <v>20</v>
      </c>
    </row>
    <row r="25" spans="1:9" ht="15">
      <c r="A25" s="61" t="s">
        <v>98</v>
      </c>
      <c r="B25" s="62" t="s">
        <v>709</v>
      </c>
      <c r="C25" s="62" t="s">
        <v>701</v>
      </c>
      <c r="D25" s="63"/>
      <c r="E25" s="375">
        <v>18.3</v>
      </c>
      <c r="F25" s="213">
        <v>10.3</v>
      </c>
      <c r="G25" s="212">
        <v>34</v>
      </c>
      <c r="H25" s="213">
        <v>21</v>
      </c>
    </row>
    <row r="26" spans="1:9" ht="16.5" customHeight="1">
      <c r="A26" s="14" t="s">
        <v>98</v>
      </c>
      <c r="B26" s="6" t="s">
        <v>708</v>
      </c>
      <c r="C26" s="6" t="s">
        <v>31</v>
      </c>
      <c r="E26" s="22">
        <v>18.2</v>
      </c>
      <c r="F26" s="23">
        <v>10.199999999999999</v>
      </c>
      <c r="G26" s="10">
        <v>32</v>
      </c>
      <c r="H26" s="23">
        <v>18</v>
      </c>
      <c r="I26" s="853" t="s">
        <v>1330</v>
      </c>
    </row>
    <row r="27" spans="1:9" ht="16" thickBot="1">
      <c r="A27" s="64" t="s">
        <v>98</v>
      </c>
      <c r="B27" s="65" t="s">
        <v>707</v>
      </c>
      <c r="C27" s="675" t="s">
        <v>1359</v>
      </c>
      <c r="D27" s="66"/>
      <c r="E27" s="376">
        <v>28.3</v>
      </c>
      <c r="F27" s="377">
        <v>20.3</v>
      </c>
      <c r="G27" s="378"/>
      <c r="H27" s="377"/>
      <c r="I27" s="853"/>
    </row>
    <row r="28" spans="1:9" ht="15">
      <c r="A28" s="6" t="s">
        <v>98</v>
      </c>
      <c r="B28" s="6" t="s">
        <v>209</v>
      </c>
      <c r="C28" s="6" t="s">
        <v>32</v>
      </c>
      <c r="E28" s="22">
        <v>7.5</v>
      </c>
      <c r="F28" s="23">
        <v>7.5</v>
      </c>
      <c r="G28" s="10">
        <v>15</v>
      </c>
      <c r="H28" s="10">
        <v>15</v>
      </c>
    </row>
    <row r="29" spans="1:9" ht="15">
      <c r="A29" s="6" t="s">
        <v>98</v>
      </c>
      <c r="B29" s="6" t="s">
        <v>210</v>
      </c>
      <c r="C29" s="6" t="s">
        <v>53</v>
      </c>
      <c r="E29" s="22">
        <v>36.299999999999997</v>
      </c>
      <c r="F29" s="23">
        <v>22.8</v>
      </c>
      <c r="G29" s="10">
        <v>40</v>
      </c>
      <c r="H29" s="10">
        <v>25</v>
      </c>
      <c r="I29" s="10" t="s">
        <v>223</v>
      </c>
    </row>
    <row r="30" spans="1:9" ht="15">
      <c r="A30" s="6" t="s">
        <v>99</v>
      </c>
      <c r="B30" s="6" t="s">
        <v>211</v>
      </c>
      <c r="C30" s="6" t="s">
        <v>849</v>
      </c>
      <c r="E30" s="59">
        <v>15</v>
      </c>
      <c r="F30" s="60">
        <v>15</v>
      </c>
      <c r="G30" s="10">
        <v>28</v>
      </c>
      <c r="H30" s="10">
        <v>18</v>
      </c>
    </row>
    <row r="31" spans="1:9" ht="15">
      <c r="A31" s="6" t="s">
        <v>99</v>
      </c>
      <c r="B31" s="6" t="s">
        <v>78</v>
      </c>
      <c r="C31" s="6" t="s">
        <v>167</v>
      </c>
      <c r="E31" s="22">
        <v>200</v>
      </c>
      <c r="F31" s="23">
        <v>200</v>
      </c>
    </row>
    <row r="32" spans="1:9" ht="15">
      <c r="A32" s="6" t="s">
        <v>100</v>
      </c>
      <c r="B32" s="6" t="s">
        <v>212</v>
      </c>
      <c r="C32" s="6" t="s">
        <v>85</v>
      </c>
      <c r="E32" s="22">
        <v>13.3</v>
      </c>
      <c r="F32" s="23">
        <v>10.3</v>
      </c>
      <c r="G32" s="10">
        <v>15</v>
      </c>
      <c r="H32" s="10">
        <v>11</v>
      </c>
    </row>
    <row r="33" spans="1:12" ht="15">
      <c r="A33" s="6" t="s">
        <v>100</v>
      </c>
      <c r="B33" s="6" t="s">
        <v>213</v>
      </c>
      <c r="C33" s="6" t="s">
        <v>86</v>
      </c>
      <c r="E33" s="22">
        <v>10.3</v>
      </c>
      <c r="F33" s="23">
        <v>10.3</v>
      </c>
      <c r="G33" s="10">
        <v>20</v>
      </c>
      <c r="H33" s="10">
        <v>14</v>
      </c>
    </row>
    <row r="34" spans="1:12" ht="15">
      <c r="A34" s="6" t="s">
        <v>100</v>
      </c>
      <c r="B34" s="6" t="s">
        <v>214</v>
      </c>
      <c r="C34" s="6" t="s">
        <v>87</v>
      </c>
      <c r="E34" s="22">
        <v>8.3000000000000007</v>
      </c>
      <c r="F34" s="23">
        <v>5.8</v>
      </c>
      <c r="G34" s="10">
        <v>12</v>
      </c>
      <c r="H34" s="10">
        <v>8</v>
      </c>
    </row>
    <row r="35" spans="1:12" ht="15">
      <c r="A35" s="6" t="s">
        <v>101</v>
      </c>
      <c r="B35" s="6" t="s">
        <v>215</v>
      </c>
      <c r="C35" s="6" t="s">
        <v>90</v>
      </c>
      <c r="E35" s="22">
        <v>34.299999999999997</v>
      </c>
      <c r="F35" s="23">
        <v>29.3</v>
      </c>
      <c r="G35" s="10">
        <v>36</v>
      </c>
      <c r="H35" s="10">
        <v>32</v>
      </c>
    </row>
    <row r="36" spans="1:12" ht="16" thickBot="1">
      <c r="A36" s="267" t="s">
        <v>101</v>
      </c>
      <c r="B36" s="267" t="s">
        <v>216</v>
      </c>
      <c r="C36" s="267" t="s">
        <v>90</v>
      </c>
      <c r="D36" s="268"/>
      <c r="E36" s="269">
        <v>30.3</v>
      </c>
      <c r="F36" s="270">
        <v>29.3</v>
      </c>
      <c r="G36" s="271">
        <v>32</v>
      </c>
      <c r="H36" s="271">
        <v>28</v>
      </c>
      <c r="I36" s="10" t="s">
        <v>222</v>
      </c>
    </row>
    <row r="37" spans="1:12" ht="15">
      <c r="A37" s="12" t="s">
        <v>103</v>
      </c>
      <c r="B37" s="13" t="s">
        <v>179</v>
      </c>
      <c r="C37" s="13" t="s">
        <v>112</v>
      </c>
      <c r="D37" s="17"/>
      <c r="E37" s="20">
        <v>42.84</v>
      </c>
      <c r="F37" s="21">
        <v>29.84</v>
      </c>
      <c r="G37" s="31">
        <v>50.4</v>
      </c>
      <c r="H37" s="21">
        <v>35.1</v>
      </c>
      <c r="I37" s="847" t="s">
        <v>224</v>
      </c>
    </row>
    <row r="38" spans="1:12" ht="15">
      <c r="A38" s="14" t="s">
        <v>103</v>
      </c>
      <c r="B38" s="9" t="s">
        <v>466</v>
      </c>
      <c r="C38" s="6" t="s">
        <v>93</v>
      </c>
      <c r="E38" s="42">
        <v>23.5</v>
      </c>
      <c r="F38" s="43">
        <f>15.5+5</f>
        <v>20.5</v>
      </c>
      <c r="G38" s="10">
        <v>43</v>
      </c>
      <c r="H38" s="23">
        <v>31</v>
      </c>
      <c r="I38" s="847"/>
      <c r="K38" s="7" t="s">
        <v>231</v>
      </c>
    </row>
    <row r="39" spans="1:12" ht="15">
      <c r="A39" s="214" t="s">
        <v>103</v>
      </c>
      <c r="B39" s="207" t="s">
        <v>181</v>
      </c>
      <c r="C39" s="207" t="s">
        <v>94</v>
      </c>
      <c r="D39" s="208"/>
      <c r="E39" s="209">
        <f>E38+5</f>
        <v>28.5</v>
      </c>
      <c r="F39" s="210">
        <f>F38+5</f>
        <v>25.5</v>
      </c>
      <c r="G39" s="211">
        <f>G38+5</f>
        <v>48</v>
      </c>
      <c r="H39" s="210">
        <f>H38+5</f>
        <v>36</v>
      </c>
      <c r="I39" s="847"/>
      <c r="K39" s="7">
        <v>20</v>
      </c>
    </row>
    <row r="40" spans="1:12" ht="15">
      <c r="A40" s="14" t="s">
        <v>103</v>
      </c>
      <c r="B40" s="6" t="s">
        <v>180</v>
      </c>
      <c r="C40" s="6" t="s">
        <v>329</v>
      </c>
      <c r="E40" s="22">
        <v>24.5</v>
      </c>
      <c r="F40" s="23">
        <v>24.5</v>
      </c>
      <c r="G40" s="10">
        <v>49</v>
      </c>
      <c r="H40" s="23">
        <v>34</v>
      </c>
      <c r="I40" s="847"/>
      <c r="J40" s="7">
        <v>54.3</v>
      </c>
      <c r="K40" s="7">
        <f>J40-E40</f>
        <v>29.799999999999997</v>
      </c>
      <c r="L40" s="7">
        <f>E38/2</f>
        <v>11.75</v>
      </c>
    </row>
    <row r="41" spans="1:12" ht="15">
      <c r="A41" s="273" t="s">
        <v>469</v>
      </c>
      <c r="B41" s="274" t="s">
        <v>467</v>
      </c>
      <c r="C41" s="274" t="s">
        <v>468</v>
      </c>
      <c r="D41" s="159"/>
      <c r="E41" s="272">
        <v>54.3</v>
      </c>
      <c r="F41" s="275">
        <v>48.9</v>
      </c>
      <c r="H41" s="23"/>
      <c r="I41" s="847"/>
    </row>
    <row r="42" spans="1:12" ht="15">
      <c r="A42" s="14" t="s">
        <v>103</v>
      </c>
      <c r="B42" s="6" t="s">
        <v>182</v>
      </c>
      <c r="C42" s="6" t="s">
        <v>183</v>
      </c>
      <c r="E42" s="22">
        <v>76</v>
      </c>
      <c r="F42" s="23">
        <v>47.5</v>
      </c>
      <c r="G42" s="10">
        <v>80</v>
      </c>
      <c r="H42" s="23">
        <v>50</v>
      </c>
      <c r="I42" s="847"/>
      <c r="J42" s="7">
        <f>J40+L40</f>
        <v>66.05</v>
      </c>
    </row>
    <row r="43" spans="1:12" ht="16" thickBot="1">
      <c r="A43" s="15" t="s">
        <v>103</v>
      </c>
      <c r="B43" s="16" t="s">
        <v>95</v>
      </c>
      <c r="C43" s="16" t="s">
        <v>96</v>
      </c>
      <c r="D43" s="19"/>
      <c r="E43" s="25">
        <v>41.65</v>
      </c>
      <c r="F43" s="30">
        <v>28.9</v>
      </c>
      <c r="G43" s="32">
        <v>49</v>
      </c>
      <c r="H43" s="30">
        <v>34</v>
      </c>
      <c r="I43" s="847"/>
    </row>
    <row r="44" spans="1:12" ht="15">
      <c r="A44" s="6"/>
      <c r="B44" s="6" t="s">
        <v>463</v>
      </c>
      <c r="C44" s="6"/>
      <c r="E44" s="22">
        <v>40</v>
      </c>
      <c r="F44" s="23">
        <v>40</v>
      </c>
      <c r="G44" s="10">
        <v>60</v>
      </c>
      <c r="H44" s="10">
        <v>60</v>
      </c>
    </row>
    <row r="45" spans="1:12">
      <c r="A45" s="6"/>
      <c r="B45" s="6"/>
      <c r="C45" s="6"/>
      <c r="E45" s="22"/>
      <c r="F45" s="23"/>
    </row>
    <row r="46" spans="1:12" ht="15">
      <c r="A46" s="8" t="s">
        <v>104</v>
      </c>
      <c r="B46" s="8" t="s">
        <v>51</v>
      </c>
      <c r="C46" s="8" t="s">
        <v>52</v>
      </c>
      <c r="E46" s="22"/>
      <c r="F46" s="23"/>
    </row>
    <row r="47" spans="1:12" ht="15">
      <c r="A47" s="8" t="s">
        <v>104</v>
      </c>
      <c r="B47" s="8" t="s">
        <v>33</v>
      </c>
      <c r="C47" s="8" t="s">
        <v>34</v>
      </c>
      <c r="E47" s="22"/>
      <c r="F47" s="23"/>
    </row>
    <row r="48" spans="1:12" ht="15">
      <c r="A48" s="8" t="s">
        <v>104</v>
      </c>
      <c r="B48" s="8" t="s">
        <v>36</v>
      </c>
      <c r="C48" s="8" t="s">
        <v>37</v>
      </c>
      <c r="E48" s="22"/>
      <c r="F48" s="23"/>
    </row>
    <row r="49" spans="1:6" ht="15">
      <c r="A49" s="8" t="s">
        <v>104</v>
      </c>
      <c r="B49" s="8" t="s">
        <v>38</v>
      </c>
      <c r="C49" s="8" t="s">
        <v>39</v>
      </c>
      <c r="E49" s="22"/>
      <c r="F49" s="23"/>
    </row>
    <row r="50" spans="1:6" ht="15">
      <c r="A50" s="8" t="s">
        <v>104</v>
      </c>
      <c r="B50" s="8" t="s">
        <v>40</v>
      </c>
      <c r="C50" s="8" t="s">
        <v>41</v>
      </c>
      <c r="E50" s="22"/>
      <c r="F50" s="23"/>
    </row>
    <row r="51" spans="1:6" ht="15">
      <c r="A51" s="8" t="s">
        <v>104</v>
      </c>
      <c r="B51" s="8" t="s">
        <v>42</v>
      </c>
      <c r="C51" s="8" t="s">
        <v>43</v>
      </c>
      <c r="E51" s="22"/>
      <c r="F51" s="23"/>
    </row>
    <row r="52" spans="1:6" ht="15">
      <c r="A52" s="8" t="s">
        <v>104</v>
      </c>
      <c r="B52" s="8" t="s">
        <v>44</v>
      </c>
      <c r="C52" s="8" t="s">
        <v>45</v>
      </c>
      <c r="E52" s="22"/>
      <c r="F52" s="23"/>
    </row>
    <row r="53" spans="1:6" ht="15">
      <c r="A53" s="8" t="s">
        <v>104</v>
      </c>
      <c r="B53" s="8" t="s">
        <v>46</v>
      </c>
      <c r="C53" s="8" t="s">
        <v>47</v>
      </c>
      <c r="E53" s="22"/>
      <c r="F53" s="23"/>
    </row>
    <row r="54" spans="1:6" ht="15">
      <c r="A54" s="8" t="s">
        <v>104</v>
      </c>
      <c r="B54" s="8" t="s">
        <v>48</v>
      </c>
      <c r="C54" s="8" t="s">
        <v>49</v>
      </c>
      <c r="E54" s="22"/>
      <c r="F54" s="23"/>
    </row>
    <row r="55" spans="1:6" ht="15">
      <c r="A55" s="8" t="s">
        <v>104</v>
      </c>
      <c r="B55" s="8" t="s">
        <v>54</v>
      </c>
      <c r="C55" s="8" t="s">
        <v>55</v>
      </c>
      <c r="E55" s="22"/>
      <c r="F55" s="23"/>
    </row>
    <row r="56" spans="1:6" ht="15">
      <c r="A56" s="8" t="s">
        <v>104</v>
      </c>
      <c r="B56" s="8" t="s">
        <v>56</v>
      </c>
      <c r="C56" s="8" t="s">
        <v>57</v>
      </c>
      <c r="E56" s="22"/>
      <c r="F56" s="23"/>
    </row>
    <row r="57" spans="1:6" ht="15">
      <c r="A57" s="8" t="s">
        <v>104</v>
      </c>
      <c r="B57" s="8" t="s">
        <v>58</v>
      </c>
      <c r="C57" s="8" t="s">
        <v>59</v>
      </c>
      <c r="E57" s="22"/>
      <c r="F57" s="23"/>
    </row>
    <row r="58" spans="1:6" ht="15">
      <c r="A58" s="8" t="s">
        <v>104</v>
      </c>
      <c r="B58" s="8" t="s">
        <v>60</v>
      </c>
      <c r="C58" s="8" t="s">
        <v>61</v>
      </c>
      <c r="E58" s="22"/>
      <c r="F58" s="23"/>
    </row>
    <row r="59" spans="1:6" ht="15">
      <c r="A59" s="8" t="s">
        <v>104</v>
      </c>
      <c r="B59" s="8" t="s">
        <v>62</v>
      </c>
      <c r="C59" s="8" t="s">
        <v>63</v>
      </c>
      <c r="E59" s="22"/>
      <c r="F59" s="23"/>
    </row>
    <row r="60" spans="1:6" ht="15">
      <c r="A60" s="8" t="s">
        <v>104</v>
      </c>
      <c r="B60" s="8" t="s">
        <v>64</v>
      </c>
      <c r="C60" s="8" t="s">
        <v>65</v>
      </c>
      <c r="E60" s="22"/>
      <c r="F60" s="23"/>
    </row>
    <row r="61" spans="1:6" ht="15">
      <c r="A61" s="8" t="s">
        <v>104</v>
      </c>
      <c r="B61" s="8" t="s">
        <v>66</v>
      </c>
      <c r="C61" s="8" t="s">
        <v>67</v>
      </c>
      <c r="E61" s="22"/>
      <c r="F61" s="23"/>
    </row>
    <row r="62" spans="1:6" ht="15">
      <c r="A62" s="8" t="s">
        <v>104</v>
      </c>
      <c r="B62" s="8" t="s">
        <v>68</v>
      </c>
      <c r="C62" s="8" t="s">
        <v>69</v>
      </c>
      <c r="E62" s="22"/>
      <c r="F62" s="23"/>
    </row>
    <row r="63" spans="1:6" ht="15">
      <c r="A63" s="8" t="s">
        <v>104</v>
      </c>
      <c r="B63" s="8" t="s">
        <v>70</v>
      </c>
      <c r="C63" s="8" t="s">
        <v>71</v>
      </c>
      <c r="E63" s="22"/>
      <c r="F63" s="23"/>
    </row>
    <row r="64" spans="1:6" ht="15">
      <c r="A64" s="8" t="s">
        <v>104</v>
      </c>
      <c r="B64" s="8" t="s">
        <v>72</v>
      </c>
      <c r="C64" s="8" t="s">
        <v>73</v>
      </c>
      <c r="E64" s="22"/>
      <c r="F64" s="23"/>
    </row>
    <row r="65" spans="1:6" ht="15">
      <c r="A65" s="8" t="s">
        <v>104</v>
      </c>
      <c r="B65" s="8" t="s">
        <v>74</v>
      </c>
      <c r="C65" s="8" t="s">
        <v>75</v>
      </c>
      <c r="E65" s="22"/>
      <c r="F65" s="23"/>
    </row>
    <row r="66" spans="1:6" ht="15">
      <c r="A66" s="8" t="s">
        <v>104</v>
      </c>
      <c r="B66" s="8" t="s">
        <v>76</v>
      </c>
      <c r="C66" s="8" t="s">
        <v>77</v>
      </c>
      <c r="E66" s="22"/>
      <c r="F66" s="23"/>
    </row>
    <row r="67" spans="1:6" ht="15">
      <c r="A67" s="8" t="s">
        <v>104</v>
      </c>
      <c r="B67" s="8" t="s">
        <v>79</v>
      </c>
      <c r="C67" s="8" t="s">
        <v>80</v>
      </c>
      <c r="E67" s="22"/>
      <c r="F67" s="23"/>
    </row>
    <row r="68" spans="1:6" ht="15">
      <c r="A68" s="8" t="s">
        <v>104</v>
      </c>
      <c r="B68" s="8" t="s">
        <v>81</v>
      </c>
      <c r="C68" s="8" t="s">
        <v>82</v>
      </c>
      <c r="E68" s="22"/>
      <c r="F68" s="23"/>
    </row>
    <row r="69" spans="1:6" ht="15">
      <c r="A69" s="8" t="s">
        <v>104</v>
      </c>
      <c r="B69" s="8" t="s">
        <v>83</v>
      </c>
      <c r="C69" s="8" t="s">
        <v>84</v>
      </c>
      <c r="E69" s="22"/>
      <c r="F69" s="23"/>
    </row>
    <row r="70" spans="1:6" ht="15">
      <c r="A70" s="8" t="s">
        <v>104</v>
      </c>
      <c r="B70" s="8" t="s">
        <v>88</v>
      </c>
      <c r="C70" s="8" t="s">
        <v>89</v>
      </c>
      <c r="E70" s="22"/>
      <c r="F70" s="23"/>
    </row>
    <row r="71" spans="1:6">
      <c r="E71" s="22"/>
      <c r="F71" s="23"/>
    </row>
    <row r="72" spans="1:6" ht="16.5" customHeight="1">
      <c r="A72" s="9" t="s">
        <v>97</v>
      </c>
      <c r="B72" s="837" t="s">
        <v>19</v>
      </c>
      <c r="C72" s="837"/>
      <c r="E72" s="22"/>
      <c r="F72" s="23"/>
    </row>
    <row r="73" spans="1:6" ht="16.5" customHeight="1">
      <c r="A73" s="9" t="s">
        <v>97</v>
      </c>
      <c r="B73" s="837" t="s">
        <v>20</v>
      </c>
      <c r="C73" s="837"/>
      <c r="E73" s="22"/>
      <c r="F73" s="23"/>
    </row>
    <row r="74" spans="1:6" ht="16.5" customHeight="1">
      <c r="A74" s="11" t="s">
        <v>97</v>
      </c>
      <c r="B74" s="838" t="s">
        <v>110</v>
      </c>
      <c r="C74" s="838"/>
      <c r="E74" s="22"/>
      <c r="F74" s="23"/>
    </row>
    <row r="75" spans="1:6" ht="16.5" customHeight="1">
      <c r="A75" s="9" t="s">
        <v>97</v>
      </c>
      <c r="B75" s="837" t="s">
        <v>21</v>
      </c>
      <c r="C75" s="837"/>
      <c r="E75" s="22"/>
      <c r="F75" s="23"/>
    </row>
    <row r="76" spans="1:6" ht="16.5" customHeight="1">
      <c r="A76" s="9" t="s">
        <v>97</v>
      </c>
      <c r="B76" s="837" t="s">
        <v>22</v>
      </c>
      <c r="C76" s="837"/>
      <c r="E76" s="22"/>
      <c r="F76" s="23"/>
    </row>
    <row r="77" spans="1:6" ht="16.5" customHeight="1">
      <c r="A77" s="9" t="s">
        <v>97</v>
      </c>
      <c r="B77" s="837" t="s">
        <v>23</v>
      </c>
      <c r="C77" s="837"/>
      <c r="E77" s="22"/>
      <c r="F77" s="23"/>
    </row>
    <row r="78" spans="1:6" ht="16.5" customHeight="1">
      <c r="A78" s="9" t="s">
        <v>97</v>
      </c>
      <c r="B78" s="837" t="s">
        <v>24</v>
      </c>
      <c r="C78" s="837"/>
      <c r="E78" s="22"/>
      <c r="F78" s="23"/>
    </row>
    <row r="79" spans="1:6" ht="16.5" customHeight="1">
      <c r="A79" s="9" t="s">
        <v>97</v>
      </c>
      <c r="B79" s="837" t="s">
        <v>25</v>
      </c>
      <c r="C79" s="837"/>
      <c r="E79" s="22"/>
      <c r="F79" s="23"/>
    </row>
    <row r="80" spans="1:6" ht="16.5" customHeight="1">
      <c r="A80" s="9" t="s">
        <v>97</v>
      </c>
      <c r="B80" s="837" t="s">
        <v>26</v>
      </c>
      <c r="C80" s="837"/>
      <c r="E80" s="22"/>
      <c r="F80" s="23"/>
    </row>
    <row r="81" spans="1:6" ht="16.5" customHeight="1">
      <c r="A81" s="9" t="s">
        <v>97</v>
      </c>
      <c r="B81" s="837" t="s">
        <v>27</v>
      </c>
      <c r="C81" s="837"/>
      <c r="E81" s="22"/>
      <c r="F81" s="23"/>
    </row>
    <row r="82" spans="1:6" ht="16.5" customHeight="1">
      <c r="A82" s="9" t="s">
        <v>97</v>
      </c>
      <c r="B82" s="837" t="s">
        <v>28</v>
      </c>
      <c r="C82" s="837"/>
      <c r="E82" s="22"/>
      <c r="F82" s="23"/>
    </row>
    <row r="83" spans="1:6" ht="17.25" customHeight="1" thickBot="1">
      <c r="A83" s="9" t="s">
        <v>97</v>
      </c>
      <c r="B83" s="837" t="s">
        <v>29</v>
      </c>
      <c r="C83" s="837"/>
      <c r="E83" s="25"/>
      <c r="F83" s="30"/>
    </row>
  </sheetData>
  <mergeCells count="33">
    <mergeCell ref="E18:F18"/>
    <mergeCell ref="E19:F19"/>
    <mergeCell ref="E13:F13"/>
    <mergeCell ref="I37:I43"/>
    <mergeCell ref="G18:H18"/>
    <mergeCell ref="G19:H19"/>
    <mergeCell ref="G20:H20"/>
    <mergeCell ref="E15:F15"/>
    <mergeCell ref="E16:F16"/>
    <mergeCell ref="G15:H15"/>
    <mergeCell ref="E20:F20"/>
    <mergeCell ref="G16:H16"/>
    <mergeCell ref="I26:I27"/>
    <mergeCell ref="E14:F14"/>
    <mergeCell ref="I10:I11"/>
    <mergeCell ref="E1:F1"/>
    <mergeCell ref="G1:H1"/>
    <mergeCell ref="E6:F6"/>
    <mergeCell ref="E4:F4"/>
    <mergeCell ref="E5:F5"/>
    <mergeCell ref="I4:I6"/>
    <mergeCell ref="B72:C72"/>
    <mergeCell ref="B73:C73"/>
    <mergeCell ref="B74:C74"/>
    <mergeCell ref="B75:C75"/>
    <mergeCell ref="B76:C76"/>
    <mergeCell ref="B82:C82"/>
    <mergeCell ref="B83:C83"/>
    <mergeCell ref="B77:C77"/>
    <mergeCell ref="B78:C78"/>
    <mergeCell ref="B79:C79"/>
    <mergeCell ref="B80:C80"/>
    <mergeCell ref="B81:C8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6DCC-4E43-434E-9AD7-B9422CDE5EEC}">
  <dimension ref="A1:O41"/>
  <sheetViews>
    <sheetView zoomScale="176" zoomScaleNormal="100" workbookViewId="0">
      <selection activeCell="E10" sqref="E10"/>
    </sheetView>
  </sheetViews>
  <sheetFormatPr baseColWidth="10" defaultColWidth="8.83203125" defaultRowHeight="17"/>
  <cols>
    <col min="2" max="2" width="25.6640625" customWidth="1"/>
    <col min="4" max="4" width="39.6640625" customWidth="1"/>
    <col min="5" max="6" width="9" style="7"/>
    <col min="8" max="8" width="4.1640625" bestFit="1" customWidth="1"/>
    <col min="9" max="9" width="5.6640625" bestFit="1" customWidth="1"/>
  </cols>
  <sheetData>
    <row r="1" spans="1:15">
      <c r="E1" s="842" t="s">
        <v>111</v>
      </c>
      <c r="F1" s="842"/>
    </row>
    <row r="2" spans="1:15" ht="18" thickBot="1">
      <c r="A2" s="26" t="s">
        <v>130</v>
      </c>
      <c r="B2" s="26" t="s">
        <v>131</v>
      </c>
      <c r="C2" s="26" t="s">
        <v>105</v>
      </c>
      <c r="D2" s="26" t="s">
        <v>132</v>
      </c>
      <c r="E2" s="10" t="s">
        <v>108</v>
      </c>
      <c r="F2" s="10" t="s">
        <v>109</v>
      </c>
      <c r="G2" s="165" t="s">
        <v>289</v>
      </c>
    </row>
    <row r="3" spans="1:15">
      <c r="A3" s="48" t="s">
        <v>136</v>
      </c>
      <c r="B3" s="49" t="s">
        <v>1244</v>
      </c>
      <c r="C3" s="49" t="s">
        <v>133</v>
      </c>
      <c r="D3" s="49" t="s">
        <v>139</v>
      </c>
      <c r="E3" s="50">
        <v>25</v>
      </c>
      <c r="F3" s="50">
        <v>25</v>
      </c>
      <c r="G3" s="198"/>
      <c r="H3" s="3"/>
      <c r="I3" s="3"/>
    </row>
    <row r="4" spans="1:15" ht="18" thickBot="1">
      <c r="A4" s="51" t="s">
        <v>136</v>
      </c>
      <c r="B4" s="52" t="s">
        <v>137</v>
      </c>
      <c r="C4" s="52" t="s">
        <v>135</v>
      </c>
      <c r="D4" s="52" t="s">
        <v>138</v>
      </c>
      <c r="E4" s="53">
        <v>40</v>
      </c>
      <c r="F4" s="53">
        <v>40</v>
      </c>
      <c r="G4" s="199"/>
      <c r="H4" s="3"/>
      <c r="I4" s="3"/>
    </row>
    <row r="5" spans="1:15">
      <c r="A5" s="12" t="s">
        <v>136</v>
      </c>
      <c r="B5" s="13" t="s">
        <v>140</v>
      </c>
      <c r="C5" s="13" t="s">
        <v>133</v>
      </c>
      <c r="D5" s="13" t="s">
        <v>314</v>
      </c>
      <c r="E5" s="17">
        <v>16</v>
      </c>
      <c r="F5" s="17">
        <v>16</v>
      </c>
      <c r="G5" s="198"/>
      <c r="H5" s="3"/>
      <c r="I5" s="3"/>
    </row>
    <row r="6" spans="1:15" ht="18" thickBot="1">
      <c r="A6" s="15" t="s">
        <v>136</v>
      </c>
      <c r="B6" s="16" t="s">
        <v>140</v>
      </c>
      <c r="C6" s="16" t="s">
        <v>135</v>
      </c>
      <c r="D6" s="16" t="s">
        <v>141</v>
      </c>
      <c r="E6" s="19">
        <v>25</v>
      </c>
      <c r="F6" s="19">
        <v>25</v>
      </c>
      <c r="G6" s="199"/>
      <c r="H6" s="3"/>
      <c r="I6" s="3"/>
    </row>
    <row r="7" spans="1:15" ht="18" thickBot="1">
      <c r="A7" s="48" t="s">
        <v>162</v>
      </c>
      <c r="B7" s="49" t="s">
        <v>1220</v>
      </c>
      <c r="C7" s="49" t="s">
        <v>161</v>
      </c>
      <c r="D7" s="49" t="s">
        <v>1219</v>
      </c>
      <c r="E7" s="50">
        <v>18</v>
      </c>
      <c r="F7" s="50">
        <v>18</v>
      </c>
      <c r="G7" s="198"/>
      <c r="H7" s="44"/>
      <c r="I7" s="45"/>
    </row>
    <row r="8" spans="1:15" ht="18" thickBot="1">
      <c r="A8" s="27" t="s">
        <v>142</v>
      </c>
      <c r="B8" s="28" t="s">
        <v>319</v>
      </c>
      <c r="C8" s="28" t="s">
        <v>133</v>
      </c>
      <c r="D8" s="28" t="s">
        <v>143</v>
      </c>
      <c r="E8" s="29">
        <v>18</v>
      </c>
      <c r="F8" s="29">
        <v>18</v>
      </c>
      <c r="G8" s="200"/>
      <c r="H8" s="3"/>
      <c r="I8" s="3"/>
    </row>
    <row r="9" spans="1:15">
      <c r="A9" s="61" t="s">
        <v>134</v>
      </c>
      <c r="B9" s="62" t="s">
        <v>144</v>
      </c>
      <c r="C9" s="62" t="s">
        <v>135</v>
      </c>
      <c r="D9" s="62" t="s">
        <v>145</v>
      </c>
      <c r="E9" s="63">
        <v>65</v>
      </c>
      <c r="F9" s="63">
        <v>65</v>
      </c>
      <c r="G9" s="198"/>
      <c r="H9" s="3"/>
      <c r="I9" s="3"/>
    </row>
    <row r="10" spans="1:15" ht="18" thickBot="1">
      <c r="A10" s="64" t="s">
        <v>134</v>
      </c>
      <c r="B10" s="65" t="s">
        <v>1358</v>
      </c>
      <c r="C10" s="65" t="s">
        <v>135</v>
      </c>
      <c r="D10" s="65" t="s">
        <v>146</v>
      </c>
      <c r="E10" s="66">
        <v>45</v>
      </c>
      <c r="F10" s="66">
        <v>45</v>
      </c>
      <c r="G10" s="199"/>
      <c r="H10" s="3"/>
      <c r="I10" s="3"/>
    </row>
    <row r="11" spans="1:15" ht="18" thickBot="1">
      <c r="A11" s="192" t="s">
        <v>134</v>
      </c>
      <c r="B11" s="193" t="s">
        <v>152</v>
      </c>
      <c r="C11" s="193" t="s">
        <v>135</v>
      </c>
      <c r="D11" s="193" t="s">
        <v>153</v>
      </c>
      <c r="E11" s="194">
        <v>60</v>
      </c>
      <c r="F11" s="194">
        <v>60</v>
      </c>
      <c r="G11" s="200"/>
      <c r="H11" s="3"/>
      <c r="I11" s="3"/>
    </row>
    <row r="12" spans="1:15" ht="18" thickBot="1">
      <c r="A12" s="12" t="s">
        <v>134</v>
      </c>
      <c r="B12" s="13" t="s">
        <v>147</v>
      </c>
      <c r="C12" s="13" t="s">
        <v>133</v>
      </c>
      <c r="D12" s="13" t="s">
        <v>148</v>
      </c>
      <c r="E12" s="17">
        <v>15</v>
      </c>
      <c r="F12" s="17">
        <v>15</v>
      </c>
      <c r="G12" s="200"/>
      <c r="H12" s="3"/>
      <c r="I12" s="3"/>
    </row>
    <row r="13" spans="1:15" ht="18" thickBot="1">
      <c r="A13" s="522" t="s">
        <v>134</v>
      </c>
      <c r="B13" s="523" t="s">
        <v>1065</v>
      </c>
      <c r="C13" s="523" t="s">
        <v>133</v>
      </c>
      <c r="D13" s="523" t="s">
        <v>1080</v>
      </c>
      <c r="E13" s="219">
        <v>20</v>
      </c>
      <c r="F13" s="526"/>
      <c r="G13" s="513"/>
      <c r="H13" s="3"/>
      <c r="I13" s="3"/>
    </row>
    <row r="14" spans="1:15" ht="18" thickBot="1">
      <c r="A14" s="527" t="s">
        <v>134</v>
      </c>
      <c r="B14" s="528" t="s">
        <v>1065</v>
      </c>
      <c r="C14" s="528" t="s">
        <v>133</v>
      </c>
      <c r="D14" s="528" t="s">
        <v>1081</v>
      </c>
      <c r="E14" s="220">
        <v>25</v>
      </c>
      <c r="F14" s="529"/>
      <c r="G14" s="513"/>
      <c r="H14" s="3"/>
      <c r="I14" s="3"/>
    </row>
    <row r="15" spans="1:15">
      <c r="A15" s="524" t="s">
        <v>136</v>
      </c>
      <c r="B15" s="9" t="s">
        <v>315</v>
      </c>
      <c r="C15" s="9" t="s">
        <v>133</v>
      </c>
      <c r="D15" s="9" t="s">
        <v>285</v>
      </c>
      <c r="E15" s="525">
        <v>18</v>
      </c>
      <c r="F15" s="525">
        <v>18</v>
      </c>
      <c r="G15" s="198"/>
      <c r="H15" s="3"/>
      <c r="I15" s="3"/>
    </row>
    <row r="16" spans="1:15" ht="18" thickBot="1">
      <c r="A16" s="51" t="s">
        <v>136</v>
      </c>
      <c r="B16" s="204" t="s">
        <v>315</v>
      </c>
      <c r="C16" s="52" t="s">
        <v>135</v>
      </c>
      <c r="D16" s="52" t="s">
        <v>320</v>
      </c>
      <c r="E16" s="220">
        <v>30</v>
      </c>
      <c r="F16" s="220">
        <v>30</v>
      </c>
      <c r="G16" s="199"/>
      <c r="H16" s="3"/>
      <c r="I16" s="3"/>
      <c r="O16" t="s">
        <v>1240</v>
      </c>
    </row>
    <row r="17" spans="1:9">
      <c r="A17" s="519" t="s">
        <v>162</v>
      </c>
      <c r="B17" s="520" t="s">
        <v>1068</v>
      </c>
      <c r="C17" s="521"/>
      <c r="D17" s="521" t="s">
        <v>1070</v>
      </c>
      <c r="E17" s="160">
        <v>21.9</v>
      </c>
      <c r="F17" s="160">
        <v>21.9</v>
      </c>
      <c r="G17" s="346"/>
      <c r="H17" s="3"/>
      <c r="I17" s="3"/>
    </row>
    <row r="18" spans="1:9" ht="18" thickBot="1">
      <c r="A18" s="519" t="s">
        <v>162</v>
      </c>
      <c r="B18" s="520" t="s">
        <v>1068</v>
      </c>
      <c r="C18" s="521"/>
      <c r="D18" s="521" t="s">
        <v>1069</v>
      </c>
      <c r="E18" s="160">
        <v>15.9</v>
      </c>
      <c r="F18" s="160">
        <v>15.9</v>
      </c>
      <c r="G18" s="346"/>
      <c r="H18" s="3"/>
      <c r="I18" s="3"/>
    </row>
    <row r="19" spans="1:9">
      <c r="A19" s="61" t="s">
        <v>134</v>
      </c>
      <c r="B19" s="62" t="s">
        <v>149</v>
      </c>
      <c r="C19" s="62" t="s">
        <v>133</v>
      </c>
      <c r="D19" s="62" t="s">
        <v>1113</v>
      </c>
      <c r="E19" s="63">
        <v>17</v>
      </c>
      <c r="F19" s="63">
        <v>17</v>
      </c>
      <c r="G19" s="198"/>
      <c r="H19" s="3"/>
      <c r="I19" s="3"/>
    </row>
    <row r="20" spans="1:9" ht="18" thickBot="1">
      <c r="A20" s="214" t="s">
        <v>134</v>
      </c>
      <c r="B20" s="207" t="s">
        <v>158</v>
      </c>
      <c r="C20" s="207" t="s">
        <v>159</v>
      </c>
      <c r="D20" s="207" t="s">
        <v>1114</v>
      </c>
      <c r="E20" s="208">
        <v>20</v>
      </c>
      <c r="F20" s="208">
        <v>20</v>
      </c>
      <c r="G20" s="468"/>
      <c r="H20" s="3"/>
      <c r="I20" s="3"/>
    </row>
    <row r="21" spans="1:9">
      <c r="A21" s="61" t="s">
        <v>134</v>
      </c>
      <c r="B21" s="62" t="s">
        <v>564</v>
      </c>
      <c r="C21" s="62" t="s">
        <v>133</v>
      </c>
      <c r="D21" s="62" t="s">
        <v>166</v>
      </c>
      <c r="E21" s="63">
        <v>18</v>
      </c>
      <c r="F21" s="515">
        <v>18</v>
      </c>
      <c r="G21" s="513"/>
      <c r="H21" s="3"/>
      <c r="I21" s="3"/>
    </row>
    <row r="22" spans="1:9" ht="18" thickBot="1">
      <c r="A22" s="214" t="s">
        <v>134</v>
      </c>
      <c r="B22" s="207" t="s">
        <v>564</v>
      </c>
      <c r="C22" s="207" t="s">
        <v>133</v>
      </c>
      <c r="D22" s="207" t="s">
        <v>165</v>
      </c>
      <c r="E22" s="208">
        <v>22</v>
      </c>
      <c r="F22" s="516">
        <v>22</v>
      </c>
      <c r="G22" s="514"/>
    </row>
    <row r="23" spans="1:9">
      <c r="A23" s="61" t="s">
        <v>134</v>
      </c>
      <c r="B23" s="62" t="s">
        <v>151</v>
      </c>
      <c r="C23" s="62" t="s">
        <v>135</v>
      </c>
      <c r="D23" s="62" t="s">
        <v>164</v>
      </c>
      <c r="E23" s="63">
        <v>28</v>
      </c>
      <c r="F23" s="63">
        <v>28</v>
      </c>
      <c r="G23" s="198"/>
    </row>
    <row r="24" spans="1:9" ht="18" thickBot="1">
      <c r="A24" s="64" t="s">
        <v>134</v>
      </c>
      <c r="B24" s="65" t="s">
        <v>151</v>
      </c>
      <c r="C24" s="65" t="s">
        <v>135</v>
      </c>
      <c r="D24" s="65" t="s">
        <v>163</v>
      </c>
      <c r="E24" s="66">
        <v>32</v>
      </c>
      <c r="F24" s="66">
        <v>32</v>
      </c>
      <c r="G24" s="199"/>
    </row>
    <row r="25" spans="1:9" ht="18" thickBot="1">
      <c r="A25" s="192" t="s">
        <v>134</v>
      </c>
      <c r="B25" s="193" t="s">
        <v>1067</v>
      </c>
      <c r="C25" s="193" t="s">
        <v>133</v>
      </c>
      <c r="D25" s="193" t="s">
        <v>1066</v>
      </c>
      <c r="E25" s="194">
        <v>22</v>
      </c>
      <c r="F25" s="517">
        <v>22</v>
      </c>
      <c r="G25" s="518"/>
    </row>
    <row r="26" spans="1:9">
      <c r="A26" s="14" t="s">
        <v>134</v>
      </c>
      <c r="B26" s="6" t="s">
        <v>582</v>
      </c>
      <c r="C26" s="6" t="s">
        <v>135</v>
      </c>
      <c r="D26" s="6" t="s">
        <v>290</v>
      </c>
      <c r="E26" s="7">
        <v>22</v>
      </c>
      <c r="F26" s="7">
        <v>22</v>
      </c>
      <c r="G26" s="510"/>
    </row>
    <row r="27" spans="1:9">
      <c r="A27" s="14" t="s">
        <v>134</v>
      </c>
      <c r="B27" s="6" t="s">
        <v>842</v>
      </c>
      <c r="C27" s="6" t="s">
        <v>135</v>
      </c>
      <c r="D27" s="6" t="s">
        <v>844</v>
      </c>
      <c r="E27" s="7">
        <v>45</v>
      </c>
      <c r="F27" s="7">
        <v>45</v>
      </c>
      <c r="G27" s="468"/>
    </row>
    <row r="28" spans="1:9" ht="18" thickBot="1">
      <c r="A28" s="15" t="s">
        <v>134</v>
      </c>
      <c r="B28" s="16" t="s">
        <v>582</v>
      </c>
      <c r="C28" s="16" t="s">
        <v>135</v>
      </c>
      <c r="D28" s="16" t="s">
        <v>843</v>
      </c>
      <c r="E28" s="19">
        <v>35</v>
      </c>
      <c r="F28" s="19">
        <v>35</v>
      </c>
      <c r="G28" s="199"/>
    </row>
    <row r="29" spans="1:9">
      <c r="A29" s="14" t="s">
        <v>134</v>
      </c>
      <c r="B29" s="6" t="s">
        <v>154</v>
      </c>
      <c r="C29" s="6" t="s">
        <v>135</v>
      </c>
      <c r="D29" s="6" t="s">
        <v>814</v>
      </c>
      <c r="E29" s="7">
        <v>47</v>
      </c>
      <c r="F29" s="7">
        <v>32</v>
      </c>
      <c r="G29" s="201"/>
    </row>
    <row r="30" spans="1:9" ht="18" thickBot="1">
      <c r="A30" s="15" t="s">
        <v>134</v>
      </c>
      <c r="B30" s="16" t="s">
        <v>154</v>
      </c>
      <c r="C30" s="16" t="s">
        <v>135</v>
      </c>
      <c r="D30" s="16" t="s">
        <v>815</v>
      </c>
      <c r="E30" s="19">
        <v>52</v>
      </c>
      <c r="F30" s="19">
        <v>34</v>
      </c>
      <c r="G30" s="199"/>
    </row>
    <row r="31" spans="1:9">
      <c r="A31" s="12" t="s">
        <v>155</v>
      </c>
      <c r="B31" s="13" t="s">
        <v>1230</v>
      </c>
      <c r="C31" s="13" t="s">
        <v>135</v>
      </c>
      <c r="D31" s="13" t="s">
        <v>156</v>
      </c>
      <c r="E31" s="17">
        <v>45</v>
      </c>
      <c r="F31" s="17">
        <v>45</v>
      </c>
      <c r="G31" s="202"/>
    </row>
    <row r="32" spans="1:9" ht="18" thickBot="1">
      <c r="A32" s="15" t="s">
        <v>155</v>
      </c>
      <c r="B32" s="16" t="s">
        <v>1230</v>
      </c>
      <c r="C32" s="16" t="s">
        <v>135</v>
      </c>
      <c r="D32" s="16" t="s">
        <v>157</v>
      </c>
      <c r="E32" s="19">
        <v>30</v>
      </c>
      <c r="F32" s="19">
        <v>30</v>
      </c>
      <c r="G32" s="203"/>
    </row>
    <row r="33" spans="1:9" ht="18" thickBot="1">
      <c r="A33" s="15" t="s">
        <v>142</v>
      </c>
      <c r="B33" s="16" t="s">
        <v>333</v>
      </c>
      <c r="C33" s="16" t="s">
        <v>133</v>
      </c>
      <c r="D33" s="16" t="s">
        <v>150</v>
      </c>
      <c r="E33" s="19">
        <v>10</v>
      </c>
      <c r="F33" s="19">
        <v>10</v>
      </c>
      <c r="G33" s="203"/>
    </row>
    <row r="34" spans="1:9" ht="18" thickBot="1">
      <c r="A34" s="12" t="s">
        <v>316</v>
      </c>
      <c r="B34" s="13" t="s">
        <v>317</v>
      </c>
      <c r="C34" s="13"/>
      <c r="D34" s="13" t="s">
        <v>318</v>
      </c>
      <c r="E34" s="17">
        <v>5</v>
      </c>
      <c r="F34" s="17">
        <v>5</v>
      </c>
      <c r="G34" s="202"/>
    </row>
    <row r="35" spans="1:9" ht="18" thickBot="1">
      <c r="A35" s="12" t="s">
        <v>3</v>
      </c>
      <c r="B35" s="13" t="s">
        <v>184</v>
      </c>
      <c r="C35" s="13" t="s">
        <v>159</v>
      </c>
      <c r="D35" s="13" t="s">
        <v>185</v>
      </c>
      <c r="E35" s="17">
        <v>35</v>
      </c>
      <c r="F35" s="17">
        <v>26</v>
      </c>
      <c r="G35" s="202"/>
    </row>
    <row r="36" spans="1:9" ht="18" thickBot="1">
      <c r="A36" s="195" t="s">
        <v>160</v>
      </c>
      <c r="B36" s="196" t="s">
        <v>1355</v>
      </c>
      <c r="C36" s="196" t="s">
        <v>161</v>
      </c>
      <c r="D36" s="196"/>
      <c r="E36" s="197">
        <v>20</v>
      </c>
      <c r="F36" s="197">
        <v>20</v>
      </c>
      <c r="G36" s="200"/>
      <c r="H36" s="3"/>
      <c r="I36" s="3"/>
    </row>
    <row r="37" spans="1:9">
      <c r="A37" s="14" t="s">
        <v>186</v>
      </c>
      <c r="B37" s="6" t="s">
        <v>187</v>
      </c>
      <c r="C37" s="6" t="s">
        <v>159</v>
      </c>
      <c r="D37" s="6" t="s">
        <v>188</v>
      </c>
      <c r="E37" s="7">
        <v>49</v>
      </c>
      <c r="F37" s="7">
        <v>49</v>
      </c>
      <c r="G37" s="346"/>
    </row>
    <row r="38" spans="1:9">
      <c r="A38" s="187" t="s">
        <v>590</v>
      </c>
      <c r="B38" s="187" t="s">
        <v>591</v>
      </c>
      <c r="C38" s="187" t="s">
        <v>159</v>
      </c>
      <c r="D38" s="187" t="s">
        <v>592</v>
      </c>
      <c r="E38" s="69">
        <v>20</v>
      </c>
      <c r="F38" s="69">
        <v>20</v>
      </c>
      <c r="G38" s="168"/>
    </row>
    <row r="39" spans="1:9">
      <c r="A39" s="6" t="s">
        <v>590</v>
      </c>
      <c r="B39" s="6" t="s">
        <v>975</v>
      </c>
      <c r="C39" s="6" t="s">
        <v>159</v>
      </c>
      <c r="D39" s="6" t="s">
        <v>976</v>
      </c>
      <c r="E39" s="7">
        <v>20</v>
      </c>
      <c r="F39" s="7">
        <v>20</v>
      </c>
    </row>
    <row r="40" spans="1:9" ht="18" thickBot="1">
      <c r="A40" s="187" t="s">
        <v>186</v>
      </c>
      <c r="B40" s="187" t="s">
        <v>591</v>
      </c>
      <c r="C40" s="187" t="s">
        <v>159</v>
      </c>
      <c r="D40" s="187" t="s">
        <v>974</v>
      </c>
      <c r="E40" s="69">
        <v>15</v>
      </c>
      <c r="F40" s="69">
        <v>20</v>
      </c>
    </row>
    <row r="41" spans="1:9" ht="18" thickBot="1">
      <c r="A41" s="195" t="s">
        <v>160</v>
      </c>
      <c r="B41" s="196" t="s">
        <v>1356</v>
      </c>
      <c r="C41" s="196" t="s">
        <v>161</v>
      </c>
      <c r="D41" s="196"/>
      <c r="E41" s="197">
        <v>42</v>
      </c>
      <c r="F41" s="197">
        <v>42</v>
      </c>
    </row>
  </sheetData>
  <mergeCells count="1">
    <mergeCell ref="E1:F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6316-7900-45DB-ACE4-9BCC03B11C8E}">
  <dimension ref="A1:AD46"/>
  <sheetViews>
    <sheetView zoomScale="134" workbookViewId="0">
      <selection activeCell="Q27" sqref="Q27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0" width="7.6640625" customWidth="1"/>
    <col min="11" max="11" width="12.5" customWidth="1"/>
    <col min="12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22.33203125" customWidth="1"/>
    <col min="23" max="24" width="9.6640625" bestFit="1" customWidth="1"/>
    <col min="25" max="25" width="20" bestFit="1" customWidth="1"/>
    <col min="27" max="27" width="3" customWidth="1"/>
    <col min="28" max="28" width="17.1640625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2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1183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Amara Singapore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230</v>
      </c>
      <c r="M2" s="140">
        <f>$I$1+$K$1</f>
        <v>2</v>
      </c>
      <c r="N2" s="106">
        <f>L2*M2</f>
        <v>460</v>
      </c>
      <c r="O2" s="929">
        <f>SUM(N2:N6)</f>
        <v>1840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5" t="s">
        <v>919</v>
      </c>
      <c r="AC2" s="10">
        <v>230</v>
      </c>
      <c r="AD2" s="10">
        <v>230</v>
      </c>
    </row>
    <row r="3" spans="1:30">
      <c r="B3" s="74" t="s">
        <v>239</v>
      </c>
      <c r="C3" s="932"/>
      <c r="D3" s="932"/>
      <c r="E3" s="933"/>
      <c r="F3" s="72"/>
      <c r="G3" s="921"/>
      <c r="H3" s="925">
        <f>H2+1</f>
        <v>45733</v>
      </c>
      <c r="I3" s="926"/>
      <c r="J3" s="927" t="str">
        <f>J2</f>
        <v>Amara Singapore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230</v>
      </c>
      <c r="M3" s="140">
        <f>$I$1+$K$1</f>
        <v>2</v>
      </c>
      <c r="N3" s="106">
        <f>L3*M3</f>
        <v>460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4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927" t="str">
        <f>J2</f>
        <v>Amara Singapore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230</v>
      </c>
      <c r="M4" s="141">
        <f>$I$1+$K$1</f>
        <v>2</v>
      </c>
      <c r="N4" s="106">
        <f>L4*M4</f>
        <v>460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>
        <f>H4+1</f>
        <v>45735</v>
      </c>
      <c r="I5" s="926"/>
      <c r="J5" s="927" t="str">
        <f>J2</f>
        <v>Amara Singapore</v>
      </c>
      <c r="K5" s="934"/>
      <c r="L5" s="134">
        <f>IF(
    (IF(WEEKDAY(H5, 2) &lt;= 5, AC2, AD2) +
    IF(AND(H5 &gt;= W3, H5 &lt;= X3), Z3, 0) +
    IF(AND(H5 &gt;= W4, H5 &lt;= X4), Z4, 0) +
    IF(AND(H5 &gt;= W5, H5 &lt;= X5), Z5, 0) +
    IF(AND(H5 &gt;= W6, H5 &lt;= X6), Z6, 0) +
    IF(AND(H5 &gt;= W7, H5 &lt;= X7), Z7, 0) +
    IF(AND(H5 &gt;= W8, H5 &lt;= X8), Z8, 0) +
    IF(AND(H5 &gt;= W9, H5 &lt;= X9), Z9, 0) +
    IF(AND(H5 &gt;= W10, H5 &lt;= X10), Z10, 0)) &lt; 1,
    "Surcharge Check",
    (IF(WEEKDAY(H5, 2) &lt;= 5, AC2, AD2) +
    IF(AND(H5 &gt;= W3, H5 &lt;= X3), Z3, 0) +
    IF(AND(H5 &gt;= W4, H5 &lt;= X4), Z4, 0) +
    IF(AND(H5 &gt;= W5, H5 &lt;= X5), Z5, 0) +
    IF(AND(H5 &gt;= W6, H5 &lt;= X6), Z6, 0) +
    IF(AND(H5 &gt;= W7, H5 &lt;= X7), Z7, 0) +
    IF(AND(H5 &gt;= W8, H5 &lt;= X8), Z8, 0) +
    IF(AND(H5 &gt;= W9, H5 &lt;= X9), Z9, 0) +
    IF(AND(H5 &gt;= W10, H5 &lt;= X10), Z10, 0))
)</f>
        <v>230</v>
      </c>
      <c r="M5" s="140">
        <f>$I$1+$K$1</f>
        <v>2</v>
      </c>
      <c r="N5" s="106">
        <f>L5*M5</f>
        <v>460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(SUM(O10:O46)+O2)/C4+R5+T5</f>
        <v>1255.5999999999999</v>
      </c>
      <c r="D6" s="86" t="s">
        <v>254</v>
      </c>
      <c r="E6" s="94">
        <f>C6*$E$1</f>
        <v>1381160</v>
      </c>
      <c r="F6" s="72"/>
      <c r="G6" s="922"/>
      <c r="H6" s="925"/>
      <c r="I6" s="926"/>
      <c r="J6" s="935"/>
      <c r="K6" s="935"/>
      <c r="L6" s="136"/>
      <c r="M6" s="89"/>
      <c r="N6" s="107"/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0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5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67" t="s">
        <v>960</v>
      </c>
      <c r="D10" s="916"/>
      <c r="E10" s="499"/>
      <c r="F10" s="72"/>
      <c r="G10" s="98"/>
      <c r="H10" s="109"/>
      <c r="I10" s="119"/>
      <c r="J10" s="109"/>
      <c r="K10" s="128"/>
      <c r="L10" s="90"/>
      <c r="M10" s="128"/>
      <c r="N10" s="90"/>
      <c r="O10" s="143">
        <f>(G10*H10)+(I10*J10)+(K10*L10)+(M10*N10)</f>
        <v>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1184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4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v>150</v>
      </c>
      <c r="L13" s="90">
        <v>1</v>
      </c>
      <c r="M13" s="128">
        <v>360</v>
      </c>
      <c r="N13" s="90">
        <v>1</v>
      </c>
      <c r="O13" s="143">
        <f t="shared" si="0"/>
        <v>510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865"/>
      <c r="C14" s="879" t="s">
        <v>622</v>
      </c>
      <c r="D14" s="880"/>
      <c r="E14" s="881"/>
      <c r="F14" s="72"/>
      <c r="G14" s="103">
        <f>일정!E38</f>
        <v>23.5</v>
      </c>
      <c r="H14" s="113">
        <f>$C$4+$E$4</f>
        <v>4</v>
      </c>
      <c r="I14" s="102"/>
      <c r="J14" s="115"/>
      <c r="K14" s="123"/>
      <c r="L14" s="91"/>
      <c r="M14" s="123"/>
      <c r="N14" s="91"/>
      <c r="O14" s="144">
        <f>(G14*H14)+(I14*J14)+(K14*L14)+(M14*N14)</f>
        <v>94</v>
      </c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865"/>
      <c r="C15" s="876" t="s">
        <v>856</v>
      </c>
      <c r="D15" s="877"/>
      <c r="E15" s="878"/>
      <c r="F15" s="72"/>
      <c r="G15" s="99"/>
      <c r="H15" s="114"/>
      <c r="I15" s="122">
        <f>식사!E21</f>
        <v>18</v>
      </c>
      <c r="J15" s="115">
        <f>$C$4+$E$4</f>
        <v>4</v>
      </c>
      <c r="K15" s="120"/>
      <c r="L15" s="91"/>
      <c r="M15" s="120"/>
      <c r="N15" s="91"/>
      <c r="O15" s="144">
        <f t="shared" si="0"/>
        <v>72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922</v>
      </c>
      <c r="AC15" s="10">
        <v>185</v>
      </c>
      <c r="AD15" s="10">
        <v>185</v>
      </c>
    </row>
    <row r="16" spans="1:30">
      <c r="B16" s="865"/>
      <c r="C16" s="907" t="s">
        <v>1169</v>
      </c>
      <c r="D16" s="908"/>
      <c r="E16" s="909"/>
      <c r="F16" s="72"/>
      <c r="G16" s="102"/>
      <c r="H16" s="115"/>
      <c r="I16" s="123"/>
      <c r="J16" s="110"/>
      <c r="K16" s="123"/>
      <c r="L16" s="91"/>
      <c r="M16" s="123"/>
      <c r="N16" s="91"/>
      <c r="O16" s="144">
        <f t="shared" si="0"/>
        <v>0</v>
      </c>
      <c r="Q16" s="7"/>
      <c r="AB16" s="496" t="s">
        <v>726</v>
      </c>
      <c r="AC16" s="10">
        <v>185</v>
      </c>
      <c r="AD16" s="10">
        <v>185</v>
      </c>
    </row>
    <row r="17" spans="2:30">
      <c r="B17" s="865"/>
      <c r="C17" s="910" t="s">
        <v>719</v>
      </c>
      <c r="D17" s="911"/>
      <c r="E17" s="912"/>
      <c r="F17" s="72"/>
      <c r="G17" s="101">
        <f>일정!E26</f>
        <v>18.2</v>
      </c>
      <c r="H17" s="113">
        <f>$C$4+$E$4</f>
        <v>4</v>
      </c>
      <c r="I17" s="102"/>
      <c r="J17" s="115"/>
      <c r="K17" s="120"/>
      <c r="L17" s="91"/>
      <c r="M17" s="120"/>
      <c r="N17" s="91"/>
      <c r="O17" s="144">
        <f>(G17*H17)+(I17*J17)+(K17*L17)+(M17*N17)</f>
        <v>72.8</v>
      </c>
      <c r="Q17" s="7"/>
      <c r="AB17" s="496" t="s">
        <v>931</v>
      </c>
      <c r="AC17" s="10">
        <v>155</v>
      </c>
      <c r="AD17" s="10">
        <v>155</v>
      </c>
    </row>
    <row r="18" spans="2:30">
      <c r="B18" s="865"/>
      <c r="C18" s="876" t="s">
        <v>305</v>
      </c>
      <c r="D18" s="877"/>
      <c r="E18" s="878"/>
      <c r="F18" s="72"/>
      <c r="G18" s="99"/>
      <c r="H18" s="114"/>
      <c r="I18" s="122">
        <f>식사!E7</f>
        <v>18</v>
      </c>
      <c r="J18" s="115">
        <f>$C$4+$E$4</f>
        <v>4</v>
      </c>
      <c r="K18" s="120"/>
      <c r="L18" s="91"/>
      <c r="M18" s="120"/>
      <c r="N18" s="91"/>
      <c r="O18" s="144">
        <f t="shared" si="0"/>
        <v>72</v>
      </c>
      <c r="Q18" s="7"/>
      <c r="AB18" s="496" t="s">
        <v>923</v>
      </c>
      <c r="AC18" s="10">
        <v>185</v>
      </c>
      <c r="AD18" s="10">
        <v>185</v>
      </c>
    </row>
    <row r="19" spans="2:30">
      <c r="B19" s="865"/>
      <c r="C19" s="910" t="s">
        <v>1039</v>
      </c>
      <c r="D19" s="911"/>
      <c r="E19" s="912"/>
      <c r="F19" s="72"/>
      <c r="G19" s="101">
        <f>일정!E30</f>
        <v>15</v>
      </c>
      <c r="H19" s="113">
        <f>$C$4+$E$4</f>
        <v>4</v>
      </c>
      <c r="I19" s="123"/>
      <c r="J19" s="110"/>
      <c r="K19" s="123"/>
      <c r="L19" s="91"/>
      <c r="M19" s="123"/>
      <c r="N19" s="91"/>
      <c r="O19" s="144">
        <f>(G19*H19)+(I19*J19)+(K19*L19)+(M19*N19)</f>
        <v>60</v>
      </c>
      <c r="Q19" s="7"/>
      <c r="AB19" s="497" t="s">
        <v>928</v>
      </c>
      <c r="AC19" s="10">
        <v>280</v>
      </c>
      <c r="AD19" s="10">
        <v>280</v>
      </c>
    </row>
    <row r="20" spans="2:30" ht="18" thickBot="1">
      <c r="B20" s="906"/>
      <c r="C20" s="893" t="s">
        <v>648</v>
      </c>
      <c r="D20" s="894"/>
      <c r="E20" s="895"/>
      <c r="F20" s="72"/>
      <c r="G20" s="102"/>
      <c r="H20" s="115"/>
      <c r="I20" s="123"/>
      <c r="J20" s="110"/>
      <c r="K20" s="123"/>
      <c r="L20" s="91"/>
      <c r="M20" s="123"/>
      <c r="N20" s="91"/>
      <c r="O20" s="144">
        <f t="shared" si="0"/>
        <v>0</v>
      </c>
      <c r="Q20" s="7"/>
      <c r="AB20" s="497" t="s">
        <v>442</v>
      </c>
      <c r="AC20" s="10">
        <v>366</v>
      </c>
      <c r="AD20" s="10">
        <v>366</v>
      </c>
    </row>
    <row r="21" spans="2:30">
      <c r="B21" s="864" t="str">
        <f>TEXT(C5+2,"m월 d일 aaaa")</f>
        <v>3월 18일 화요일</v>
      </c>
      <c r="C21" s="896" t="s">
        <v>240</v>
      </c>
      <c r="D21" s="897"/>
      <c r="E21" s="898"/>
      <c r="F21" s="72"/>
      <c r="G21" s="98"/>
      <c r="H21" s="112"/>
      <c r="I21" s="119"/>
      <c r="J21" s="109"/>
      <c r="K21" s="128">
        <v>150</v>
      </c>
      <c r="L21" s="90">
        <v>1</v>
      </c>
      <c r="M21" s="128">
        <v>360</v>
      </c>
      <c r="N21" s="90">
        <v>1</v>
      </c>
      <c r="O21" s="143">
        <f t="shared" si="0"/>
        <v>510</v>
      </c>
      <c r="Q21" s="159" t="s">
        <v>277</v>
      </c>
    </row>
    <row r="22" spans="2:30">
      <c r="B22" s="888"/>
      <c r="C22" s="899" t="s">
        <v>280</v>
      </c>
      <c r="D22" s="900"/>
      <c r="E22" s="901"/>
      <c r="F22" s="72"/>
      <c r="G22" s="101">
        <f>일정!E3</f>
        <v>75.3</v>
      </c>
      <c r="H22" s="113">
        <f>$C$4+$E$4</f>
        <v>4</v>
      </c>
      <c r="I22" s="123"/>
      <c r="J22" s="110"/>
      <c r="K22" s="123"/>
      <c r="L22" s="91"/>
      <c r="M22" s="123"/>
      <c r="N22" s="91"/>
      <c r="O22" s="144">
        <f t="shared" si="0"/>
        <v>301.2</v>
      </c>
      <c r="Q22" s="7"/>
    </row>
    <row r="23" spans="2:30">
      <c r="B23" s="888"/>
      <c r="C23" s="902" t="s">
        <v>281</v>
      </c>
      <c r="D23" s="903"/>
      <c r="E23" s="904"/>
      <c r="F23" s="72"/>
      <c r="G23" s="99"/>
      <c r="H23" s="110"/>
      <c r="I23" s="122">
        <v>20</v>
      </c>
      <c r="J23" s="115">
        <f>$C$4+$E$4</f>
        <v>4</v>
      </c>
      <c r="K23" s="123"/>
      <c r="L23" s="91"/>
      <c r="M23" s="102"/>
      <c r="N23" s="91"/>
      <c r="O23" s="146">
        <f t="shared" si="0"/>
        <v>80</v>
      </c>
      <c r="Q23" s="7"/>
    </row>
    <row r="24" spans="2:30">
      <c r="B24" s="888"/>
      <c r="C24" s="902" t="s">
        <v>678</v>
      </c>
      <c r="D24" s="903"/>
      <c r="E24" s="904"/>
      <c r="F24" s="72"/>
      <c r="G24" s="99"/>
      <c r="H24" s="110"/>
      <c r="I24" s="122">
        <f>식사!E15</f>
        <v>18</v>
      </c>
      <c r="J24" s="115">
        <f>$C$4+$E$4</f>
        <v>4</v>
      </c>
      <c r="K24" s="123"/>
      <c r="L24" s="91"/>
      <c r="M24" s="123"/>
      <c r="N24" s="91"/>
      <c r="O24" s="146">
        <f t="shared" si="0"/>
        <v>72</v>
      </c>
      <c r="Q24" s="7"/>
    </row>
    <row r="25" spans="2:30">
      <c r="B25" s="889"/>
      <c r="C25" s="890" t="s">
        <v>679</v>
      </c>
      <c r="D25" s="891"/>
      <c r="E25" s="892"/>
      <c r="F25" s="72"/>
      <c r="G25" s="104"/>
      <c r="H25" s="314"/>
      <c r="I25" s="163"/>
      <c r="J25" s="164"/>
      <c r="K25" s="161"/>
      <c r="L25" s="138"/>
      <c r="M25" s="161"/>
      <c r="N25" s="138"/>
      <c r="O25" s="146">
        <f t="shared" si="0"/>
        <v>0</v>
      </c>
      <c r="Q25" s="7"/>
    </row>
    <row r="26" spans="2:30" ht="18" thickBot="1">
      <c r="B26" s="866"/>
      <c r="C26" s="893" t="s">
        <v>648</v>
      </c>
      <c r="D26" s="894"/>
      <c r="E26" s="895"/>
      <c r="F26" s="72"/>
      <c r="G26" s="100"/>
      <c r="H26" s="111"/>
      <c r="I26" s="124"/>
      <c r="J26" s="126"/>
      <c r="K26" s="129"/>
      <c r="L26" s="137"/>
      <c r="M26" s="124"/>
      <c r="N26" s="137"/>
      <c r="O26" s="146">
        <f t="shared" si="0"/>
        <v>0</v>
      </c>
      <c r="Q26" s="7"/>
    </row>
    <row r="27" spans="2:30">
      <c r="B27" s="864" t="str">
        <f>TEXT(C5+3,"m월 d일 aaaa")</f>
        <v>3월 19일 수요일</v>
      </c>
      <c r="C27" s="867" t="s">
        <v>282</v>
      </c>
      <c r="D27" s="868"/>
      <c r="E27" s="869"/>
      <c r="F27" s="72"/>
      <c r="G27" s="98"/>
      <c r="H27" s="112"/>
      <c r="I27" s="119"/>
      <c r="J27" s="109"/>
      <c r="K27" s="128">
        <v>150</v>
      </c>
      <c r="L27" s="90">
        <v>1</v>
      </c>
      <c r="M27" s="128">
        <v>360</v>
      </c>
      <c r="N27" s="90">
        <v>1</v>
      </c>
      <c r="O27" s="143">
        <f t="shared" si="0"/>
        <v>510</v>
      </c>
      <c r="Q27" s="159" t="s">
        <v>278</v>
      </c>
    </row>
    <row r="28" spans="2:30">
      <c r="B28" s="888"/>
      <c r="C28" s="879" t="s">
        <v>187</v>
      </c>
      <c r="D28" s="880"/>
      <c r="E28" s="881"/>
      <c r="F28" s="72"/>
      <c r="G28" s="101">
        <f>일정!E40</f>
        <v>24.5</v>
      </c>
      <c r="H28" s="113">
        <f>$C$4+$E$4</f>
        <v>4</v>
      </c>
      <c r="I28" s="123"/>
      <c r="J28" s="110"/>
      <c r="K28" s="123"/>
      <c r="L28" s="91"/>
      <c r="M28" s="123"/>
      <c r="N28" s="91"/>
      <c r="O28" s="144">
        <f t="shared" si="0"/>
        <v>98</v>
      </c>
    </row>
    <row r="29" spans="2:30">
      <c r="B29" s="888"/>
      <c r="C29" s="876" t="s">
        <v>680</v>
      </c>
      <c r="D29" s="877"/>
      <c r="E29" s="878"/>
      <c r="F29" s="72"/>
      <c r="G29" s="99"/>
      <c r="H29" s="114"/>
      <c r="I29" s="122">
        <f>식사!E36</f>
        <v>20</v>
      </c>
      <c r="J29" s="115">
        <f>$C$4+$E$4</f>
        <v>4</v>
      </c>
      <c r="K29" s="120"/>
      <c r="L29" s="91"/>
      <c r="M29" s="120"/>
      <c r="N29" s="91"/>
      <c r="O29" s="144">
        <f t="shared" si="0"/>
        <v>80</v>
      </c>
    </row>
    <row r="30" spans="2:30">
      <c r="B30" s="888"/>
      <c r="C30" s="879" t="s">
        <v>718</v>
      </c>
      <c r="D30" s="880"/>
      <c r="E30" s="881"/>
      <c r="F30" s="72"/>
      <c r="G30" s="103">
        <f>일정!E34</f>
        <v>8.3000000000000007</v>
      </c>
      <c r="H30" s="113">
        <f>$C$4+$E$4</f>
        <v>4</v>
      </c>
      <c r="I30" s="102"/>
      <c r="J30" s="115"/>
      <c r="K30" s="123"/>
      <c r="L30" s="91"/>
      <c r="M30" s="123"/>
      <c r="N30" s="91"/>
      <c r="O30" s="144">
        <f t="shared" si="0"/>
        <v>33.200000000000003</v>
      </c>
    </row>
    <row r="31" spans="2:30">
      <c r="B31" s="888"/>
      <c r="C31" s="882" t="s">
        <v>681</v>
      </c>
      <c r="D31" s="883"/>
      <c r="E31" s="884"/>
      <c r="F31" s="72"/>
      <c r="G31" s="347"/>
      <c r="H31" s="115"/>
      <c r="I31" s="123"/>
      <c r="J31" s="110"/>
      <c r="K31" s="123"/>
      <c r="L31" s="91"/>
      <c r="M31" s="123"/>
      <c r="N31" s="91"/>
      <c r="O31" s="144">
        <f t="shared" si="0"/>
        <v>0</v>
      </c>
    </row>
    <row r="32" spans="2:30">
      <c r="B32" s="888"/>
      <c r="C32" s="885" t="s">
        <v>682</v>
      </c>
      <c r="D32" s="886"/>
      <c r="E32" s="887"/>
      <c r="F32" s="72"/>
      <c r="G32" s="104"/>
      <c r="H32" s="116"/>
      <c r="I32" s="122">
        <v>20</v>
      </c>
      <c r="J32" s="115">
        <f>$C$4+$E$4</f>
        <v>4</v>
      </c>
      <c r="K32" s="130"/>
      <c r="L32" s="138"/>
      <c r="M32" s="130"/>
      <c r="N32" s="138"/>
      <c r="O32" s="144">
        <f t="shared" si="0"/>
        <v>80</v>
      </c>
    </row>
    <row r="33" spans="2:21">
      <c r="B33" s="889"/>
      <c r="C33" s="890" t="s">
        <v>679</v>
      </c>
      <c r="D33" s="891"/>
      <c r="E33" s="892"/>
      <c r="F33" s="72"/>
      <c r="G33" s="104"/>
      <c r="H33" s="116"/>
      <c r="I33" s="163"/>
      <c r="J33" s="164"/>
      <c r="K33" s="161"/>
      <c r="L33" s="138"/>
      <c r="M33" s="130"/>
      <c r="N33" s="138"/>
      <c r="O33" s="144">
        <f t="shared" si="0"/>
        <v>0</v>
      </c>
    </row>
    <row r="34" spans="2:21" ht="18" thickBot="1">
      <c r="B34" s="866"/>
      <c r="C34" s="893" t="s">
        <v>648</v>
      </c>
      <c r="D34" s="894"/>
      <c r="E34" s="895"/>
      <c r="F34" s="34"/>
      <c r="G34" s="105"/>
      <c r="H34" s="117"/>
      <c r="I34" s="124"/>
      <c r="J34" s="126"/>
      <c r="K34" s="373"/>
      <c r="L34" s="139"/>
      <c r="M34" s="131"/>
      <c r="N34" s="139"/>
      <c r="O34" s="144">
        <f t="shared" si="0"/>
        <v>0</v>
      </c>
      <c r="P34" s="34"/>
      <c r="Q34" s="34"/>
      <c r="R34" s="34"/>
      <c r="S34" s="34"/>
      <c r="T34" s="34"/>
      <c r="U34" s="34"/>
    </row>
    <row r="35" spans="2:21">
      <c r="B35" s="864" t="str">
        <f>TEXT(C5+4,"m월 d일 aaaa")</f>
        <v>3월 20일 목요일</v>
      </c>
      <c r="C35" s="867" t="s">
        <v>683</v>
      </c>
      <c r="D35" s="868"/>
      <c r="E35" s="869"/>
      <c r="F35" s="72"/>
      <c r="G35" s="98"/>
      <c r="H35" s="112"/>
      <c r="I35" s="119"/>
      <c r="J35" s="109"/>
      <c r="K35" s="128">
        <v>150</v>
      </c>
      <c r="L35" s="90">
        <f>L10</f>
        <v>0</v>
      </c>
      <c r="M35" s="128">
        <v>360</v>
      </c>
      <c r="N35" s="90">
        <f>N10</f>
        <v>0</v>
      </c>
      <c r="O35" s="143">
        <f>(G35*H35)+(I35*J35)+(K35*L35)+(M35*N35)</f>
        <v>0</v>
      </c>
      <c r="Q35" s="159" t="s">
        <v>278</v>
      </c>
    </row>
    <row r="36" spans="2:21">
      <c r="B36" s="865"/>
      <c r="C36" s="876" t="s">
        <v>680</v>
      </c>
      <c r="D36" s="877"/>
      <c r="E36" s="878"/>
      <c r="F36" s="72"/>
      <c r="G36" s="99"/>
      <c r="H36" s="114"/>
      <c r="I36" s="122">
        <f>식사!E43</f>
        <v>0</v>
      </c>
      <c r="J36" s="115">
        <f>$C$4+$E$4</f>
        <v>4</v>
      </c>
      <c r="K36" s="120"/>
      <c r="L36" s="91"/>
      <c r="M36" s="120"/>
      <c r="N36" s="91"/>
      <c r="O36" s="144">
        <f t="shared" ref="O36:O39" si="1">(G36*H36)+(I36*J36)+(K36*L36)+(M36*N36)</f>
        <v>0</v>
      </c>
      <c r="Q36" s="159"/>
    </row>
    <row r="37" spans="2:21">
      <c r="B37" s="865"/>
      <c r="C37" s="879" t="s">
        <v>718</v>
      </c>
      <c r="D37" s="880"/>
      <c r="E37" s="881"/>
      <c r="F37" s="72"/>
      <c r="G37" s="103">
        <f>일정!E41</f>
        <v>54.3</v>
      </c>
      <c r="H37" s="113">
        <f>$C$4+$E$4</f>
        <v>4</v>
      </c>
      <c r="I37" s="102"/>
      <c r="J37" s="115"/>
      <c r="K37" s="123"/>
      <c r="L37" s="91"/>
      <c r="M37" s="123"/>
      <c r="N37" s="91"/>
      <c r="O37" s="144">
        <f t="shared" si="1"/>
        <v>217.2</v>
      </c>
      <c r="Q37" s="159"/>
    </row>
    <row r="38" spans="2:21">
      <c r="B38" s="865"/>
      <c r="C38" s="882" t="s">
        <v>681</v>
      </c>
      <c r="D38" s="883"/>
      <c r="E38" s="884"/>
      <c r="F38" s="72"/>
      <c r="G38" s="347"/>
      <c r="H38" s="115"/>
      <c r="I38" s="123"/>
      <c r="J38" s="110"/>
      <c r="K38" s="123"/>
      <c r="L38" s="91"/>
      <c r="M38" s="123"/>
      <c r="N38" s="91"/>
      <c r="O38" s="144">
        <f t="shared" si="1"/>
        <v>0</v>
      </c>
      <c r="Q38" s="159"/>
    </row>
    <row r="39" spans="2:21">
      <c r="B39" s="865"/>
      <c r="C39" s="885" t="s">
        <v>682</v>
      </c>
      <c r="D39" s="886"/>
      <c r="E39" s="887"/>
      <c r="F39" s="72"/>
      <c r="G39" s="104"/>
      <c r="H39" s="116"/>
      <c r="I39" s="122">
        <v>20</v>
      </c>
      <c r="J39" s="115">
        <f>$C$4+$E$4</f>
        <v>4</v>
      </c>
      <c r="K39" s="130"/>
      <c r="L39" s="138"/>
      <c r="M39" s="130"/>
      <c r="N39" s="138"/>
      <c r="O39" s="144">
        <f t="shared" si="1"/>
        <v>80</v>
      </c>
      <c r="Q39" s="159"/>
    </row>
    <row r="40" spans="2:21">
      <c r="B40" s="865"/>
      <c r="C40" s="882" t="s">
        <v>1185</v>
      </c>
      <c r="D40" s="883"/>
      <c r="E40" s="884"/>
      <c r="F40" s="72"/>
      <c r="G40" s="104"/>
      <c r="H40" s="116"/>
      <c r="I40" s="505"/>
      <c r="J40" s="164"/>
      <c r="K40" s="130"/>
      <c r="L40" s="138"/>
      <c r="M40" s="130"/>
      <c r="N40" s="138"/>
      <c r="O40" s="148"/>
      <c r="Q40" s="159"/>
    </row>
    <row r="41" spans="2:21">
      <c r="B41" s="865"/>
      <c r="C41" s="882" t="s">
        <v>1184</v>
      </c>
      <c r="D41" s="883"/>
      <c r="E41" s="884"/>
      <c r="F41" s="72"/>
      <c r="G41" s="104"/>
      <c r="H41" s="116"/>
      <c r="I41" s="505"/>
      <c r="J41" s="164"/>
      <c r="K41" s="130"/>
      <c r="L41" s="138"/>
      <c r="M41" s="130"/>
      <c r="N41" s="138"/>
      <c r="O41" s="148"/>
      <c r="Q41" s="159"/>
    </row>
    <row r="42" spans="2:21" ht="18" thickBot="1">
      <c r="B42" s="866"/>
      <c r="C42" s="870" t="s">
        <v>596</v>
      </c>
      <c r="D42" s="871"/>
      <c r="E42" s="500">
        <f>상품리스트!I3</f>
        <v>0</v>
      </c>
      <c r="F42" s="34"/>
      <c r="G42" s="105"/>
      <c r="H42" s="117"/>
      <c r="I42" s="124"/>
      <c r="J42" s="126"/>
      <c r="K42" s="131"/>
      <c r="L42" s="139"/>
      <c r="M42" s="131"/>
      <c r="N42" s="139"/>
      <c r="O42" s="149">
        <f>(G42*H42)+(I42*J42)+(K42*L42)+(M42*N42)</f>
        <v>0</v>
      </c>
      <c r="P42" s="34"/>
      <c r="Q42" s="34"/>
      <c r="R42" s="34"/>
      <c r="S42" s="34"/>
      <c r="T42" s="34"/>
      <c r="U42" s="34"/>
    </row>
    <row r="43" spans="2:21" ht="18" thickBot="1">
      <c r="B43" s="72"/>
      <c r="C43" s="72"/>
      <c r="D43" s="72"/>
      <c r="E43" s="72"/>
      <c r="F43" s="72"/>
      <c r="G43" s="72"/>
      <c r="H43" s="72"/>
      <c r="K43" s="132">
        <f>SUM(K10:K34)</f>
        <v>450</v>
      </c>
      <c r="L43" s="72"/>
      <c r="M43" s="132">
        <f>SUM(M10:M34)</f>
        <v>1080</v>
      </c>
      <c r="N43" s="72"/>
      <c r="O43" s="150"/>
      <c r="P43" s="156"/>
    </row>
    <row r="44" spans="2:21">
      <c r="B44" s="872" t="s">
        <v>246</v>
      </c>
      <c r="C44" s="873" t="s">
        <v>604</v>
      </c>
      <c r="D44" s="874"/>
      <c r="E44" s="875"/>
      <c r="F44" s="34"/>
      <c r="G44" s="862">
        <f>$C$4+$E$4</f>
        <v>4</v>
      </c>
      <c r="H44" s="863"/>
      <c r="I44" s="854">
        <v>10</v>
      </c>
      <c r="J44" s="854"/>
      <c r="K44" s="855">
        <v>1</v>
      </c>
      <c r="L44" s="855"/>
      <c r="M44" s="855"/>
      <c r="N44" s="855"/>
      <c r="O44" s="151">
        <f>G44*I44*K44</f>
        <v>40</v>
      </c>
    </row>
    <row r="45" spans="2:21" ht="18" thickBot="1">
      <c r="B45" s="827"/>
      <c r="C45" s="856" t="s">
        <v>451</v>
      </c>
      <c r="D45" s="857"/>
      <c r="E45" s="858"/>
      <c r="F45" s="34"/>
      <c r="G45" s="859">
        <v>50</v>
      </c>
      <c r="H45" s="860"/>
      <c r="I45" s="860"/>
      <c r="J45" s="860"/>
      <c r="K45" s="861">
        <f>C4</f>
        <v>4</v>
      </c>
      <c r="L45" s="861"/>
      <c r="M45" s="861"/>
      <c r="N45" s="861"/>
      <c r="O45" s="152">
        <f>G45*K45</f>
        <v>200</v>
      </c>
    </row>
    <row r="46" spans="2:21">
      <c r="O46" s="150"/>
    </row>
  </sheetData>
  <mergeCells count="66"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  <mergeCell ref="H7:K7"/>
    <mergeCell ref="M8:N8"/>
    <mergeCell ref="O8:O9"/>
    <mergeCell ref="B10:B12"/>
    <mergeCell ref="C10:D10"/>
    <mergeCell ref="C11:E11"/>
    <mergeCell ref="C12:E12"/>
    <mergeCell ref="G8:H8"/>
    <mergeCell ref="I8:J8"/>
    <mergeCell ref="K8:L8"/>
    <mergeCell ref="B13:B20"/>
    <mergeCell ref="C13:E13"/>
    <mergeCell ref="C14:E14"/>
    <mergeCell ref="C15:E15"/>
    <mergeCell ref="C16:E16"/>
    <mergeCell ref="C17:E17"/>
    <mergeCell ref="C18:E18"/>
    <mergeCell ref="C19:E19"/>
    <mergeCell ref="C20:E20"/>
    <mergeCell ref="B21:B26"/>
    <mergeCell ref="C21:E21"/>
    <mergeCell ref="C22:E22"/>
    <mergeCell ref="C23:E23"/>
    <mergeCell ref="C24:E24"/>
    <mergeCell ref="C25:E25"/>
    <mergeCell ref="C26:E26"/>
    <mergeCell ref="B27:B34"/>
    <mergeCell ref="C27:E27"/>
    <mergeCell ref="C28:E28"/>
    <mergeCell ref="C29:E29"/>
    <mergeCell ref="C30:E30"/>
    <mergeCell ref="C31:E31"/>
    <mergeCell ref="C32:E32"/>
    <mergeCell ref="C33:E33"/>
    <mergeCell ref="C34:E34"/>
    <mergeCell ref="B35:B42"/>
    <mergeCell ref="C35:E35"/>
    <mergeCell ref="C42:D42"/>
    <mergeCell ref="B44:B45"/>
    <mergeCell ref="C44:E44"/>
    <mergeCell ref="C36:E36"/>
    <mergeCell ref="C37:E37"/>
    <mergeCell ref="C38:E38"/>
    <mergeCell ref="C39:E39"/>
    <mergeCell ref="C41:E41"/>
    <mergeCell ref="C40:E40"/>
    <mergeCell ref="I44:J44"/>
    <mergeCell ref="K44:N44"/>
    <mergeCell ref="C45:E45"/>
    <mergeCell ref="G45:J45"/>
    <mergeCell ref="K45:N45"/>
    <mergeCell ref="G44:H44"/>
  </mergeCells>
  <phoneticPr fontId="1" type="noConversion"/>
  <hyperlinks>
    <hyperlink ref="A1" location="상품리스트!A1" display="home" xr:uid="{8EF4C35E-E57C-4E47-8ACF-2B4CACC1A07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7B32-AA8A-4339-9483-70981E88E1FF}">
  <sheetPr>
    <tabColor theme="7"/>
  </sheetPr>
  <dimension ref="A2:O56"/>
  <sheetViews>
    <sheetView topLeftCell="A9" zoomScale="156" workbookViewId="0">
      <selection activeCell="B10" sqref="B10"/>
    </sheetView>
  </sheetViews>
  <sheetFormatPr baseColWidth="10" defaultColWidth="8.83203125" defaultRowHeight="17"/>
  <cols>
    <col min="2" max="2" width="16.33203125" style="35" customWidth="1"/>
    <col min="3" max="3" width="88.6640625" bestFit="1" customWidth="1"/>
    <col min="5" max="5" width="7.5" style="3" bestFit="1" customWidth="1"/>
    <col min="6" max="6" width="6.33203125" style="45" bestFit="1" customWidth="1"/>
    <col min="7" max="7" width="2.6640625" style="3" customWidth="1"/>
    <col min="8" max="8" width="6.1640625" style="3" bestFit="1" customWidth="1"/>
    <col min="9" max="9" width="6.33203125" style="3" bestFit="1" customWidth="1"/>
  </cols>
  <sheetData>
    <row r="2" spans="1:15">
      <c r="B2" s="216" t="s">
        <v>238</v>
      </c>
      <c r="C2" s="182" t="s">
        <v>294</v>
      </c>
      <c r="D2" s="182" t="s">
        <v>295</v>
      </c>
      <c r="E2" s="182"/>
      <c r="F2" s="216"/>
      <c r="G2" s="551"/>
      <c r="H2" s="551"/>
      <c r="I2" s="551"/>
      <c r="K2" s="667" t="s">
        <v>1326</v>
      </c>
      <c r="L2" s="667" t="s">
        <v>1327</v>
      </c>
      <c r="M2" s="667" t="s">
        <v>1326</v>
      </c>
      <c r="N2" s="667" t="s">
        <v>1328</v>
      </c>
    </row>
    <row r="3" spans="1:15">
      <c r="B3" s="550" t="s">
        <v>1031</v>
      </c>
      <c r="C3" s="7" t="s">
        <v>1026</v>
      </c>
      <c r="D3" s="165" t="s">
        <v>720</v>
      </c>
      <c r="E3" s="10"/>
      <c r="F3" s="491"/>
      <c r="G3" s="10"/>
      <c r="H3" s="10"/>
      <c r="I3" s="10"/>
      <c r="J3" s="7"/>
      <c r="K3" s="7"/>
      <c r="L3" s="7"/>
      <c r="M3" s="7"/>
      <c r="N3" s="7"/>
      <c r="O3" s="7"/>
    </row>
    <row r="4" spans="1:15">
      <c r="B4" s="550" t="s">
        <v>1032</v>
      </c>
      <c r="C4" s="561" t="s">
        <v>1210</v>
      </c>
      <c r="D4" s="44" t="s">
        <v>296</v>
      </c>
      <c r="E4" s="10"/>
      <c r="F4" s="491"/>
      <c r="G4" s="10"/>
      <c r="H4" s="10"/>
      <c r="I4" s="10"/>
      <c r="J4" s="7"/>
      <c r="K4" s="7"/>
      <c r="L4" s="7"/>
      <c r="M4" s="7"/>
      <c r="N4" s="7"/>
      <c r="O4" s="7"/>
    </row>
    <row r="5" spans="1:15">
      <c r="B5" s="550" t="s">
        <v>1033</v>
      </c>
      <c r="C5" s="562" t="s">
        <v>1041</v>
      </c>
      <c r="D5" s="44" t="s">
        <v>296</v>
      </c>
      <c r="E5" s="10"/>
      <c r="F5" s="491"/>
      <c r="G5" s="10"/>
      <c r="H5" s="10"/>
      <c r="I5" s="10"/>
      <c r="J5" s="7"/>
      <c r="K5" s="7"/>
      <c r="L5" s="7"/>
      <c r="M5" s="7"/>
      <c r="N5" s="7"/>
      <c r="O5" s="7"/>
    </row>
    <row r="6" spans="1:15">
      <c r="B6" s="550" t="s">
        <v>1034</v>
      </c>
      <c r="C6" s="562" t="s">
        <v>1042</v>
      </c>
      <c r="D6" s="44" t="s">
        <v>296</v>
      </c>
      <c r="E6" s="10"/>
      <c r="F6" s="491"/>
      <c r="G6" s="10"/>
      <c r="H6" s="10"/>
      <c r="I6" s="10"/>
      <c r="J6" s="7"/>
      <c r="K6" s="7"/>
      <c r="L6" s="7"/>
      <c r="M6" s="7"/>
      <c r="N6" s="7"/>
      <c r="O6" s="7"/>
    </row>
    <row r="7" spans="1:15">
      <c r="B7" s="550" t="s">
        <v>1040</v>
      </c>
      <c r="C7" s="562" t="s">
        <v>1043</v>
      </c>
      <c r="D7" s="44" t="s">
        <v>296</v>
      </c>
      <c r="E7" s="10"/>
      <c r="F7" s="491"/>
      <c r="G7" s="10"/>
      <c r="H7" s="10"/>
      <c r="I7" s="10"/>
      <c r="J7" s="7"/>
      <c r="K7" s="7"/>
      <c r="L7" s="7"/>
      <c r="M7" s="7"/>
      <c r="N7" s="7"/>
      <c r="O7" s="7"/>
    </row>
    <row r="8" spans="1:15">
      <c r="B8" s="572" t="s">
        <v>1333</v>
      </c>
      <c r="C8" s="573" t="s">
        <v>1334</v>
      </c>
      <c r="D8" s="574" t="s">
        <v>296</v>
      </c>
      <c r="E8" s="271" t="s">
        <v>1009</v>
      </c>
      <c r="F8" s="575">
        <v>0.89583333333333337</v>
      </c>
      <c r="G8" s="271"/>
      <c r="H8" s="271" t="s">
        <v>1010</v>
      </c>
      <c r="I8" s="575">
        <v>0.95138888888888884</v>
      </c>
      <c r="J8" s="7"/>
      <c r="K8" s="7"/>
      <c r="L8" s="7"/>
      <c r="M8" s="7"/>
      <c r="N8" s="7"/>
      <c r="O8" s="7"/>
    </row>
    <row r="9" spans="1:15">
      <c r="B9" s="550" t="s">
        <v>978</v>
      </c>
      <c r="C9" s="562" t="s">
        <v>1045</v>
      </c>
      <c r="D9" s="44" t="s">
        <v>296</v>
      </c>
      <c r="E9" s="10" t="s">
        <v>979</v>
      </c>
      <c r="F9" s="491">
        <v>0.98611111111111116</v>
      </c>
      <c r="G9" s="10"/>
      <c r="H9" s="10" t="s">
        <v>980</v>
      </c>
      <c r="I9" s="491">
        <v>4.8611111111111112E-2</v>
      </c>
      <c r="J9" s="7"/>
      <c r="K9" s="7"/>
      <c r="L9" s="7"/>
      <c r="M9" s="7"/>
      <c r="N9" s="7"/>
      <c r="O9" s="7"/>
    </row>
    <row r="10" spans="1:15">
      <c r="A10" s="571"/>
      <c r="B10" s="572" t="s">
        <v>1239</v>
      </c>
      <c r="C10" s="573" t="s">
        <v>1235</v>
      </c>
      <c r="D10" s="574" t="s">
        <v>296</v>
      </c>
      <c r="E10" s="271" t="s">
        <v>979</v>
      </c>
      <c r="F10" s="575">
        <v>0.98611111111111116</v>
      </c>
      <c r="G10" s="271"/>
      <c r="H10" s="271" t="s">
        <v>980</v>
      </c>
      <c r="I10" s="575">
        <v>4.8611111111111112E-2</v>
      </c>
      <c r="J10" s="7"/>
      <c r="K10" s="7"/>
      <c r="L10" s="7"/>
      <c r="M10" s="7"/>
      <c r="N10" s="7"/>
      <c r="O10" s="7"/>
    </row>
    <row r="11" spans="1:15">
      <c r="A11" s="571"/>
      <c r="B11" s="572" t="s">
        <v>1208</v>
      </c>
      <c r="C11" s="573" t="s">
        <v>1325</v>
      </c>
      <c r="D11" s="574" t="s">
        <v>296</v>
      </c>
      <c r="E11" s="271" t="s">
        <v>1121</v>
      </c>
      <c r="F11" s="575">
        <v>0.59722222222222221</v>
      </c>
      <c r="G11" s="271"/>
      <c r="H11" s="271" t="s">
        <v>1122</v>
      </c>
      <c r="I11" s="575">
        <v>6.9444444444444441E-3</v>
      </c>
      <c r="J11" s="7"/>
      <c r="K11" s="7"/>
      <c r="L11" s="7"/>
      <c r="M11" s="7"/>
      <c r="N11" s="7"/>
      <c r="O11" s="7"/>
    </row>
    <row r="12" spans="1:15">
      <c r="B12" s="563" t="s">
        <v>1223</v>
      </c>
      <c r="C12" s="562" t="s">
        <v>1224</v>
      </c>
      <c r="D12" s="44" t="s">
        <v>296</v>
      </c>
      <c r="E12" s="10" t="s">
        <v>1121</v>
      </c>
      <c r="F12" s="491">
        <v>0.60069444444444442</v>
      </c>
      <c r="G12" s="10"/>
      <c r="H12" s="10" t="s">
        <v>1122</v>
      </c>
      <c r="I12" s="491">
        <v>6.9444444444444441E-3</v>
      </c>
      <c r="J12" s="7"/>
      <c r="K12" s="7"/>
      <c r="L12" s="7"/>
      <c r="M12" s="7"/>
      <c r="N12" s="7"/>
      <c r="O12" s="7"/>
    </row>
    <row r="13" spans="1:15">
      <c r="A13" s="571"/>
      <c r="B13" s="572" t="s">
        <v>1238</v>
      </c>
      <c r="C13" s="573" t="s">
        <v>1235</v>
      </c>
      <c r="D13" s="574" t="s">
        <v>296</v>
      </c>
      <c r="E13" s="271" t="s">
        <v>1236</v>
      </c>
      <c r="F13" s="575">
        <v>0.91666666666666663</v>
      </c>
      <c r="G13" s="271"/>
      <c r="H13" s="271" t="s">
        <v>1237</v>
      </c>
      <c r="I13" s="575">
        <v>0.10069444444444445</v>
      </c>
      <c r="J13" s="7"/>
      <c r="K13" s="7"/>
      <c r="L13" s="7"/>
      <c r="M13" s="7"/>
      <c r="N13" s="7"/>
      <c r="O13" s="7"/>
    </row>
    <row r="14" spans="1:15">
      <c r="B14" s="563" t="s">
        <v>1108</v>
      </c>
      <c r="C14" s="564" t="s">
        <v>1107</v>
      </c>
      <c r="D14" s="44"/>
      <c r="E14" s="10"/>
      <c r="F14" s="491"/>
      <c r="G14" s="10"/>
      <c r="H14" s="10"/>
      <c r="I14" s="491"/>
      <c r="J14" s="7"/>
      <c r="K14" s="7"/>
      <c r="L14" s="7"/>
      <c r="M14" s="7"/>
      <c r="N14" s="7"/>
      <c r="O14" s="7"/>
    </row>
    <row r="15" spans="1:15">
      <c r="B15" s="550" t="s">
        <v>965</v>
      </c>
      <c r="C15" s="165" t="s">
        <v>964</v>
      </c>
      <c r="D15" s="44" t="s">
        <v>296</v>
      </c>
      <c r="E15" s="10" t="s">
        <v>342</v>
      </c>
      <c r="F15" s="491">
        <v>1.7361111111111112E-2</v>
      </c>
      <c r="G15" s="10"/>
      <c r="H15" s="10" t="s">
        <v>966</v>
      </c>
      <c r="I15" s="491">
        <v>7.9861111111111105E-2</v>
      </c>
      <c r="J15" s="7"/>
      <c r="K15" s="7"/>
      <c r="L15" s="7"/>
      <c r="M15" s="7"/>
      <c r="N15" s="7"/>
      <c r="O15" s="7"/>
    </row>
    <row r="16" spans="1:15">
      <c r="A16" s="571"/>
      <c r="B16" s="572" t="s">
        <v>1212</v>
      </c>
      <c r="C16" s="577" t="s">
        <v>1213</v>
      </c>
      <c r="D16" s="574" t="s">
        <v>296</v>
      </c>
      <c r="E16" s="271" t="s">
        <v>1214</v>
      </c>
      <c r="F16" s="575">
        <v>2.0833333333333332E-2</v>
      </c>
      <c r="G16" s="271"/>
      <c r="H16" s="271" t="s">
        <v>1215</v>
      </c>
      <c r="I16" s="575">
        <v>8.3333333333333329E-2</v>
      </c>
      <c r="J16" s="7"/>
      <c r="K16" s="7"/>
      <c r="L16" s="7"/>
      <c r="M16" s="7"/>
      <c r="N16" s="7"/>
      <c r="O16" s="7"/>
    </row>
    <row r="17" spans="1:15">
      <c r="A17" s="571"/>
      <c r="B17" s="572" t="s">
        <v>1246</v>
      </c>
      <c r="C17" s="577" t="s">
        <v>1213</v>
      </c>
      <c r="D17" s="574" t="s">
        <v>296</v>
      </c>
      <c r="E17" s="271" t="s">
        <v>1247</v>
      </c>
      <c r="F17" s="575">
        <v>0.82986111111111116</v>
      </c>
      <c r="G17" s="271"/>
      <c r="H17" s="271" t="s">
        <v>1248</v>
      </c>
      <c r="I17" s="575">
        <v>0.9375</v>
      </c>
      <c r="J17" s="7"/>
      <c r="K17" s="7"/>
      <c r="L17" s="7"/>
      <c r="M17" s="7"/>
      <c r="N17" s="7"/>
      <c r="O17" s="7"/>
    </row>
    <row r="18" spans="1:15">
      <c r="B18" s="550" t="s">
        <v>1007</v>
      </c>
      <c r="C18" s="165" t="s">
        <v>1008</v>
      </c>
      <c r="D18" s="44" t="s">
        <v>296</v>
      </c>
      <c r="E18" s="10" t="s">
        <v>1009</v>
      </c>
      <c r="F18" s="491">
        <v>0.91319444444444442</v>
      </c>
      <c r="G18" s="10"/>
      <c r="H18" s="10" t="s">
        <v>1010</v>
      </c>
      <c r="I18" s="491">
        <v>0.97916666666666663</v>
      </c>
      <c r="J18" s="7"/>
      <c r="K18" s="7"/>
      <c r="L18" s="7"/>
      <c r="M18" s="7"/>
      <c r="N18" s="7"/>
      <c r="O18" s="7"/>
    </row>
    <row r="19" spans="1:15">
      <c r="B19" s="550" t="s">
        <v>1015</v>
      </c>
      <c r="C19" s="165" t="s">
        <v>1047</v>
      </c>
      <c r="D19" s="44" t="s">
        <v>296</v>
      </c>
      <c r="E19" s="10" t="s">
        <v>1009</v>
      </c>
      <c r="F19" s="491">
        <v>0.91319444444444442</v>
      </c>
      <c r="G19" s="10"/>
      <c r="H19" s="10" t="s">
        <v>1010</v>
      </c>
      <c r="I19" s="491">
        <v>0.97916666666666663</v>
      </c>
      <c r="J19" s="7"/>
      <c r="K19" s="7"/>
      <c r="L19" s="7"/>
      <c r="M19" s="7"/>
      <c r="N19" s="7"/>
      <c r="O19" s="7"/>
    </row>
    <row r="20" spans="1:15">
      <c r="B20" s="563" t="s">
        <v>1335</v>
      </c>
      <c r="C20" s="165" t="s">
        <v>1336</v>
      </c>
      <c r="D20" s="44" t="s">
        <v>296</v>
      </c>
      <c r="E20" s="10" t="s">
        <v>1121</v>
      </c>
      <c r="F20" s="491">
        <v>0.59375</v>
      </c>
      <c r="G20" s="10"/>
      <c r="H20" s="10" t="s">
        <v>1122</v>
      </c>
      <c r="I20" s="491">
        <v>6.9444444444444441E-3</v>
      </c>
      <c r="J20" s="7"/>
      <c r="K20" s="7"/>
      <c r="L20" s="7"/>
      <c r="M20" s="7"/>
      <c r="N20" s="7"/>
      <c r="O20" s="7"/>
    </row>
    <row r="21" spans="1:15">
      <c r="B21" s="550" t="s">
        <v>1021</v>
      </c>
      <c r="C21" s="565" t="s">
        <v>1046</v>
      </c>
      <c r="D21" s="44" t="s">
        <v>296</v>
      </c>
      <c r="E21" s="10" t="s">
        <v>1022</v>
      </c>
      <c r="F21" s="491">
        <v>0.98611111111111116</v>
      </c>
      <c r="G21" s="10"/>
      <c r="H21" s="10" t="s">
        <v>1023</v>
      </c>
      <c r="I21" s="491">
        <v>4.8611111111111112E-2</v>
      </c>
      <c r="J21" s="7"/>
      <c r="K21" s="7"/>
      <c r="L21" s="7"/>
      <c r="M21" s="7"/>
      <c r="N21" s="7"/>
      <c r="O21" s="7"/>
    </row>
    <row r="22" spans="1:15">
      <c r="B22" s="563" t="s">
        <v>655</v>
      </c>
      <c r="C22" s="565"/>
      <c r="D22" s="44"/>
      <c r="E22" s="10"/>
      <c r="F22" s="491"/>
      <c r="G22" s="10"/>
      <c r="H22" s="10"/>
      <c r="I22" s="491"/>
      <c r="J22" s="7"/>
      <c r="K22" s="7"/>
      <c r="L22" s="7"/>
      <c r="M22" s="7"/>
      <c r="N22" s="7"/>
      <c r="O22" s="7"/>
    </row>
    <row r="23" spans="1:15">
      <c r="B23" s="572" t="s">
        <v>1315</v>
      </c>
      <c r="C23" s="576" t="s">
        <v>1316</v>
      </c>
      <c r="D23" s="574" t="s">
        <v>296</v>
      </c>
      <c r="E23" s="271" t="s">
        <v>1317</v>
      </c>
      <c r="F23" s="575">
        <v>0.89583333333333337</v>
      </c>
      <c r="G23" s="271"/>
      <c r="H23" s="271" t="s">
        <v>1318</v>
      </c>
      <c r="I23" s="575">
        <v>0.95833333333333337</v>
      </c>
      <c r="J23" s="7"/>
      <c r="K23" s="7"/>
      <c r="L23" s="7"/>
      <c r="M23" s="7"/>
      <c r="N23" s="7"/>
      <c r="O23" s="7"/>
    </row>
    <row r="24" spans="1:15">
      <c r="A24" s="571"/>
      <c r="B24" s="572" t="s">
        <v>1242</v>
      </c>
      <c r="C24" s="576" t="s">
        <v>1241</v>
      </c>
      <c r="D24" s="574" t="s">
        <v>296</v>
      </c>
      <c r="E24" s="271" t="s">
        <v>1121</v>
      </c>
      <c r="F24" s="575">
        <v>0.59722222222222221</v>
      </c>
      <c r="G24" s="271"/>
      <c r="H24" s="271" t="s">
        <v>1122</v>
      </c>
      <c r="I24" s="575">
        <v>6.9444444444444441E-3</v>
      </c>
      <c r="J24" s="7"/>
      <c r="K24" s="7"/>
      <c r="L24" s="7"/>
      <c r="M24" s="7"/>
      <c r="N24" s="7"/>
      <c r="O24" s="7"/>
    </row>
    <row r="25" spans="1:15">
      <c r="B25" s="563" t="s">
        <v>1145</v>
      </c>
      <c r="C25" s="565" t="s">
        <v>1146</v>
      </c>
      <c r="D25" s="44" t="s">
        <v>296</v>
      </c>
      <c r="E25" s="10" t="s">
        <v>1009</v>
      </c>
      <c r="F25" s="491">
        <v>0.91319444444444442</v>
      </c>
      <c r="G25" s="10"/>
      <c r="H25" s="10" t="s">
        <v>1010</v>
      </c>
      <c r="I25" s="491">
        <v>0.97916666666666663</v>
      </c>
      <c r="J25" s="7"/>
      <c r="K25" s="7"/>
      <c r="L25" s="7"/>
      <c r="M25" s="7"/>
      <c r="N25" s="7"/>
      <c r="O25" s="7"/>
    </row>
    <row r="26" spans="1:15">
      <c r="B26" s="550" t="s">
        <v>1106</v>
      </c>
      <c r="C26" s="565"/>
      <c r="D26" s="44"/>
      <c r="E26" s="10"/>
      <c r="F26" s="491"/>
      <c r="G26" s="10"/>
      <c r="H26" s="10"/>
      <c r="I26" s="491"/>
      <c r="J26" s="7"/>
      <c r="K26" s="7"/>
      <c r="L26" s="7"/>
      <c r="M26" s="7"/>
      <c r="N26" s="7"/>
      <c r="O26" s="7"/>
    </row>
    <row r="27" spans="1:15">
      <c r="A27" s="571"/>
      <c r="B27" s="572" t="s">
        <v>1147</v>
      </c>
      <c r="C27" s="576" t="s">
        <v>1148</v>
      </c>
      <c r="D27" s="574" t="s">
        <v>296</v>
      </c>
      <c r="E27" s="271" t="s">
        <v>1009</v>
      </c>
      <c r="F27" s="575">
        <v>0.91319444444444442</v>
      </c>
      <c r="G27" s="271"/>
      <c r="H27" s="271" t="s">
        <v>1010</v>
      </c>
      <c r="I27" s="575">
        <v>0.97916666666666663</v>
      </c>
      <c r="J27" s="7"/>
      <c r="K27" s="7"/>
      <c r="L27" s="7"/>
      <c r="M27" s="7"/>
      <c r="N27" s="7"/>
      <c r="O27" s="7"/>
    </row>
    <row r="28" spans="1:15">
      <c r="A28" s="566"/>
      <c r="B28" s="570" t="s">
        <v>1226</v>
      </c>
      <c r="C28" s="567" t="s">
        <v>1227</v>
      </c>
      <c r="D28" s="568" t="s">
        <v>296</v>
      </c>
      <c r="E28" s="568" t="s">
        <v>979</v>
      </c>
      <c r="F28" s="569">
        <v>0.98611111111111116</v>
      </c>
      <c r="G28" s="568"/>
      <c r="H28" s="568" t="s">
        <v>980</v>
      </c>
      <c r="I28" s="569">
        <v>4.8611111111111112E-2</v>
      </c>
      <c r="J28" s="7"/>
      <c r="K28" s="7"/>
      <c r="L28" s="7"/>
      <c r="M28" s="7"/>
      <c r="N28" s="7"/>
      <c r="O28" s="7"/>
    </row>
    <row r="29" spans="1:15">
      <c r="B29" s="563" t="s">
        <v>539</v>
      </c>
      <c r="C29" s="165"/>
      <c r="D29" s="44"/>
      <c r="E29" s="10"/>
      <c r="F29" s="491"/>
      <c r="G29" s="10"/>
      <c r="H29" s="10"/>
      <c r="I29" s="491"/>
      <c r="J29" s="7"/>
      <c r="K29" s="7"/>
      <c r="L29" s="7"/>
      <c r="M29" s="7"/>
      <c r="N29" s="7"/>
      <c r="O29" s="7"/>
    </row>
    <row r="30" spans="1:15">
      <c r="B30" s="550" t="s">
        <v>988</v>
      </c>
      <c r="C30" s="165" t="s">
        <v>989</v>
      </c>
      <c r="D30" s="44" t="s">
        <v>296</v>
      </c>
      <c r="E30" s="10" t="s">
        <v>945</v>
      </c>
      <c r="F30" s="491">
        <v>0.97569444444444442</v>
      </c>
      <c r="G30" s="10"/>
      <c r="H30" s="10" t="s">
        <v>946</v>
      </c>
      <c r="I30" s="491">
        <v>1.7361111111111112E-2</v>
      </c>
      <c r="J30" s="7"/>
      <c r="K30" s="7"/>
      <c r="L30" s="7"/>
      <c r="M30" s="7"/>
      <c r="N30" s="7"/>
      <c r="O30" s="7"/>
    </row>
    <row r="31" spans="1:15">
      <c r="B31" s="563" t="s">
        <v>593</v>
      </c>
      <c r="C31" s="165"/>
      <c r="D31" s="44"/>
      <c r="E31" s="10"/>
      <c r="F31" s="491"/>
      <c r="G31" s="10"/>
      <c r="H31" s="10"/>
      <c r="I31" s="491"/>
      <c r="J31" s="7"/>
      <c r="K31" s="7"/>
      <c r="L31" s="7"/>
      <c r="M31" s="7"/>
      <c r="N31" s="7"/>
      <c r="O31" s="7"/>
    </row>
    <row r="32" spans="1:15">
      <c r="B32" s="550" t="s">
        <v>943</v>
      </c>
      <c r="C32" s="165" t="s">
        <v>1049</v>
      </c>
      <c r="D32" s="44" t="s">
        <v>296</v>
      </c>
      <c r="E32" s="10" t="s">
        <v>945</v>
      </c>
      <c r="F32" s="491">
        <v>0.97569444444444442</v>
      </c>
      <c r="G32" s="10"/>
      <c r="H32" s="10" t="s">
        <v>946</v>
      </c>
      <c r="I32" s="491">
        <v>1.7361111111111112E-2</v>
      </c>
      <c r="J32" s="7"/>
      <c r="K32" s="7"/>
      <c r="L32" s="7"/>
      <c r="M32" s="7"/>
      <c r="N32" s="7"/>
      <c r="O32" s="7"/>
    </row>
    <row r="33" spans="1:15">
      <c r="B33" s="550" t="s">
        <v>1105</v>
      </c>
      <c r="C33" s="165"/>
      <c r="D33" s="44"/>
      <c r="E33" s="10"/>
      <c r="F33" s="491"/>
      <c r="G33" s="10"/>
      <c r="H33" s="10"/>
      <c r="I33" s="491"/>
      <c r="J33" s="7"/>
      <c r="K33" s="7"/>
      <c r="L33" s="7"/>
      <c r="M33" s="7"/>
      <c r="N33" s="7"/>
      <c r="O33" s="7"/>
    </row>
    <row r="34" spans="1:15">
      <c r="A34" s="571"/>
      <c r="B34" s="664" t="s">
        <v>991</v>
      </c>
      <c r="C34" s="577" t="s">
        <v>992</v>
      </c>
      <c r="D34" s="574" t="s">
        <v>296</v>
      </c>
      <c r="E34" s="271" t="s">
        <v>945</v>
      </c>
      <c r="F34" s="575">
        <v>0.97569444444444442</v>
      </c>
      <c r="G34" s="271"/>
      <c r="H34" s="271" t="s">
        <v>946</v>
      </c>
      <c r="I34" s="575">
        <v>1.7361111111111112E-2</v>
      </c>
      <c r="J34" s="7"/>
      <c r="K34" s="7"/>
      <c r="L34" s="7"/>
      <c r="M34" s="7"/>
      <c r="N34" s="7"/>
      <c r="O34" s="7"/>
    </row>
    <row r="35" spans="1:15">
      <c r="B35" s="550" t="s">
        <v>997</v>
      </c>
      <c r="C35" s="165" t="s">
        <v>998</v>
      </c>
      <c r="D35" s="44"/>
      <c r="E35" s="10" t="s">
        <v>945</v>
      </c>
      <c r="F35" s="491">
        <v>0.97569444444444442</v>
      </c>
      <c r="G35" s="10"/>
      <c r="H35" s="10" t="s">
        <v>946</v>
      </c>
      <c r="I35" s="491">
        <v>1.7361111111111112E-2</v>
      </c>
      <c r="J35" s="7"/>
      <c r="K35" s="7"/>
      <c r="L35" s="7"/>
      <c r="M35" s="7"/>
      <c r="N35" s="7"/>
      <c r="O35" s="7"/>
    </row>
    <row r="36" spans="1:15">
      <c r="B36" s="550" t="s">
        <v>891</v>
      </c>
      <c r="C36" s="165" t="s">
        <v>963</v>
      </c>
      <c r="D36" s="44" t="s">
        <v>961</v>
      </c>
      <c r="E36" s="10" t="s">
        <v>886</v>
      </c>
      <c r="F36" s="491">
        <v>0.54861111111111116</v>
      </c>
      <c r="G36" s="10"/>
      <c r="H36" s="10" t="s">
        <v>887</v>
      </c>
      <c r="I36" s="491">
        <v>0.96180555555555558</v>
      </c>
      <c r="J36" s="7"/>
      <c r="K36" s="7"/>
      <c r="L36" s="7"/>
      <c r="M36" s="7"/>
      <c r="N36" s="7"/>
      <c r="O36" s="7"/>
    </row>
    <row r="37" spans="1:15">
      <c r="B37" s="563" t="s">
        <v>1109</v>
      </c>
      <c r="C37" s="165" t="s">
        <v>1110</v>
      </c>
      <c r="D37" s="44"/>
      <c r="E37" s="10" t="s">
        <v>1111</v>
      </c>
      <c r="F37" s="491">
        <v>0.59375</v>
      </c>
      <c r="G37" s="10"/>
      <c r="H37" s="10"/>
      <c r="I37" s="491"/>
      <c r="J37" s="7"/>
      <c r="K37" s="7"/>
      <c r="L37" s="7"/>
      <c r="M37" s="7"/>
      <c r="N37" s="7"/>
      <c r="O37" s="7"/>
    </row>
    <row r="38" spans="1:15">
      <c r="B38" s="550" t="s">
        <v>1082</v>
      </c>
      <c r="C38" s="165"/>
      <c r="D38" s="165"/>
      <c r="E38" s="10"/>
      <c r="F38" s="10"/>
      <c r="G38" s="10"/>
      <c r="H38" s="10"/>
      <c r="I38" s="10"/>
      <c r="J38" s="7"/>
      <c r="K38" s="7"/>
      <c r="L38" s="7"/>
      <c r="M38" s="7"/>
      <c r="N38" s="7"/>
      <c r="O38" s="7"/>
    </row>
    <row r="39" spans="1:15">
      <c r="B39" s="550" t="s">
        <v>950</v>
      </c>
      <c r="C39" s="165" t="s">
        <v>951</v>
      </c>
      <c r="D39" s="44" t="s">
        <v>296</v>
      </c>
      <c r="E39" s="10" t="s">
        <v>945</v>
      </c>
      <c r="F39" s="491">
        <v>0.97569444444444442</v>
      </c>
      <c r="G39" s="10"/>
      <c r="H39" s="10" t="s">
        <v>946</v>
      </c>
      <c r="I39" s="491">
        <v>1.7361111111111112E-2</v>
      </c>
      <c r="J39" s="7"/>
      <c r="K39" s="7"/>
      <c r="L39" s="7"/>
      <c r="M39" s="7"/>
      <c r="N39" s="7"/>
      <c r="O39" s="7"/>
    </row>
    <row r="40" spans="1:15">
      <c r="B40" s="550" t="s">
        <v>1103</v>
      </c>
      <c r="C40" s="165" t="s">
        <v>1083</v>
      </c>
      <c r="D40" s="165"/>
      <c r="E40" s="10" t="s">
        <v>1084</v>
      </c>
      <c r="F40" s="491">
        <v>0.9375</v>
      </c>
      <c r="G40" s="10"/>
      <c r="H40" s="10" t="s">
        <v>1085</v>
      </c>
      <c r="I40" s="491">
        <v>0.98958333333333337</v>
      </c>
      <c r="J40" s="7"/>
      <c r="K40" s="7"/>
      <c r="L40" s="7"/>
      <c r="M40" s="7"/>
      <c r="N40" s="7"/>
      <c r="O40" s="7"/>
    </row>
    <row r="41" spans="1:15">
      <c r="B41" s="550" t="s">
        <v>1050</v>
      </c>
      <c r="C41" s="165" t="s">
        <v>1062</v>
      </c>
      <c r="D41" s="165"/>
      <c r="E41" s="10" t="s">
        <v>945</v>
      </c>
      <c r="F41" s="491">
        <v>0.97569444444444442</v>
      </c>
      <c r="G41" s="10"/>
      <c r="H41" s="10" t="s">
        <v>946</v>
      </c>
      <c r="I41" s="491">
        <v>1.7361111111111112E-2</v>
      </c>
      <c r="J41" s="7"/>
      <c r="K41" s="7"/>
      <c r="L41" s="7"/>
      <c r="M41" s="7"/>
      <c r="N41" s="7"/>
      <c r="O41" s="7"/>
    </row>
    <row r="42" spans="1:15">
      <c r="B42" s="550" t="s">
        <v>1104</v>
      </c>
      <c r="C42" s="165" t="s">
        <v>880</v>
      </c>
      <c r="D42" s="165"/>
      <c r="E42" s="10" t="s">
        <v>945</v>
      </c>
      <c r="F42" s="491">
        <v>0.97569444444444442</v>
      </c>
      <c r="G42" s="10"/>
      <c r="H42" s="10" t="s">
        <v>946</v>
      </c>
      <c r="I42" s="491">
        <v>1.7361111111111112E-2</v>
      </c>
      <c r="J42" s="7"/>
      <c r="K42" s="7"/>
      <c r="L42" s="7"/>
      <c r="M42" s="7"/>
      <c r="N42" s="7"/>
      <c r="O42" s="7"/>
    </row>
    <row r="43" spans="1:15">
      <c r="B43" s="550" t="s">
        <v>1072</v>
      </c>
      <c r="C43" s="165" t="s">
        <v>1074</v>
      </c>
      <c r="D43" s="44" t="s">
        <v>296</v>
      </c>
      <c r="E43" s="10" t="s">
        <v>945</v>
      </c>
      <c r="F43" s="491">
        <v>0.97569444444444442</v>
      </c>
      <c r="G43" s="10"/>
      <c r="H43" s="10" t="s">
        <v>946</v>
      </c>
      <c r="I43" s="491">
        <v>1.7361111111111112E-2</v>
      </c>
      <c r="J43" s="7"/>
      <c r="K43" s="7"/>
      <c r="L43" s="7"/>
      <c r="M43" s="7"/>
      <c r="N43" s="7"/>
      <c r="O43" s="7"/>
    </row>
    <row r="44" spans="1:15">
      <c r="B44" s="549" t="s">
        <v>1352</v>
      </c>
      <c r="C44" s="165"/>
      <c r="D44" s="44"/>
      <c r="E44" s="10"/>
      <c r="F44" s="491"/>
      <c r="G44" s="10"/>
      <c r="H44" s="10"/>
      <c r="I44" s="491"/>
      <c r="J44" s="7"/>
      <c r="K44" s="7"/>
      <c r="L44" s="7"/>
      <c r="M44" s="7"/>
      <c r="N44" s="7"/>
      <c r="O44" s="7"/>
    </row>
    <row r="45" spans="1:15">
      <c r="B45" s="352"/>
      <c r="C45" s="165"/>
      <c r="D45" s="165"/>
      <c r="E45" s="10"/>
      <c r="F45" s="10"/>
      <c r="G45" s="10"/>
      <c r="H45" s="10"/>
      <c r="I45" s="10"/>
      <c r="J45" s="7"/>
      <c r="K45" s="7"/>
      <c r="L45" s="7"/>
      <c r="M45" s="7"/>
      <c r="N45" s="7"/>
      <c r="O45" s="7"/>
    </row>
    <row r="46" spans="1:15">
      <c r="B46" s="352"/>
      <c r="C46" s="165"/>
      <c r="D46" s="165"/>
      <c r="E46" s="10"/>
      <c r="F46" s="10"/>
      <c r="G46" s="10"/>
      <c r="H46" s="10"/>
      <c r="I46" s="10"/>
      <c r="J46" s="7"/>
      <c r="K46" s="7"/>
      <c r="L46" s="7"/>
      <c r="M46" s="7"/>
      <c r="N46" s="7"/>
      <c r="O46" s="7"/>
    </row>
    <row r="47" spans="1:15">
      <c r="C47" s="165"/>
      <c r="D47" s="165"/>
      <c r="E47" s="44"/>
    </row>
    <row r="48" spans="1:15">
      <c r="C48" s="165"/>
      <c r="D48" s="165"/>
      <c r="E48" s="44"/>
    </row>
    <row r="49" spans="3:5">
      <c r="C49" s="165"/>
      <c r="D49" s="165"/>
      <c r="E49" s="44"/>
    </row>
    <row r="50" spans="3:5">
      <c r="C50" s="165"/>
      <c r="D50" s="165"/>
      <c r="E50" s="44"/>
    </row>
    <row r="51" spans="3:5">
      <c r="C51" s="165"/>
      <c r="D51" s="165"/>
      <c r="E51" s="44"/>
    </row>
    <row r="52" spans="3:5">
      <c r="C52" s="165"/>
      <c r="D52" s="165"/>
      <c r="E52" s="44"/>
    </row>
    <row r="53" spans="3:5">
      <c r="C53" s="165"/>
      <c r="D53" s="165"/>
      <c r="E53" s="44"/>
    </row>
    <row r="54" spans="3:5">
      <c r="C54" s="165"/>
      <c r="D54" s="165"/>
      <c r="E54" s="44"/>
    </row>
    <row r="55" spans="3:5">
      <c r="C55" s="165"/>
      <c r="D55" s="165"/>
      <c r="E55" s="44"/>
    </row>
    <row r="56" spans="3:5">
      <c r="C56" s="165"/>
      <c r="D56" s="165"/>
      <c r="E56" s="44"/>
    </row>
  </sheetData>
  <phoneticPr fontId="1" type="noConversion"/>
  <hyperlinks>
    <hyperlink ref="B32" location="'3117CU'!A1" display="ASP311_7CU" xr:uid="{1695AE0D-F790-431D-AFB8-044C28FE3FE1}"/>
    <hyperlink ref="B39" location="'311바탐'!A1" display="ASP311_7CU_바탐" xr:uid="{D74AC0EE-BE80-4F1A-B9F5-4CE93D11699E}"/>
    <hyperlink ref="B36" location="'303SQ'!A1" display="ASP303_SQ" xr:uid="{FCEAC5B9-F1F4-48A5-958F-D1461D5D2052}"/>
    <hyperlink ref="B8" location="'210OZA'!A1" display="ASP210_OZA" xr:uid="{DB412714-E0DC-4C3A-8730-2F4DD904E854}"/>
    <hyperlink ref="B15" location="'211TWG'!A1" display="ASP211_TWG" xr:uid="{8BF9C0E2-C4D0-46D3-B024-421CE0083B0C}"/>
    <hyperlink ref="B9" location="'210KEG'!A1" display="ASP210_KEG" xr:uid="{C5AE1EE7-FC2E-43BB-AD2B-4326F45B24C2}"/>
    <hyperlink ref="B34" location="'3117CX'!A1" display="ASP311_7CX" xr:uid="{04DA021F-2C55-4A99-986A-E0BDFA3EAE58}"/>
    <hyperlink ref="B35" location="'3127CU'!A1" display="ASP312_7CU" xr:uid="{F75E3FBB-68C6-4B70-8E14-973AD90E6D60}"/>
    <hyperlink ref="B18" location="'211OZB'!A1" display="ASP211_OZB" xr:uid="{AAC712A8-0B06-4325-BABD-44A0927C60DA}"/>
    <hyperlink ref="B19" location="'211OZC'!A1" display="ASP211_OZC" xr:uid="{E32FB2EC-6051-423E-B84F-F816E99B74DE}"/>
    <hyperlink ref="B21" location="'211KEA'!A1" display="ASP211_KEA" xr:uid="{73B62737-4700-4F42-A202-E1A2829D1766}"/>
    <hyperlink ref="B3" location="초1!A1" display="초등학교1" xr:uid="{E10D9956-6557-4EA4-ABE3-554D3D4CADFA}"/>
    <hyperlink ref="B5" location="중1!A1" display="중학교1" xr:uid="{4EEDE4FC-04C4-47C6-BABD-D896487A3E48}"/>
    <hyperlink ref="B6" location="고1!A1" display="고등학교1" xr:uid="{ABEAC3C7-C4F0-4B3A-9312-A1CA2EF85F2F}"/>
    <hyperlink ref="B4" location="초2!A1" display="초등학교2" xr:uid="{EBD58C1E-CB02-4EA0-BB7C-CA896F253113}"/>
    <hyperlink ref="B7" location="고2!A1" display="고등학교2" xr:uid="{C4C35993-75A8-4050-BC99-9B5DAA09DCE3}"/>
    <hyperlink ref="B30" location="'3107CB'!A1" display="ASP310_7CB" xr:uid="{04FF9823-0995-485A-B51A-7DFE4CF035C6}"/>
    <hyperlink ref="B41" location="부산연합1!A1" display="부산연합1" xr:uid="{13D13C43-A218-47B5-9517-802277BA0F5F}"/>
    <hyperlink ref="B43" location="'BSP505'!A1" display="모두투어_BSP505" xr:uid="{42676117-BB57-4A96-B8C9-4F68E691E0AE}"/>
    <hyperlink ref="B38" location="'211바탐'!A1" display="ASP211_바탐" xr:uid="{57494E90-AF6C-4CD4-9951-973DA8089189}"/>
    <hyperlink ref="B40" location="'221바탐'!A1" display="ASP221_바탐_2박" xr:uid="{CF8368C3-8FB8-43E1-8B58-7D39A9DEC827}"/>
    <hyperlink ref="B42" location="'ASE501'!A1" display="모두투어_ASE501" xr:uid="{0134DCCC-B0B3-43BF-9B3F-B23A12228A48}"/>
    <hyperlink ref="B25" location="'212OZD'!A1" display="ASP212_OZD" xr:uid="{FB2722EE-D7A5-4476-BD4B-B850D522B300}"/>
    <hyperlink ref="B31" location="'310SQ'!A1" display="ASP310_SQ" xr:uid="{900B1504-433C-444F-9DC1-2C3E9E012220}"/>
    <hyperlink ref="B14" location="'2104'!A1" display="ASP212" xr:uid="{B367AA59-3383-4B1C-875B-EF52FB3992C7}"/>
    <hyperlink ref="B22" location="'211uss'!A1" display="ASP211_USS" xr:uid="{38FDF789-57A3-4423-933D-476DAA6FAD5D}"/>
    <hyperlink ref="B29" location="'310SQ'!A1" display="ASP309_SQ" xr:uid="{EE2455E7-BC1F-4C59-830A-D4B7A0A49603}"/>
    <hyperlink ref="B37" location="'910_TR'!A1" display="ASP910_TR" xr:uid="{FC6B54F6-8563-464B-899E-8CE5A69ABAB6}"/>
    <hyperlink ref="B27" location="'215OZB'!A1" display="ASP215_OZB" xr:uid="{29DCC819-8898-4A65-A9F1-803955001E0F}"/>
    <hyperlink ref="B11" location="'210SQD'!A1" display="ASP210_SQD" xr:uid="{CD04DEC5-2F23-4899-A0B7-3E25B1BEDA55}"/>
    <hyperlink ref="B16" location="'211TWC'!A1" display="ASP211_TWC" xr:uid="{6192E6D0-2D91-467E-8E8E-8D1994311556}"/>
    <hyperlink ref="B12" location="'210SQA'!A1" display="ASP210_SQA" xr:uid="{01C2B138-0735-43F7-92EB-141CD7CF2233}"/>
    <hyperlink ref="B28" location="'215KEE'!A1" display="ASP215_KEE" xr:uid="{D4103A28-995D-49C8-8889-7DE827C3B26E}"/>
    <hyperlink ref="B13" location="'210SQ4'!A1" display="ASP210_SQ4" xr:uid="{FC4ED10A-F757-4DCA-9F8A-EE4237003649}"/>
    <hyperlink ref="B10" location="'210KED'!A1" display="ASP210_KED" xr:uid="{843C46B1-F66E-439F-9380-E4A3C7BBFA01}"/>
    <hyperlink ref="B24" location="'212SQA'!A1" display="ASP212_SQA" xr:uid="{1F5F9231-1DB7-457F-BC1A-60605D73ABCE}"/>
    <hyperlink ref="B17" location="'211KE3'!A1" display="ASP211_KE3" xr:uid="{38277C51-AB56-405D-A446-4E401ADDB612}"/>
    <hyperlink ref="B23" location="'211_9'!A1" display="ASP211_TW9" xr:uid="{14918761-A1BA-4A03-A4EB-FCCCF8DF9BD6}"/>
    <hyperlink ref="B20" location="'211SQC'!A1" display="ASP211_SQC" xr:uid="{C75E2994-E096-4E95-9ADC-55091D9CD721}"/>
  </hyperlink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B2AF-0CD2-4D20-AA21-CD870F734F0F}">
  <dimension ref="A1:AF40"/>
  <sheetViews>
    <sheetView workbookViewId="0">
      <selection activeCell="G1" sqref="G1:O6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83203125" bestFit="1" customWidth="1"/>
    <col min="5" max="5" width="15.5" customWidth="1"/>
    <col min="6" max="6" width="4.6640625" customWidth="1"/>
    <col min="7" max="10" width="7.6640625" customWidth="1"/>
    <col min="11" max="11" width="12.5" customWidth="1"/>
    <col min="12" max="15" width="7.6640625" customWidth="1"/>
    <col min="16" max="16" width="2.83203125" customWidth="1"/>
    <col min="18" max="18" width="3.33203125" customWidth="1"/>
    <col min="20" max="20" width="4" bestFit="1" customWidth="1"/>
    <col min="21" max="21" width="1.6640625" customWidth="1"/>
    <col min="22" max="22" width="22.33203125" customWidth="1"/>
    <col min="23" max="24" width="9.83203125" bestFit="1" customWidth="1"/>
    <col min="25" max="25" width="20.1640625" bestFit="1" customWidth="1"/>
    <col min="26" max="26" width="9" bestFit="1" customWidth="1"/>
    <col min="27" max="27" width="3" customWidth="1"/>
    <col min="28" max="28" width="19.33203125" bestFit="1" customWidth="1"/>
    <col min="29" max="30" width="5" bestFit="1" customWidth="1"/>
    <col min="31" max="32" width="6.1640625" bestFit="1" customWidth="1"/>
  </cols>
  <sheetData>
    <row r="1" spans="1:32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15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2">
      <c r="B2" s="73" t="s">
        <v>238</v>
      </c>
      <c r="C2" s="923" t="s">
        <v>1027</v>
      </c>
      <c r="D2" s="923"/>
      <c r="E2" s="924"/>
      <c r="F2" s="72"/>
      <c r="G2" s="921"/>
      <c r="H2" s="925">
        <f>C5</f>
        <v>45979</v>
      </c>
      <c r="I2" s="926"/>
      <c r="J2" s="927" t="str">
        <f>AB2</f>
        <v>Aloft Novena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 +
    IF(AND(H2 &gt;= W11, H2 &lt;= X11), Z11, 0) +
    IF(AND(H2 &gt;= W12, H2 &lt;= X12), Z12, 0) +
    IF(AND(H2 &gt;= W13, H2 &lt;= X13), Z13, 0) +
    IF(AND(H2 &gt;= W14, H2 &lt;= X14), Z14, 0) +
    IF(AND(H2 &gt;= W15, H2 &lt;= X15), Z15, 0) +
    IF(AND(H2 &gt;= W16, H2 &lt;= X16), Z16, 0) +
    IF(AND(H2 &gt;= W17, H2 &lt;= X17), Z17, 0) +
    IF(AND(H2 &gt;= W18, H2 &lt;= X18), Z18, 0) +
    IF(AND(H2 &gt;= W19, H2 &lt;= X19), Z19, 0) +
    IF(AND(H2 &gt;= W20, H2 &lt;= X20), Z20, 0) +
    IF(AND(H2 &gt;= W21, H2 &lt;= X21), Z21, 0) +
    IF(AND(H2 &gt;= W22, H2 &lt;= X22), Z22, 0) +
    IF(AND(H2 &gt;= W23, H2 &lt;= X23), Z23, 0)
    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 +
    IF(AND(H2 &gt;= W11, H2 &lt;= X11), Z11, 0) +
    IF(AND(H2 &gt;= W12, H2 &lt;= X12), Z12, 0) +
    IF(AND(H2 &gt;= W13, H2 &lt;= X13), Z13, 0) +
    IF(AND(H2 &gt;= W14, H2 &lt;= X14), Z14, 0) +
    IF(AND(H2 &gt;= W15, H2 &lt;= X15), Z15, 0) +
    IF(AND(H2 &gt;= W16, H2 &lt;= X16), Z16, 0) +
    IF(AND(H2 &gt;= W17, H2 &lt;= X17), Z17, 0) +
    IF(AND(H2 &gt;= W18, H2 &lt;= X18), Z18, 0) +
    IF(AND(H2 &gt;= W19, H2 &lt;= X19), Z19, 0) +
    IF(AND(H2 &gt;= W20, H2 &lt;= X20), Z20, 0) +
    IF(AND(H2 &gt;= W21, H2 &lt;= X21), Z21, 0) +
    IF(AND(H2 &gt;= W22, H2 &lt;= X22), Z22, 0) +
    IF(AND(H2 &gt;= W23, H2 &lt;= X23), Z23, 0)
    )
)</f>
        <v>180</v>
      </c>
      <c r="M2" s="140">
        <f>$I$1+$K$1</f>
        <v>15</v>
      </c>
      <c r="N2" s="106">
        <f>L2*M2</f>
        <v>2700</v>
      </c>
      <c r="O2" s="929">
        <f>SUM(N2:N6)</f>
        <v>10800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918</v>
      </c>
      <c r="AC2" s="35">
        <v>180</v>
      </c>
      <c r="AD2" s="35">
        <v>180</v>
      </c>
      <c r="AE2" s="34"/>
      <c r="AF2" s="34"/>
    </row>
    <row r="3" spans="1:32">
      <c r="B3" s="74" t="s">
        <v>239</v>
      </c>
      <c r="C3" s="932" t="s">
        <v>1351</v>
      </c>
      <c r="D3" s="932"/>
      <c r="E3" s="933"/>
      <c r="F3" s="72"/>
      <c r="G3" s="921"/>
      <c r="H3" s="925">
        <f>H2+1</f>
        <v>45980</v>
      </c>
      <c r="I3" s="926"/>
      <c r="J3" s="927" t="str">
        <f>J2</f>
        <v>Aloft Novena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 +
    IF(AND(H3 &gt;= W11, H3 &lt;= X11), Z11, 0) +
    IF(AND(H3 &gt;= W12, H3 &lt;= X12), Z12, 0) +
    IF(AND(H3 &gt;= W13, H3 &lt;= X13), Z13, 0) +
    IF(AND(H3 &gt;= W14, H3 &lt;= X14), Z14, 0) +
    IF(AND(H3 &gt;= W15, H3 &lt;= X15), Z15, 0) +
    IF(AND(H3 &gt;= W16, H3 &lt;= X16), Z16, 0) +
    IF(AND(H3 &gt;= W17, H3 &lt;= X17), Z17, 0) +
    IF(AND(H3 &gt;= W18, H3 &lt;= X18), Z18, 0) +
    IF(AND(H3 &gt;= W19, H3 &lt;= X19), Z19, 0) +
    IF(AND(H3 &gt;= W20, H3 &lt;= X20), Z20, 0) +
    IF(AND(H3 &gt;= W21, H3 &lt;= X21), Z21, 0) +
    IF(AND(H3 &gt;= W22, H3 &lt;= X22), Z22, 0) +
    IF(AND(H3 &gt;= W23, H3 &lt;= X23), Z23, 0)
    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 +
    IF(AND(H3 &gt;= W11, H3 &lt;= X11), Z11, 0) +
    IF(AND(H3 &gt;= W12, H3 &lt;= X12), Z12, 0) +
    IF(AND(H3 &gt;= W13, H3 &lt;= X13), Z13, 0) +
    IF(AND(H3 &gt;= W14, H3 &lt;= X14), Z14, 0) +
    IF(AND(H3 &gt;= W15, H3 &lt;= X15), Z15, 0) +
    IF(AND(H3 &gt;= W16, H3 &lt;= X16), Z16, 0) +
    IF(AND(H3 &gt;= W17, H3 &lt;= X17), Z17, 0) +
    IF(AND(H3 &gt;= W18, H3 &lt;= X18), Z18, 0) +
    IF(AND(H3 &gt;= W19, H3 &lt;= X19), Z19, 0) +
    IF(AND(H3 &gt;= W20, H3 &lt;= X20), Z20, 0) +
    IF(AND(H3 &gt;= W21, H3 &lt;= X21), Z21, 0) +
    IF(AND(H3 &gt;= W22, H3 &lt;= X22), Z22, 0) +
    IF(AND(H3 &gt;= W23, H3 &lt;= X23), Z23, 0)
    )
)</f>
        <v>180</v>
      </c>
      <c r="M3" s="140">
        <f>$I$1+$K$1</f>
        <v>15</v>
      </c>
      <c r="N3" s="106">
        <f>L3*M3</f>
        <v>2700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  <c r="AC3" s="34"/>
      <c r="AD3" s="34"/>
      <c r="AE3" s="34"/>
      <c r="AF3" s="34"/>
    </row>
    <row r="4" spans="1:32" ht="18" thickBot="1">
      <c r="B4" s="75" t="s">
        <v>241</v>
      </c>
      <c r="C4" s="81">
        <v>30</v>
      </c>
      <c r="D4" s="84" t="s">
        <v>253</v>
      </c>
      <c r="E4" s="92">
        <v>0</v>
      </c>
      <c r="F4" s="72"/>
      <c r="G4" s="921"/>
      <c r="H4" s="925">
        <f>H3+1</f>
        <v>45981</v>
      </c>
      <c r="I4" s="926"/>
      <c r="J4" s="927" t="str">
        <f>J2</f>
        <v>Aloft Novena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 +
    IF(AND(H4 &gt;= W11, H4 &lt;= X11), Z11, 0) +
    IF(AND(H4 &gt;= W12, H4 &lt;= X12), Z12, 0) +
    IF(AND(H4 &gt;= W13, H4 &lt;= X13), Z13, 0) +
    IF(AND(H4 &gt;= W14, H4 &lt;= X14), Z14, 0) +
    IF(AND(H4 &gt;= W15, H4 &lt;= X15), Z15, 0) +
    IF(AND(H4 &gt;= W16, H4 &lt;= X16), Z16, 0) +
    IF(AND(H4 &gt;= W17, H4 &lt;= X17), Z17, 0) +
    IF(AND(H4 &gt;= W18, H4 &lt;= X18), Z18, 0) +
    IF(AND(H4 &gt;= W19, H4 &lt;= X19), Z19, 0) +
    IF(AND(H4 &gt;= W20, H4 &lt;= X20), Z20, 0) +
    IF(AND(H4 &gt;= W21, H4 &lt;= X21), Z21, 0) +
    IF(AND(H4 &gt;= W22, H4 &lt;= X22), Z22, 0) +
    IF(AND(H4 &gt;= W23, H4 &lt;= X23), Z23, 0)
    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 +
    IF(AND(H4 &gt;= W11, H4 &lt;= X11), Z11, 0) +
    IF(AND(H4 &gt;= W12, H4 &lt;= X12), Z12, 0) +
    IF(AND(H4 &gt;= W13, H4 &lt;= X13), Z13, 0) +
    IF(AND(H4 &gt;= W14, H4 &lt;= X14), Z14, 0) +
    IF(AND(H4 &gt;= W15, H4 &lt;= X15), Z15, 0) +
    IF(AND(H4 &gt;= W16, H4 &lt;= X16), Z16, 0) +
    IF(AND(H4 &gt;= W17, H4 &lt;= X17), Z17, 0) +
    IF(AND(H4 &gt;= W18, H4 &lt;= X18), Z18, 0) +
    IF(AND(H4 &gt;= W19, H4 &lt;= X19), Z19, 0) +
    IF(AND(H4 &gt;= W20, H4 &lt;= X20), Z20, 0) +
    IF(AND(H4 &gt;= W21, H4 &lt;= X21), Z21, 0) +
    IF(AND(H4 &gt;= W22, H4 &lt;= X22), Z22, 0) +
    IF(AND(H4 &gt;= W23, H4 &lt;= X23), Z23, 0)
    )
)</f>
        <v>180</v>
      </c>
      <c r="M4" s="141">
        <f>$I$1+$K$1</f>
        <v>15</v>
      </c>
      <c r="N4" s="106">
        <f>L4*M4</f>
        <v>2700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tr">
        <f>'25메인호텔'!F2</f>
        <v>Momentus</v>
      </c>
      <c r="AC4" s="35">
        <f>'25메인호텔'!G2</f>
        <v>190</v>
      </c>
      <c r="AD4" s="35">
        <f>'25메인호텔'!H2</f>
        <v>180</v>
      </c>
      <c r="AE4" s="34"/>
      <c r="AF4" s="34"/>
    </row>
    <row r="5" spans="1:32" ht="18" thickBot="1">
      <c r="B5" s="76" t="s">
        <v>242</v>
      </c>
      <c r="C5" s="82">
        <v>45979</v>
      </c>
      <c r="D5" s="85">
        <v>4</v>
      </c>
      <c r="E5" s="93">
        <f>C5+D5</f>
        <v>45983</v>
      </c>
      <c r="F5" s="72"/>
      <c r="G5" s="921"/>
      <c r="H5" s="925">
        <f>H4+1</f>
        <v>45982</v>
      </c>
      <c r="I5" s="926"/>
      <c r="J5" s="927" t="str">
        <f>J2</f>
        <v>Aloft Novena</v>
      </c>
      <c r="K5" s="934"/>
      <c r="L5" s="507">
        <f>IF(
    (IF(WEEKDAY(H5, 2) &lt;= 5, AC2, AD2) +
    IF(AND(H5 &gt;= W3, H5 &lt;= X3), Z3, 0) +
    IF(AND(H5 &gt;= W4, H5 &lt;= X4), Z4, 0) +
    IF(AND(H5 &gt;= W5, H5 &lt;= X5), Z5, 0) +
    IF(AND(H5 &gt;= W6, H5 &lt;= X6), Z6, 0) +
    IF(AND(H5 &gt;= W7, H5 &lt;= X7), Z7, 0) +
    IF(AND(H5 &gt;= W8, H5 &lt;= X8), Z8, 0) +
    IF(AND(H5 &gt;= W9, H5 &lt;= X9), Z9, 0) +
    IF(AND(H5 &gt;= W10, H5 &lt;= X10), Z10, 0) +
    IF(AND(H5 &gt;= W11, H5 &lt;= X11), Z11, 0) +
    IF(AND(H5 &gt;= W12, H5 &lt;= X12), Z12, 0) +
    IF(AND(H5 &gt;= W13, H5 &lt;= X13), Z13, 0) +
    IF(AND(H5 &gt;= W14, H5 &lt;= X14), Z14, 0) +
    IF(AND(H5 &gt;= W15, H5 &lt;= X15), Z15, 0) +
    IF(AND(H5 &gt;= W16, H5 &lt;= X16), Z16, 0) +
    IF(AND(H5 &gt;= W17, H5 &lt;= X17), Z17, 0) +
    IF(AND(H5 &gt;= W18, H5 &lt;= X18), Z18, 0) +
    IF(AND(H5 &gt;= W19, H5 &lt;= X19), Z19, 0) +
    IF(AND(H5 &gt;= W20, H5 &lt;= X20), Z20, 0) +
    IF(AND(H5 &gt;= W21, H5 &lt;= X21), Z21, 0) +
    IF(AND(H5 &gt;= W22, H5 &lt;= X22), Z22, 0) +
    IF(AND(H5 &gt;= W23, H5 &lt;= X23), Z23, 0)
    ) &lt; 1,
    "Surcharge Check",
    (IF(WEEKDAY(H5, 2) &lt;= 5, AC2, AD2) +
    IF(AND(H5 &gt;= W3, H5 &lt;= X3), Z3, 0) +
    IF(AND(H5 &gt;= W4, H5 &lt;= X4), Z4, 0) +
    IF(AND(H5 &gt;= W5, H5 &lt;= X5), Z5, 0) +
    IF(AND(H5 &gt;= W6, H5 &lt;= X6), Z6, 0) +
    IF(AND(H5 &gt;= W7, H5 &lt;= X7), Z7, 0) +
    IF(AND(H5 &gt;= W8, H5 &lt;= X8), Z8, 0) +
    IF(AND(H5 &gt;= W9, H5 &lt;= X9), Z9, 0) +
    IF(AND(H5 &gt;= W10, H5 &lt;= X10), Z10, 0) +
    IF(AND(H5 &gt;= W11, H5 &lt;= X11), Z11, 0) +
    IF(AND(H5 &gt;= W12, H5 &lt;= X12), Z12, 0) +
    IF(AND(H5 &gt;= W13, H5 &lt;= X13), Z13, 0) +
    IF(AND(H5 &gt;= W14, H5 &lt;= X14), Z14, 0) +
    IF(AND(H5 &gt;= W15, H5 &lt;= X15), Z15, 0) +
    IF(AND(H5 &gt;= W16, H5 &lt;= X16), Z16, 0) +
    IF(AND(H5 &gt;= W17, H5 &lt;= X17), Z17, 0) +
    IF(AND(H5 &gt;= W18, H5 &lt;= X18), Z18, 0) +
    IF(AND(H5 &gt;= W19, H5 &lt;= X19), Z19, 0) +
    IF(AND(H5 &gt;= W20, H5 &lt;= X20), Z20, 0) +
    IF(AND(H5 &gt;= W21, H5 &lt;= X21), Z21, 0) +
    IF(AND(H5 &gt;= W22, H5 &lt;= X22), Z22, 0) +
    IF(AND(H5 &gt;= W23, H5 &lt;= X23), Z23, 0)
    )
)</f>
        <v>180</v>
      </c>
      <c r="M5" s="140">
        <f>$I$1+$K$1</f>
        <v>15</v>
      </c>
      <c r="N5" s="106">
        <f>L5*M5</f>
        <v>2700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tr">
        <f>'25메인호텔'!F3</f>
        <v>Aloft Novena</v>
      </c>
      <c r="AC5" s="35">
        <f>'25메인호텔'!G3</f>
        <v>180</v>
      </c>
      <c r="AD5" s="35">
        <f>'25메인호텔'!H3</f>
        <v>180</v>
      </c>
      <c r="AE5" s="34"/>
      <c r="AF5" s="34"/>
    </row>
    <row r="6" spans="1:32" ht="17.25" customHeight="1" thickBot="1">
      <c r="B6" s="77" t="s">
        <v>243</v>
      </c>
      <c r="C6" s="83">
        <f>(SUM(O10:O40)+O2)/C4+R6+T6</f>
        <v>848.06666666666672</v>
      </c>
      <c r="D6" s="86" t="s">
        <v>254</v>
      </c>
      <c r="E6" s="94">
        <f>C6*$E$1</f>
        <v>932873.33333333337</v>
      </c>
      <c r="F6" s="72"/>
      <c r="G6" s="922"/>
      <c r="H6" s="936"/>
      <c r="I6" s="937"/>
      <c r="J6" s="935"/>
      <c r="K6" s="935"/>
      <c r="L6" s="694">
        <f>IF(
    (IF(WEEKDAY(H6, 2) &lt;= 5, AC2, AD2) +
    IF(AND(H6 &gt;= W3, H6 &lt;= X3), Z3, 0) +
    IF(AND(H6 &gt;= W4, H6 &lt;= X4), Z4, 0) +
    IF(AND(H6 &gt;= W5, H6 &lt;= X5), Z5, 0) +
    IF(AND(H6 &gt;= W6, H6 &lt;= X6), Z6, 0) +
    IF(AND(H6 &gt;= W7, H6 &lt;= X7), Z7, 0) +
    IF(AND(H6 &gt;= W8, H6 &lt;= X8), Z8, 0) +
    IF(AND(H6 &gt;= W9, H6 &lt;= X9), Z9, 0) +
    IF(AND(H6 &gt;= W10, H6 &lt;= X10), Z10, 0) +
    IF(AND(H6 &gt;= W11, H6 &lt;= X11), Z11, 0) +
    IF(AND(H6 &gt;= W12, H6 &lt;= X12), Z12, 0) +
    IF(AND(H6 &gt;= W13, H6 &lt;= X13), Z13, 0) +
    IF(AND(H6 &gt;= W14, H6 &lt;= X14), Z14, 0) +
    IF(AND(H6 &gt;= W15, H6 &lt;= X15), Z15, 0) +
    IF(AND(H6 &gt;= W16, H6 &lt;= X16), Z16, 0) +
    IF(AND(H6 &gt;= W17, H6 &lt;= X17), Z17, 0) +
    IF(AND(H6 &gt;= W18, H6 &lt;= X18), Z18, 0) +
    IF(AND(H6 &gt;= W19, H6 &lt;= X19), Z19, 0) +
    IF(AND(H6 &gt;= W20, H6 &lt;= X20), Z20, 0) +
    IF(AND(H6 &gt;= W21, H6 &lt;= X21), Z21, 0) +
    IF(AND(H6 &gt;= W22, H6 &lt;= X22), Z22, 0) +
    IF(AND(H6 &gt;= W23, H6 &lt;= X23), Z23, 0)
    ) &lt; 1,
    "Surcharge Check",
    (IF(WEEKDAY(H6, 2) &lt;= 5, AC2, AD2) +
    IF(AND(H6 &gt;= W3, H6 &lt;= X3), Z3, 0) +
    IF(AND(H6 &gt;= W4, H6 &lt;= X4), Z4, 0) +
    IF(AND(H6 &gt;= W5, H6 &lt;= X5), Z5, 0) +
    IF(AND(H6 &gt;= W6, H6 &lt;= X6), Z6, 0) +
    IF(AND(H6 &gt;= W7, H6 &lt;= X7), Z7, 0) +
    IF(AND(H6 &gt;= W8, H6 &lt;= X8), Z8, 0) +
    IF(AND(H6 &gt;= W9, H6 &lt;= X9), Z9, 0) +
    IF(AND(H6 &gt;= W10, H6 &lt;= X10), Z10, 0) +
    IF(AND(H6 &gt;= W11, H6 &lt;= X11), Z11, 0) +
    IF(AND(H6 &gt;= W12, H6 &lt;= X12), Z12, 0) +
    IF(AND(H6 &gt;= W13, H6 &lt;= X13), Z13, 0) +
    IF(AND(H6 &gt;= W14, H6 &lt;= X14), Z14, 0) +
    IF(AND(H6 &gt;= W15, H6 &lt;= X15), Z15, 0) +
    IF(AND(H6 &gt;= W16, H6 &lt;= X16), Z16, 0) +
    IF(AND(H6 &gt;= W17, H6 &lt;= X17), Z17, 0) +
    IF(AND(H6 &gt;= W18, H6 &lt;= X18), Z18, 0) +
    IF(AND(H6 &gt;= W19, H6 &lt;= X19), Z19, 0) +
    IF(AND(H6 &gt;= W20, H6 &lt;= X20), Z20, 0) +
    IF(AND(H6 &gt;= W21, H6 &lt;= X21), Z21, 0) +
    IF(AND(H6 &gt;= W22, H6 &lt;= X22), Z22, 0) +
    IF(AND(H6 &gt;= W23, H6 &lt;= X23), Z23, 0)
    )
)</f>
        <v>180</v>
      </c>
      <c r="M6" s="89"/>
      <c r="N6" s="107"/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tr">
        <f>'25메인호텔'!F4</f>
        <v>Mercure Stevens</v>
      </c>
      <c r="AC6" s="35">
        <f>'25메인호텔'!G4</f>
        <v>180</v>
      </c>
      <c r="AD6" s="35">
        <f>'25메인호텔'!H4</f>
        <v>180</v>
      </c>
      <c r="AE6" s="34"/>
      <c r="AF6" s="34"/>
    </row>
    <row r="7" spans="1:32" ht="18" thickBot="1">
      <c r="B7" s="78" t="s">
        <v>244</v>
      </c>
      <c r="C7" s="183">
        <v>0</v>
      </c>
      <c r="D7" s="87" t="s">
        <v>255</v>
      </c>
      <c r="E7" s="95">
        <v>0</v>
      </c>
      <c r="F7" s="72"/>
      <c r="G7" s="45"/>
      <c r="H7" s="735"/>
      <c r="I7" s="735"/>
      <c r="J7" s="735"/>
      <c r="K7" s="735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tr">
        <f>'25메인호텔'!F5</f>
        <v>M Hotel City Centre</v>
      </c>
      <c r="AC7" s="35">
        <f>'25메인호텔'!G5</f>
        <v>230</v>
      </c>
      <c r="AD7" s="35">
        <f>'25메인호텔'!H5</f>
        <v>230</v>
      </c>
      <c r="AE7" s="34"/>
      <c r="AF7" s="34"/>
    </row>
    <row r="8" spans="1:32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tr">
        <f>'25메인호텔'!F6</f>
        <v>Concorde Hotel</v>
      </c>
      <c r="AC8" s="35">
        <f>'25메인호텔'!G6</f>
        <v>230</v>
      </c>
      <c r="AD8" s="35">
        <f>'25메인호텔'!H6</f>
        <v>230</v>
      </c>
      <c r="AE8" s="34"/>
      <c r="AF8" s="34"/>
    </row>
    <row r="9" spans="1:32" ht="18" thickBot="1">
      <c r="B9" s="79" t="s">
        <v>245</v>
      </c>
      <c r="C9" s="185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tr">
        <f>'25메인호텔'!F7</f>
        <v>Oasia Novena</v>
      </c>
      <c r="AC9" s="35">
        <f>'25메인호텔'!G7</f>
        <v>210</v>
      </c>
      <c r="AD9" s="35">
        <f>'25메인호텔'!H7</f>
        <v>210</v>
      </c>
      <c r="AE9" s="34"/>
      <c r="AF9" s="34"/>
    </row>
    <row r="10" spans="1:32">
      <c r="B10" s="905" t="str">
        <f>TEXT(C5,"m월 d일 aaaa")</f>
        <v>11월 18일 화요일</v>
      </c>
      <c r="C10" s="867" t="s">
        <v>960</v>
      </c>
      <c r="D10" s="916"/>
      <c r="E10" s="499">
        <f>상품리스트!F3</f>
        <v>0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280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430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tr">
        <f>'25메인호텔'!F8</f>
        <v>Orchid Hotel</v>
      </c>
      <c r="AC10" s="35">
        <f>'25메인호텔'!G8</f>
        <v>220</v>
      </c>
      <c r="AD10" s="35">
        <f>'25메인호텔'!H8</f>
        <v>220</v>
      </c>
      <c r="AE10" s="34"/>
      <c r="AF10" s="34"/>
    </row>
    <row r="11" spans="1:32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4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tr">
        <f>'25메인호텔'!F9</f>
        <v>Amara Singapore</v>
      </c>
      <c r="AC11" s="35">
        <f>'25메인호텔'!G9</f>
        <v>230</v>
      </c>
      <c r="AD11" s="35">
        <f>'25메인호텔'!H9</f>
        <v>230</v>
      </c>
      <c r="AE11" s="34"/>
      <c r="AF11" s="34"/>
    </row>
    <row r="12" spans="1:32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tr">
        <f>'25메인호텔'!F10</f>
        <v>Orchard Hotel</v>
      </c>
      <c r="AC12" s="35">
        <f>'25메인호텔'!G10</f>
        <v>240</v>
      </c>
      <c r="AD12" s="35">
        <f>'25메인호텔'!H10</f>
        <v>240</v>
      </c>
      <c r="AE12" s="34"/>
      <c r="AF12" s="34"/>
    </row>
    <row r="13" spans="1:32">
      <c r="B13" s="905" t="str">
        <f>TEXT(C5+1,"m월 d일 aaaa")</f>
        <v>11월 19일 수요일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630</v>
      </c>
      <c r="L13" s="90">
        <f>L10</f>
        <v>1</v>
      </c>
      <c r="M13" s="128">
        <f>'가이드&amp;차량'!C6</f>
        <v>375</v>
      </c>
      <c r="N13" s="90">
        <v>1</v>
      </c>
      <c r="O13" s="143">
        <f t="shared" si="0"/>
        <v>1005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tr">
        <f>'25메인호텔'!F11</f>
        <v>Grand Copthorne</v>
      </c>
      <c r="AC13" s="35">
        <f>'25메인호텔'!G11</f>
        <v>240</v>
      </c>
      <c r="AD13" s="35">
        <f>'25메인호텔'!H11</f>
        <v>240</v>
      </c>
      <c r="AE13" s="34"/>
      <c r="AF13" s="34"/>
    </row>
    <row r="14" spans="1:32">
      <c r="B14" s="865"/>
      <c r="C14" s="879" t="s">
        <v>622</v>
      </c>
      <c r="D14" s="880"/>
      <c r="E14" s="881"/>
      <c r="F14" s="72"/>
      <c r="G14" s="103">
        <f>일정!E38</f>
        <v>23.5</v>
      </c>
      <c r="H14" s="113">
        <f>$C$4+$E$4</f>
        <v>30</v>
      </c>
      <c r="I14" s="102"/>
      <c r="J14" s="115"/>
      <c r="K14" s="123"/>
      <c r="L14" s="91"/>
      <c r="M14" s="123"/>
      <c r="N14" s="91"/>
      <c r="O14" s="144">
        <f>(G14*H14)+(I14*J14)+(K14*L14)+(M14*N14)</f>
        <v>705</v>
      </c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tr">
        <f>'25메인호텔'!F12</f>
        <v>Mercure Tyrwhitt</v>
      </c>
      <c r="AC14" s="35">
        <f>'25메인호텔'!G12</f>
        <v>170</v>
      </c>
      <c r="AD14" s="35">
        <f>'25메인호텔'!H12</f>
        <v>170</v>
      </c>
      <c r="AE14" s="34"/>
      <c r="AF14" s="34"/>
    </row>
    <row r="15" spans="1:32">
      <c r="B15" s="865"/>
      <c r="C15" s="876" t="s">
        <v>856</v>
      </c>
      <c r="D15" s="877"/>
      <c r="E15" s="878"/>
      <c r="F15" s="72"/>
      <c r="G15" s="99"/>
      <c r="H15" s="114"/>
      <c r="I15" s="122">
        <f>식사!E21</f>
        <v>18</v>
      </c>
      <c r="J15" s="113">
        <f>$C$4+$E$4</f>
        <v>30</v>
      </c>
      <c r="K15" s="120"/>
      <c r="L15" s="91"/>
      <c r="M15" s="120"/>
      <c r="N15" s="91"/>
      <c r="O15" s="144">
        <f t="shared" si="0"/>
        <v>540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tr">
        <f>'25메인호텔'!F13</f>
        <v>Hotel Boss</v>
      </c>
      <c r="AC15" s="35">
        <f>'25메인호텔'!G13</f>
        <v>185</v>
      </c>
      <c r="AD15" s="35">
        <f>'25메인호텔'!H13</f>
        <v>185</v>
      </c>
      <c r="AE15" s="34"/>
      <c r="AF15" s="34"/>
    </row>
    <row r="16" spans="1:32">
      <c r="B16" s="865"/>
      <c r="C16" s="907" t="s">
        <v>1169</v>
      </c>
      <c r="D16" s="908"/>
      <c r="E16" s="909"/>
      <c r="F16" s="72"/>
      <c r="G16" s="102"/>
      <c r="H16" s="115"/>
      <c r="I16" s="123"/>
      <c r="J16" s="110"/>
      <c r="K16" s="123"/>
      <c r="L16" s="91"/>
      <c r="M16" s="123"/>
      <c r="N16" s="91"/>
      <c r="O16" s="144">
        <f t="shared" si="0"/>
        <v>0</v>
      </c>
      <c r="Q16" s="7"/>
      <c r="AB16" s="496" t="str">
        <f>'25메인호텔'!F14</f>
        <v>V Hotel Lavender</v>
      </c>
      <c r="AC16" s="35">
        <f>'25메인호텔'!G14</f>
        <v>185</v>
      </c>
      <c r="AD16" s="35">
        <f>'25메인호텔'!H14</f>
        <v>185</v>
      </c>
      <c r="AE16" s="34"/>
      <c r="AF16" s="34"/>
    </row>
    <row r="17" spans="2:32">
      <c r="B17" s="865"/>
      <c r="C17" s="910" t="str">
        <f>일정!C27</f>
        <v>가든스바이더베이 2돔 ( 쥬랴기 )</v>
      </c>
      <c r="D17" s="911"/>
      <c r="E17" s="912"/>
      <c r="F17" s="72"/>
      <c r="G17" s="101">
        <f>일정!E27</f>
        <v>28.3</v>
      </c>
      <c r="H17" s="113">
        <f>$C$4+$E$4</f>
        <v>30</v>
      </c>
      <c r="I17" s="102"/>
      <c r="J17" s="115"/>
      <c r="K17" s="120"/>
      <c r="L17" s="91"/>
      <c r="M17" s="120"/>
      <c r="N17" s="91"/>
      <c r="O17" s="144">
        <f>(G17*H17)+(I17*J17)+(K17*L17)+(M17*N17)</f>
        <v>849</v>
      </c>
      <c r="Q17" s="7"/>
      <c r="AB17" s="496" t="str">
        <f>'25메인호텔'!F15</f>
        <v>IbIs Novena</v>
      </c>
      <c r="AC17" s="35">
        <f>'25메인호텔'!G15</f>
        <v>155</v>
      </c>
      <c r="AD17" s="35">
        <f>'25메인호텔'!H15</f>
        <v>155</v>
      </c>
      <c r="AE17" s="34"/>
      <c r="AF17" s="34"/>
    </row>
    <row r="18" spans="2:32">
      <c r="B18" s="865"/>
      <c r="C18" s="876" t="s">
        <v>305</v>
      </c>
      <c r="D18" s="877"/>
      <c r="E18" s="878"/>
      <c r="F18" s="72"/>
      <c r="G18" s="99"/>
      <c r="H18" s="114"/>
      <c r="I18" s="122">
        <f>식사!E7</f>
        <v>18</v>
      </c>
      <c r="J18" s="113">
        <f>$C$4+$E$4</f>
        <v>30</v>
      </c>
      <c r="K18" s="120"/>
      <c r="L18" s="91"/>
      <c r="M18" s="120"/>
      <c r="N18" s="91"/>
      <c r="O18" s="144">
        <f t="shared" si="0"/>
        <v>540</v>
      </c>
      <c r="Q18" s="7"/>
      <c r="AB18" s="496" t="str">
        <f>'25메인호텔'!F16</f>
        <v xml:space="preserve">IbIs bencoolen </v>
      </c>
      <c r="AC18" s="35">
        <f>'25메인호텔'!G16</f>
        <v>185</v>
      </c>
      <c r="AD18" s="35">
        <f>'25메인호텔'!H16</f>
        <v>185</v>
      </c>
      <c r="AE18" s="34"/>
      <c r="AF18" s="34"/>
    </row>
    <row r="19" spans="2:32">
      <c r="B19" s="865"/>
      <c r="C19" s="910" t="s">
        <v>1039</v>
      </c>
      <c r="D19" s="911"/>
      <c r="E19" s="912"/>
      <c r="F19" s="72"/>
      <c r="G19" s="101">
        <f>일정!E30</f>
        <v>15</v>
      </c>
      <c r="H19" s="113">
        <f>$C$4+$E$4</f>
        <v>30</v>
      </c>
      <c r="I19" s="123"/>
      <c r="J19" s="110"/>
      <c r="K19" s="123"/>
      <c r="L19" s="91"/>
      <c r="M19" s="123"/>
      <c r="N19" s="91"/>
      <c r="O19" s="144">
        <f>(G19*H19)+(I19*J19)+(K19*L19)+(M19*N19)</f>
        <v>450</v>
      </c>
      <c r="Q19" s="7"/>
      <c r="AB19" s="497" t="str">
        <f>'25메인호텔'!F17</f>
        <v>Oasia Sentosa</v>
      </c>
      <c r="AC19" s="35">
        <f>'25메인호텔'!G17</f>
        <v>240</v>
      </c>
      <c r="AD19" s="35">
        <f>'25메인호텔'!H17</f>
        <v>240</v>
      </c>
      <c r="AE19" s="34"/>
      <c r="AF19" s="34"/>
    </row>
    <row r="20" spans="2:32" ht="18" thickBot="1">
      <c r="B20" s="906"/>
      <c r="C20" s="893" t="s">
        <v>648</v>
      </c>
      <c r="D20" s="894"/>
      <c r="E20" s="895"/>
      <c r="F20" s="72"/>
      <c r="G20" s="102"/>
      <c r="H20" s="115"/>
      <c r="I20" s="123"/>
      <c r="J20" s="110"/>
      <c r="K20" s="123"/>
      <c r="L20" s="91"/>
      <c r="M20" s="123"/>
      <c r="N20" s="91"/>
      <c r="O20" s="144">
        <f t="shared" si="0"/>
        <v>0</v>
      </c>
      <c r="Q20" s="7"/>
      <c r="AB20" s="497" t="str">
        <f>'25메인호텔'!F18</f>
        <v>Swissotel The stamford</v>
      </c>
      <c r="AC20" s="35">
        <f>'25메인호텔'!G18</f>
        <v>540</v>
      </c>
      <c r="AD20" s="35">
        <f>'25메인호텔'!H18</f>
        <v>540</v>
      </c>
      <c r="AE20" s="34" t="e">
        <f>'25메인호텔'!#REF!</f>
        <v>#REF!</v>
      </c>
      <c r="AF20" s="34" t="e">
        <f>'25메인호텔'!#REF!</f>
        <v>#REF!</v>
      </c>
    </row>
    <row r="21" spans="2:32">
      <c r="B21" s="864" t="str">
        <f>TEXT(C5+2,"m월 d일 aaaa")</f>
        <v>11월 20일 목요일</v>
      </c>
      <c r="C21" s="896" t="s">
        <v>240</v>
      </c>
      <c r="D21" s="897"/>
      <c r="E21" s="898"/>
      <c r="F21" s="72"/>
      <c r="G21" s="98"/>
      <c r="H21" s="112"/>
      <c r="I21" s="119"/>
      <c r="J21" s="109"/>
      <c r="K21" s="128">
        <f>IF(C4+E4&lt;8,'가이드&amp;차량'!C47, IF(C4+E4&lt;=14,'가이드&amp;차량'!C39,'가이드&amp;차량'!C23))</f>
        <v>630</v>
      </c>
      <c r="L21" s="90">
        <f>L10</f>
        <v>1</v>
      </c>
      <c r="M21" s="128">
        <f>'가이드&amp;차량'!C6</f>
        <v>375</v>
      </c>
      <c r="N21" s="90">
        <f>N10</f>
        <v>1</v>
      </c>
      <c r="O21" s="143">
        <f t="shared" si="0"/>
        <v>1005</v>
      </c>
      <c r="Q21" s="159" t="s">
        <v>277</v>
      </c>
    </row>
    <row r="22" spans="2:32">
      <c r="B22" s="888"/>
      <c r="C22" s="899" t="s">
        <v>280</v>
      </c>
      <c r="D22" s="900"/>
      <c r="E22" s="901"/>
      <c r="F22" s="72"/>
      <c r="G22" s="101">
        <f>일정!E3</f>
        <v>75.3</v>
      </c>
      <c r="H22" s="113">
        <f>$C$4+$E$4</f>
        <v>30</v>
      </c>
      <c r="I22" s="123"/>
      <c r="J22" s="110"/>
      <c r="K22" s="123"/>
      <c r="L22" s="91"/>
      <c r="M22" s="123"/>
      <c r="N22" s="91"/>
      <c r="O22" s="144">
        <f t="shared" si="0"/>
        <v>2259</v>
      </c>
      <c r="Q22" s="7"/>
    </row>
    <row r="23" spans="2:32">
      <c r="B23" s="888"/>
      <c r="C23" s="902" t="s">
        <v>281</v>
      </c>
      <c r="D23" s="903"/>
      <c r="E23" s="904"/>
      <c r="F23" s="72"/>
      <c r="G23" s="99"/>
      <c r="H23" s="110"/>
      <c r="I23" s="122">
        <v>20</v>
      </c>
      <c r="J23" s="113">
        <f>$C$4+$E$4</f>
        <v>30</v>
      </c>
      <c r="K23" s="123"/>
      <c r="L23" s="91"/>
      <c r="M23" s="102"/>
      <c r="N23" s="91"/>
      <c r="O23" s="146">
        <f t="shared" si="0"/>
        <v>600</v>
      </c>
      <c r="Q23" s="7"/>
    </row>
    <row r="24" spans="2:32">
      <c r="B24" s="888"/>
      <c r="C24" s="902" t="s">
        <v>678</v>
      </c>
      <c r="D24" s="903"/>
      <c r="E24" s="904"/>
      <c r="F24" s="72"/>
      <c r="G24" s="99"/>
      <c r="H24" s="110"/>
      <c r="I24" s="122">
        <f>식사!E15</f>
        <v>18</v>
      </c>
      <c r="J24" s="113">
        <f>$C$4+$E$4</f>
        <v>30</v>
      </c>
      <c r="K24" s="123"/>
      <c r="L24" s="91"/>
      <c r="M24" s="123"/>
      <c r="N24" s="91"/>
      <c r="O24" s="146">
        <f t="shared" si="0"/>
        <v>540</v>
      </c>
      <c r="Q24" s="7"/>
    </row>
    <row r="25" spans="2:32">
      <c r="B25" s="889"/>
      <c r="C25" s="890" t="s">
        <v>679</v>
      </c>
      <c r="D25" s="891"/>
      <c r="E25" s="892"/>
      <c r="F25" s="72"/>
      <c r="G25" s="104"/>
      <c r="H25" s="314"/>
      <c r="I25" s="163"/>
      <c r="J25" s="164"/>
      <c r="K25" s="161"/>
      <c r="L25" s="138"/>
      <c r="M25" s="161"/>
      <c r="N25" s="138"/>
      <c r="O25" s="146">
        <f t="shared" si="0"/>
        <v>0</v>
      </c>
      <c r="Q25" s="7"/>
    </row>
    <row r="26" spans="2:32" ht="18" thickBot="1">
      <c r="B26" s="866"/>
      <c r="C26" s="893" t="s">
        <v>648</v>
      </c>
      <c r="D26" s="894"/>
      <c r="E26" s="895"/>
      <c r="F26" s="72"/>
      <c r="G26" s="100"/>
      <c r="H26" s="111"/>
      <c r="I26" s="124"/>
      <c r="J26" s="126"/>
      <c r="K26" s="129"/>
      <c r="L26" s="137"/>
      <c r="M26" s="124"/>
      <c r="N26" s="137"/>
      <c r="O26" s="146">
        <f t="shared" si="0"/>
        <v>0</v>
      </c>
      <c r="Q26" s="7"/>
    </row>
    <row r="27" spans="2:32">
      <c r="B27" s="864" t="str">
        <f>TEXT(C5+3,"m월 d일 aaaa")</f>
        <v>11월 21일 금요일</v>
      </c>
      <c r="C27" s="867" t="s">
        <v>282</v>
      </c>
      <c r="D27" s="868"/>
      <c r="E27" s="869"/>
      <c r="F27" s="72"/>
      <c r="G27" s="98"/>
      <c r="H27" s="112"/>
      <c r="I27" s="119"/>
      <c r="J27" s="109"/>
      <c r="K27" s="128">
        <f>IF(C4+E4&lt;8,'가이드&amp;차량'!C47, IF(C4+E4&lt;=14,'가이드&amp;차량'!C39,'가이드&amp;차량'!C23))</f>
        <v>630</v>
      </c>
      <c r="L27" s="90">
        <f>L10</f>
        <v>1</v>
      </c>
      <c r="M27" s="128">
        <f>'가이드&amp;차량'!C6</f>
        <v>375</v>
      </c>
      <c r="N27" s="90">
        <f>N10</f>
        <v>1</v>
      </c>
      <c r="O27" s="143">
        <f t="shared" si="0"/>
        <v>1005</v>
      </c>
      <c r="Q27" s="159" t="s">
        <v>278</v>
      </c>
    </row>
    <row r="28" spans="2:32">
      <c r="B28" s="888"/>
      <c r="C28" s="879" t="s">
        <v>187</v>
      </c>
      <c r="D28" s="880"/>
      <c r="E28" s="881"/>
      <c r="F28" s="72"/>
      <c r="G28" s="101">
        <f>일정!E40</f>
        <v>24.5</v>
      </c>
      <c r="H28" s="113">
        <f>$C$4+$E$4</f>
        <v>30</v>
      </c>
      <c r="I28" s="123"/>
      <c r="J28" s="110"/>
      <c r="K28" s="123"/>
      <c r="L28" s="91"/>
      <c r="M28" s="123"/>
      <c r="N28" s="91"/>
      <c r="O28" s="144">
        <f t="shared" si="0"/>
        <v>735</v>
      </c>
    </row>
    <row r="29" spans="2:32">
      <c r="B29" s="888"/>
      <c r="C29" s="876" t="s">
        <v>680</v>
      </c>
      <c r="D29" s="877"/>
      <c r="E29" s="878"/>
      <c r="F29" s="72"/>
      <c r="G29" s="99"/>
      <c r="H29" s="114"/>
      <c r="I29" s="122">
        <f>식사!E36</f>
        <v>20</v>
      </c>
      <c r="J29" s="113">
        <f>$C$4+$E$4</f>
        <v>30</v>
      </c>
      <c r="K29" s="120"/>
      <c r="L29" s="91"/>
      <c r="M29" s="120"/>
      <c r="N29" s="91"/>
      <c r="O29" s="144">
        <f t="shared" si="0"/>
        <v>600</v>
      </c>
    </row>
    <row r="30" spans="2:32">
      <c r="B30" s="888"/>
      <c r="C30" s="879" t="s">
        <v>718</v>
      </c>
      <c r="D30" s="880"/>
      <c r="E30" s="881"/>
      <c r="F30" s="72"/>
      <c r="G30" s="103">
        <f>일정!E34</f>
        <v>8.3000000000000007</v>
      </c>
      <c r="H30" s="113">
        <f>$C$4+$E$4</f>
        <v>30</v>
      </c>
      <c r="I30" s="102"/>
      <c r="J30" s="115"/>
      <c r="K30" s="123"/>
      <c r="L30" s="91"/>
      <c r="M30" s="123"/>
      <c r="N30" s="91"/>
      <c r="O30" s="144">
        <f t="shared" si="0"/>
        <v>249.00000000000003</v>
      </c>
    </row>
    <row r="31" spans="2:32">
      <c r="B31" s="888"/>
      <c r="C31" s="882" t="s">
        <v>681</v>
      </c>
      <c r="D31" s="883"/>
      <c r="E31" s="884"/>
      <c r="F31" s="72"/>
      <c r="G31" s="347"/>
      <c r="H31" s="115"/>
      <c r="I31" s="123"/>
      <c r="J31" s="110"/>
      <c r="K31" s="123"/>
      <c r="L31" s="91"/>
      <c r="M31" s="123"/>
      <c r="N31" s="91"/>
      <c r="O31" s="144">
        <f t="shared" si="0"/>
        <v>0</v>
      </c>
    </row>
    <row r="32" spans="2:32">
      <c r="B32" s="888"/>
      <c r="C32" s="885" t="s">
        <v>682</v>
      </c>
      <c r="D32" s="886"/>
      <c r="E32" s="887"/>
      <c r="F32" s="72"/>
      <c r="G32" s="104"/>
      <c r="H32" s="116"/>
      <c r="I32" s="122">
        <v>20</v>
      </c>
      <c r="J32" s="113">
        <f>$C$4+$E$4</f>
        <v>30</v>
      </c>
      <c r="K32" s="130"/>
      <c r="L32" s="138"/>
      <c r="M32" s="130"/>
      <c r="N32" s="138"/>
      <c r="O32" s="144">
        <f t="shared" si="0"/>
        <v>600</v>
      </c>
    </row>
    <row r="33" spans="2:21">
      <c r="B33" s="889"/>
      <c r="C33" s="890" t="s">
        <v>679</v>
      </c>
      <c r="D33" s="891"/>
      <c r="E33" s="892"/>
      <c r="F33" s="72"/>
      <c r="G33" s="104"/>
      <c r="H33" s="116"/>
      <c r="I33" s="163"/>
      <c r="J33" s="164"/>
      <c r="K33" s="161"/>
      <c r="L33" s="138"/>
      <c r="M33" s="130"/>
      <c r="N33" s="138"/>
      <c r="O33" s="144">
        <f t="shared" si="0"/>
        <v>0</v>
      </c>
    </row>
    <row r="34" spans="2:21">
      <c r="B34" s="866"/>
      <c r="C34" s="893" t="s">
        <v>648</v>
      </c>
      <c r="D34" s="894"/>
      <c r="E34" s="895"/>
      <c r="F34" s="34"/>
      <c r="G34" s="105"/>
      <c r="H34" s="117"/>
      <c r="I34" s="124"/>
      <c r="J34" s="126"/>
      <c r="K34" s="373"/>
      <c r="L34" s="139"/>
      <c r="M34" s="131"/>
      <c r="N34" s="139"/>
      <c r="O34" s="144">
        <f t="shared" si="0"/>
        <v>0</v>
      </c>
      <c r="P34" s="34"/>
      <c r="Q34" s="34"/>
      <c r="R34" s="34"/>
      <c r="S34" s="34"/>
      <c r="T34" s="34"/>
      <c r="U34" s="34"/>
    </row>
    <row r="35" spans="2:21">
      <c r="B35" s="864" t="str">
        <f>TEXT(C5+4,"m월 d일 aaaa")</f>
        <v>11월 22일 토요일</v>
      </c>
      <c r="C35" s="867" t="s">
        <v>683</v>
      </c>
      <c r="D35" s="868"/>
      <c r="E35" s="869"/>
      <c r="F35" s="72"/>
      <c r="G35" s="98"/>
      <c r="H35" s="112"/>
      <c r="I35" s="119"/>
      <c r="J35" s="109"/>
      <c r="K35" s="128">
        <f>IF(C4+E4&lt;8,'가이드&amp;차량'!C43, IF(C4+E4&lt;=14,'가이드&amp;차량'!C35,'가이드&amp;차량'!C19))</f>
        <v>280</v>
      </c>
      <c r="L35" s="90">
        <f>L10</f>
        <v>1</v>
      </c>
      <c r="M35" s="128">
        <f>'가이드&amp;차량'!C3</f>
        <v>150</v>
      </c>
      <c r="N35" s="90">
        <f>N10</f>
        <v>1</v>
      </c>
      <c r="O35" s="143">
        <f>(G35*H35)+(I35*J35)+(K35*L35)+(M35*N35)</f>
        <v>430</v>
      </c>
      <c r="Q35" s="159" t="s">
        <v>278</v>
      </c>
    </row>
    <row r="36" spans="2:21" ht="18" thickBot="1">
      <c r="B36" s="866"/>
      <c r="C36" s="870" t="s">
        <v>1207</v>
      </c>
      <c r="D36" s="871"/>
      <c r="E36" s="500">
        <f>상품리스트!I5</f>
        <v>0</v>
      </c>
      <c r="F36" s="34"/>
      <c r="G36" s="105"/>
      <c r="H36" s="117"/>
      <c r="I36" s="124"/>
      <c r="J36" s="126"/>
      <c r="K36" s="131"/>
      <c r="L36" s="139"/>
      <c r="M36" s="131"/>
      <c r="N36" s="139"/>
      <c r="O36" s="149">
        <f>(G36*H36)+(I36*J36)+(K36*L36)+(M36*N36)</f>
        <v>0</v>
      </c>
      <c r="P36" s="34"/>
      <c r="Q36" s="34"/>
      <c r="R36" s="34"/>
      <c r="S36" s="34"/>
      <c r="T36" s="34"/>
      <c r="U36" s="34"/>
    </row>
    <row r="37" spans="2:21" ht="18" thickBot="1">
      <c r="B37" s="72"/>
      <c r="C37" s="72"/>
      <c r="D37" s="72"/>
      <c r="E37" s="72"/>
      <c r="F37" s="72"/>
      <c r="G37" s="72"/>
      <c r="H37" s="72"/>
      <c r="K37" s="132">
        <f>SUM(K10:K34)</f>
        <v>2170</v>
      </c>
      <c r="L37" s="72"/>
      <c r="M37" s="132">
        <f>SUM(M10:M34)</f>
        <v>1275</v>
      </c>
      <c r="N37" s="72"/>
      <c r="O37" s="150"/>
      <c r="P37" s="156"/>
    </row>
    <row r="38" spans="2:21">
      <c r="B38" s="872" t="s">
        <v>246</v>
      </c>
      <c r="C38" s="873" t="s">
        <v>604</v>
      </c>
      <c r="D38" s="874"/>
      <c r="E38" s="875"/>
      <c r="F38" s="34"/>
      <c r="G38" s="862">
        <f>$C$4+$E$4</f>
        <v>30</v>
      </c>
      <c r="H38" s="863"/>
      <c r="I38" s="854">
        <v>10</v>
      </c>
      <c r="J38" s="854"/>
      <c r="K38" s="855">
        <v>1</v>
      </c>
      <c r="L38" s="855"/>
      <c r="M38" s="855"/>
      <c r="N38" s="855"/>
      <c r="O38" s="151">
        <f>G38*I38*K38</f>
        <v>300</v>
      </c>
    </row>
    <row r="39" spans="2:21" ht="18" thickBot="1">
      <c r="B39" s="827"/>
      <c r="C39" s="856" t="s">
        <v>451</v>
      </c>
      <c r="D39" s="857"/>
      <c r="E39" s="858"/>
      <c r="F39" s="34"/>
      <c r="G39" s="859">
        <v>50</v>
      </c>
      <c r="H39" s="860"/>
      <c r="I39" s="860"/>
      <c r="J39" s="860"/>
      <c r="K39" s="861">
        <f>C4</f>
        <v>30</v>
      </c>
      <c r="L39" s="861"/>
      <c r="M39" s="861"/>
      <c r="N39" s="861"/>
      <c r="O39" s="152">
        <f>G39*K39</f>
        <v>1500</v>
      </c>
    </row>
    <row r="40" spans="2:21">
      <c r="O40" s="150"/>
    </row>
  </sheetData>
  <mergeCells count="60"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  <mergeCell ref="H7:K7"/>
    <mergeCell ref="M8:N8"/>
    <mergeCell ref="O8:O9"/>
    <mergeCell ref="B10:B12"/>
    <mergeCell ref="C11:E11"/>
    <mergeCell ref="C12:E12"/>
    <mergeCell ref="G8:H8"/>
    <mergeCell ref="I8:J8"/>
    <mergeCell ref="K8:L8"/>
    <mergeCell ref="C10:D10"/>
    <mergeCell ref="B13:B20"/>
    <mergeCell ref="C13:E13"/>
    <mergeCell ref="C15:E15"/>
    <mergeCell ref="C16:E16"/>
    <mergeCell ref="C18:E18"/>
    <mergeCell ref="C20:E20"/>
    <mergeCell ref="C14:E14"/>
    <mergeCell ref="C19:E19"/>
    <mergeCell ref="C17:E17"/>
    <mergeCell ref="B21:B26"/>
    <mergeCell ref="C21:E21"/>
    <mergeCell ref="C22:E22"/>
    <mergeCell ref="C23:E23"/>
    <mergeCell ref="C24:E24"/>
    <mergeCell ref="C25:E25"/>
    <mergeCell ref="C26:E26"/>
    <mergeCell ref="B27:B34"/>
    <mergeCell ref="C27:E27"/>
    <mergeCell ref="C28:E28"/>
    <mergeCell ref="C29:E29"/>
    <mergeCell ref="C30:E30"/>
    <mergeCell ref="C31:E31"/>
    <mergeCell ref="C32:E32"/>
    <mergeCell ref="C34:E34"/>
    <mergeCell ref="C33:E33"/>
    <mergeCell ref="G38:H38"/>
    <mergeCell ref="I38:J38"/>
    <mergeCell ref="K38:N38"/>
    <mergeCell ref="C39:E39"/>
    <mergeCell ref="G39:J39"/>
    <mergeCell ref="K39:N39"/>
    <mergeCell ref="B35:B36"/>
    <mergeCell ref="C35:E35"/>
    <mergeCell ref="B38:B39"/>
    <mergeCell ref="C38:E38"/>
    <mergeCell ref="C36:D36"/>
  </mergeCells>
  <phoneticPr fontId="1" type="noConversion"/>
  <hyperlinks>
    <hyperlink ref="A1" location="상품리스트!A1" display="home" xr:uid="{9C926545-135D-4D38-8D5C-AF9A2713DBB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3FB8-2BB1-48AF-8ED5-5AE8BC92F238}">
  <dimension ref="A1:AF41"/>
  <sheetViews>
    <sheetView zoomScale="140" workbookViewId="0">
      <selection activeCell="J36" sqref="J36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83203125" bestFit="1" customWidth="1"/>
    <col min="5" max="5" width="15.5" customWidth="1"/>
    <col min="6" max="6" width="4.6640625" customWidth="1"/>
    <col min="7" max="10" width="7.6640625" customWidth="1"/>
    <col min="11" max="11" width="12.5" customWidth="1"/>
    <col min="12" max="15" width="7.6640625" customWidth="1"/>
    <col min="16" max="16" width="2.83203125" customWidth="1"/>
    <col min="18" max="18" width="3.33203125" customWidth="1"/>
    <col min="20" max="20" width="4" bestFit="1" customWidth="1"/>
    <col min="21" max="21" width="1.6640625" customWidth="1"/>
    <col min="22" max="22" width="17.6640625" bestFit="1" customWidth="1"/>
    <col min="23" max="24" width="9.83203125" bestFit="1" customWidth="1"/>
    <col min="25" max="25" width="20.1640625" bestFit="1" customWidth="1"/>
    <col min="26" max="26" width="9" bestFit="1" customWidth="1"/>
    <col min="27" max="27" width="3.5" customWidth="1"/>
    <col min="28" max="28" width="19.83203125" customWidth="1"/>
    <col min="29" max="30" width="5" bestFit="1" customWidth="1"/>
    <col min="31" max="32" width="6.1640625" bestFit="1" customWidth="1"/>
  </cols>
  <sheetData>
    <row r="1" spans="1:32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15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2">
      <c r="B2" s="73" t="s">
        <v>238</v>
      </c>
      <c r="C2" s="923" t="s">
        <v>1028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Aloft Novena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180</v>
      </c>
      <c r="M2" s="140">
        <f>$I$1+$K$1</f>
        <v>15</v>
      </c>
      <c r="N2" s="106">
        <f>L2*M2</f>
        <v>2700</v>
      </c>
      <c r="O2" s="929">
        <f>SUM(N2:N6)</f>
        <v>8100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918</v>
      </c>
      <c r="AC2" s="10">
        <v>180</v>
      </c>
      <c r="AD2" s="10">
        <v>180</v>
      </c>
    </row>
    <row r="3" spans="1:32" ht="28">
      <c r="B3" s="74" t="s">
        <v>239</v>
      </c>
      <c r="C3" s="938" t="s">
        <v>1029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Aloft Novena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180</v>
      </c>
      <c r="M3" s="140">
        <f>$I$1+$K$1</f>
        <v>15</v>
      </c>
      <c r="N3" s="106">
        <f>L3*M3</f>
        <v>2700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2" ht="18" thickBot="1">
      <c r="B4" s="75" t="s">
        <v>241</v>
      </c>
      <c r="C4" s="81">
        <v>30</v>
      </c>
      <c r="D4" s="84" t="s">
        <v>253</v>
      </c>
      <c r="E4" s="92"/>
      <c r="F4" s="72"/>
      <c r="G4" s="921"/>
      <c r="H4" s="925">
        <f>H3+1</f>
        <v>45734</v>
      </c>
      <c r="I4" s="926"/>
      <c r="J4" s="927" t="str">
        <f>J2</f>
        <v>Aloft Novena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180</v>
      </c>
      <c r="M4" s="141">
        <f>$I$1+$K$1</f>
        <v>15</v>
      </c>
      <c r="N4" s="106">
        <f>L4*M4</f>
        <v>2700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tr">
        <f>'25메인호텔'!F2</f>
        <v>Momentus</v>
      </c>
      <c r="AC4" s="35">
        <f>'25메인호텔'!G2</f>
        <v>190</v>
      </c>
      <c r="AD4" s="35">
        <f>'25메인호텔'!H2</f>
        <v>180</v>
      </c>
      <c r="AE4" s="34"/>
      <c r="AF4" s="34"/>
    </row>
    <row r="5" spans="1:32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/>
      <c r="I5" s="926"/>
      <c r="J5" s="939"/>
      <c r="K5" s="940"/>
      <c r="L5" s="135"/>
      <c r="M5" s="140"/>
      <c r="N5" s="559"/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tr">
        <f>'25메인호텔'!F3</f>
        <v>Aloft Novena</v>
      </c>
      <c r="AC5" s="35">
        <f>'25메인호텔'!G3</f>
        <v>180</v>
      </c>
      <c r="AD5" s="35">
        <f>'25메인호텔'!H3</f>
        <v>180</v>
      </c>
      <c r="AE5" s="34"/>
      <c r="AF5" s="34"/>
    </row>
    <row r="6" spans="1:32" ht="17.25" customHeight="1" thickBot="1">
      <c r="B6" s="77" t="s">
        <v>243</v>
      </c>
      <c r="C6" s="83">
        <f>(SUM(O10:O41)+O2)/C4+R6+T6</f>
        <v>862.0333333333333</v>
      </c>
      <c r="D6" s="86" t="s">
        <v>254</v>
      </c>
      <c r="E6" s="94">
        <f>C6*$E$1</f>
        <v>948236.66666666663</v>
      </c>
      <c r="F6" s="72"/>
      <c r="G6" s="922"/>
      <c r="H6" s="925"/>
      <c r="I6" s="926"/>
      <c r="J6" s="935"/>
      <c r="K6" s="935"/>
      <c r="L6" s="136"/>
      <c r="M6" s="89"/>
      <c r="N6" s="107"/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tr">
        <f>'25메인호텔'!F4</f>
        <v>Mercure Stevens</v>
      </c>
      <c r="AC6" s="35">
        <f>'25메인호텔'!G4</f>
        <v>180</v>
      </c>
      <c r="AD6" s="35">
        <f>'25메인호텔'!H4</f>
        <v>180</v>
      </c>
      <c r="AE6" s="34"/>
      <c r="AF6" s="34"/>
    </row>
    <row r="7" spans="1:32" ht="18" thickBot="1">
      <c r="B7" s="78" t="s">
        <v>244</v>
      </c>
      <c r="C7" s="183">
        <v>0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tr">
        <f>'25메인호텔'!F5</f>
        <v>M Hotel City Centre</v>
      </c>
      <c r="AC7" s="35">
        <f>'25메인호텔'!G5</f>
        <v>230</v>
      </c>
      <c r="AD7" s="35">
        <f>'25메인호텔'!H5</f>
        <v>230</v>
      </c>
      <c r="AE7" s="34"/>
      <c r="AF7" s="34"/>
    </row>
    <row r="8" spans="1:32" ht="18" customHeight="1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tr">
        <f>'25메인호텔'!F6</f>
        <v>Concorde Hotel</v>
      </c>
      <c r="AC8" s="35">
        <f>'25메인호텔'!G6</f>
        <v>230</v>
      </c>
      <c r="AD8" s="35">
        <f>'25메인호텔'!H6</f>
        <v>230</v>
      </c>
      <c r="AE8" s="34"/>
      <c r="AF8" s="34"/>
    </row>
    <row r="9" spans="1:32" ht="18" thickBot="1">
      <c r="B9" s="79" t="s">
        <v>245</v>
      </c>
      <c r="C9" s="185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tr">
        <f>'25메인호텔'!F7</f>
        <v>Oasia Novena</v>
      </c>
      <c r="AC9" s="35">
        <f>'25메인호텔'!G7</f>
        <v>210</v>
      </c>
      <c r="AD9" s="35">
        <f>'25메인호텔'!H7</f>
        <v>210</v>
      </c>
      <c r="AE9" s="34"/>
      <c r="AF9" s="34"/>
    </row>
    <row r="10" spans="1:32">
      <c r="B10" s="905" t="str">
        <f>TEXT(C5,"m월 d일 aaaa")</f>
        <v>3월 16일 일요일</v>
      </c>
      <c r="C10" s="867" t="s">
        <v>960</v>
      </c>
      <c r="D10" s="916"/>
      <c r="E10" s="499">
        <f>상품리스트!F4</f>
        <v>0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280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430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tr">
        <f>'25메인호텔'!F8</f>
        <v>Orchid Hotel</v>
      </c>
      <c r="AC10" s="35">
        <f>'25메인호텔'!G8</f>
        <v>220</v>
      </c>
      <c r="AD10" s="35">
        <f>'25메인호텔'!H8</f>
        <v>220</v>
      </c>
      <c r="AE10" s="34"/>
      <c r="AF10" s="34"/>
    </row>
    <row r="11" spans="1:32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7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tr">
        <f>'25메인호텔'!F9</f>
        <v>Amara Singapore</v>
      </c>
      <c r="AC11" s="35">
        <f>'25메인호텔'!G9</f>
        <v>230</v>
      </c>
      <c r="AD11" s="35">
        <f>'25메인호텔'!H9</f>
        <v>230</v>
      </c>
      <c r="AE11" s="34"/>
      <c r="AF11" s="34"/>
    </row>
    <row r="12" spans="1:32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tr">
        <f>'25메인호텔'!F10</f>
        <v>Orchard Hotel</v>
      </c>
      <c r="AC12" s="35">
        <f>'25메인호텔'!G10</f>
        <v>240</v>
      </c>
      <c r="AD12" s="35">
        <f>'25메인호텔'!H10</f>
        <v>240</v>
      </c>
      <c r="AE12" s="34"/>
      <c r="AF12" s="34"/>
    </row>
    <row r="13" spans="1:32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630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1005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tr">
        <f>'25메인호텔'!F11</f>
        <v>Grand Copthorne</v>
      </c>
      <c r="AC13" s="35">
        <f>'25메인호텔'!G11</f>
        <v>240</v>
      </c>
      <c r="AD13" s="35">
        <f>'25메인호텔'!H11</f>
        <v>240</v>
      </c>
      <c r="AE13" s="34"/>
      <c r="AF13" s="34"/>
    </row>
    <row r="14" spans="1:32">
      <c r="B14" s="865"/>
      <c r="C14" s="890" t="s">
        <v>649</v>
      </c>
      <c r="D14" s="891"/>
      <c r="E14" s="892"/>
      <c r="F14" s="72"/>
      <c r="G14" s="340"/>
      <c r="H14" s="341"/>
      <c r="I14" s="342"/>
      <c r="J14" s="343"/>
      <c r="K14" s="344"/>
      <c r="L14" s="345"/>
      <c r="M14" s="344"/>
      <c r="N14" s="345"/>
      <c r="O14" s="466">
        <f t="shared" si="0"/>
        <v>0</v>
      </c>
      <c r="Q14" s="159"/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tr">
        <f>'25메인호텔'!F12</f>
        <v>Mercure Tyrwhitt</v>
      </c>
      <c r="AC14" s="35">
        <f>'25메인호텔'!G12</f>
        <v>170</v>
      </c>
      <c r="AD14" s="35">
        <f>'25메인호텔'!H12</f>
        <v>170</v>
      </c>
      <c r="AE14" s="34"/>
      <c r="AF14" s="34"/>
    </row>
    <row r="15" spans="1:32">
      <c r="B15" s="865"/>
      <c r="C15" s="879" t="s">
        <v>852</v>
      </c>
      <c r="D15" s="880"/>
      <c r="E15" s="881"/>
      <c r="F15" s="72"/>
      <c r="G15" s="103">
        <f>일정!E39</f>
        <v>28.5</v>
      </c>
      <c r="H15" s="113">
        <f>$C$4+$E$4</f>
        <v>30</v>
      </c>
      <c r="I15" s="102"/>
      <c r="J15" s="115"/>
      <c r="K15" s="123"/>
      <c r="L15" s="91"/>
      <c r="M15" s="123"/>
      <c r="N15" s="91"/>
      <c r="O15" s="144">
        <f t="shared" si="0"/>
        <v>855</v>
      </c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tr">
        <f>'25메인호텔'!F13</f>
        <v>Hotel Boss</v>
      </c>
      <c r="AC15" s="35">
        <f>'25메인호텔'!G13</f>
        <v>185</v>
      </c>
      <c r="AD15" s="35">
        <f>'25메인호텔'!H13</f>
        <v>185</v>
      </c>
      <c r="AE15" s="34"/>
      <c r="AF15" s="34"/>
    </row>
    <row r="16" spans="1:32">
      <c r="B16" s="865"/>
      <c r="C16" s="876" t="s">
        <v>855</v>
      </c>
      <c r="D16" s="877"/>
      <c r="E16" s="878"/>
      <c r="F16" s="72"/>
      <c r="G16" s="99"/>
      <c r="H16" s="114"/>
      <c r="I16" s="122">
        <f>식사!E23</f>
        <v>28</v>
      </c>
      <c r="J16" s="113">
        <f>$C$4+$E$4</f>
        <v>30</v>
      </c>
      <c r="K16" s="120"/>
      <c r="L16" s="91"/>
      <c r="M16" s="120"/>
      <c r="N16" s="91"/>
      <c r="O16" s="144">
        <f t="shared" si="0"/>
        <v>840</v>
      </c>
      <c r="Q16" s="7"/>
      <c r="AB16" s="496" t="str">
        <f>'25메인호텔'!F14</f>
        <v>V Hotel Lavender</v>
      </c>
      <c r="AC16" s="35">
        <f>'25메인호텔'!G14</f>
        <v>185</v>
      </c>
      <c r="AD16" s="35">
        <f>'25메인호텔'!H14</f>
        <v>185</v>
      </c>
      <c r="AE16" s="34"/>
      <c r="AF16" s="34"/>
    </row>
    <row r="17" spans="2:32">
      <c r="B17" s="865"/>
      <c r="C17" s="882" t="s">
        <v>857</v>
      </c>
      <c r="D17" s="883"/>
      <c r="E17" s="884"/>
      <c r="F17" s="72"/>
      <c r="G17" s="347"/>
      <c r="H17" s="115"/>
      <c r="I17" s="123"/>
      <c r="J17" s="110"/>
      <c r="K17" s="123"/>
      <c r="L17" s="91"/>
      <c r="M17" s="123"/>
      <c r="N17" s="91"/>
      <c r="O17" s="144">
        <f t="shared" si="0"/>
        <v>0</v>
      </c>
      <c r="AB17" s="496" t="str">
        <f>'25메인호텔'!F15</f>
        <v>IbIs Novena</v>
      </c>
      <c r="AC17" s="35">
        <f>'25메인호텔'!G15</f>
        <v>155</v>
      </c>
      <c r="AD17" s="35">
        <f>'25메인호텔'!H15</f>
        <v>155</v>
      </c>
      <c r="AE17" s="34"/>
      <c r="AF17" s="34"/>
    </row>
    <row r="18" spans="2:32">
      <c r="B18" s="865"/>
      <c r="C18" s="945" t="s">
        <v>862</v>
      </c>
      <c r="D18" s="946"/>
      <c r="E18" s="947"/>
      <c r="F18" s="72"/>
      <c r="G18" s="347"/>
      <c r="H18" s="115"/>
      <c r="I18" s="122">
        <v>7</v>
      </c>
      <c r="J18" s="113">
        <f>$C$4+$E$4</f>
        <v>30</v>
      </c>
      <c r="K18" s="123"/>
      <c r="L18" s="91"/>
      <c r="M18" s="123"/>
      <c r="N18" s="91"/>
      <c r="O18" s="144">
        <f t="shared" si="0"/>
        <v>210</v>
      </c>
      <c r="AB18" s="496" t="str">
        <f>'25메인호텔'!F16</f>
        <v xml:space="preserve">IbIs bencoolen </v>
      </c>
      <c r="AC18" s="35">
        <f>'25메인호텔'!G16</f>
        <v>185</v>
      </c>
      <c r="AD18" s="35">
        <f>'25메인호텔'!H16</f>
        <v>185</v>
      </c>
      <c r="AE18" s="34"/>
      <c r="AF18" s="34"/>
    </row>
    <row r="19" spans="2:32">
      <c r="B19" s="865"/>
      <c r="C19" s="910" t="str">
        <f>일정!C27</f>
        <v>가든스바이더베이 2돔 ( 쥬랴기 )</v>
      </c>
      <c r="D19" s="911"/>
      <c r="E19" s="912"/>
      <c r="F19" s="72"/>
      <c r="G19" s="101">
        <f>일정!E27</f>
        <v>28.3</v>
      </c>
      <c r="H19" s="113">
        <f>$C$4+$E$4</f>
        <v>30</v>
      </c>
      <c r="I19" s="102"/>
      <c r="J19" s="115"/>
      <c r="K19" s="120"/>
      <c r="L19" s="91"/>
      <c r="M19" s="120"/>
      <c r="N19" s="91"/>
      <c r="O19" s="144">
        <f t="shared" si="0"/>
        <v>849</v>
      </c>
      <c r="Q19" s="7"/>
      <c r="AB19" s="497" t="str">
        <f>'25메인호텔'!F17</f>
        <v>Oasia Sentosa</v>
      </c>
      <c r="AC19" s="35">
        <f>'25메인호텔'!G17</f>
        <v>240</v>
      </c>
      <c r="AD19" s="35">
        <f>'25메인호텔'!H17</f>
        <v>240</v>
      </c>
      <c r="AE19" s="34"/>
      <c r="AF19" s="34"/>
    </row>
    <row r="20" spans="2:32">
      <c r="B20" s="865"/>
      <c r="C20" s="876" t="s">
        <v>1182</v>
      </c>
      <c r="D20" s="877"/>
      <c r="E20" s="878"/>
      <c r="F20" s="72"/>
      <c r="G20" s="99"/>
      <c r="H20" s="114"/>
      <c r="I20" s="122">
        <f>식사!E7</f>
        <v>18</v>
      </c>
      <c r="J20" s="113">
        <f>$C$4+$E$4</f>
        <v>30</v>
      </c>
      <c r="K20" s="120"/>
      <c r="L20" s="91"/>
      <c r="M20" s="120"/>
      <c r="N20" s="91"/>
      <c r="O20" s="144">
        <f t="shared" si="0"/>
        <v>540</v>
      </c>
      <c r="Q20" s="7"/>
      <c r="AB20" s="497" t="str">
        <f>'25메인호텔'!F18</f>
        <v>Swissotel The stamford</v>
      </c>
      <c r="AC20" s="35">
        <f>'25메인호텔'!G18</f>
        <v>540</v>
      </c>
      <c r="AD20" s="35">
        <f>'25메인호텔'!H18</f>
        <v>540</v>
      </c>
      <c r="AE20" s="34" t="e">
        <f>'25메인호텔'!#REF!</f>
        <v>#REF!</v>
      </c>
      <c r="AF20" s="34" t="e">
        <f>'25메인호텔'!#REF!</f>
        <v>#REF!</v>
      </c>
    </row>
    <row r="21" spans="2:32">
      <c r="B21" s="865"/>
      <c r="C21" s="941" t="s">
        <v>853</v>
      </c>
      <c r="D21" s="942"/>
      <c r="E21" s="943"/>
      <c r="F21" s="72"/>
      <c r="G21" s="102"/>
      <c r="H21" s="115"/>
      <c r="I21" s="123"/>
      <c r="J21" s="110"/>
      <c r="K21" s="123"/>
      <c r="L21" s="91"/>
      <c r="M21" s="123"/>
      <c r="N21" s="91"/>
      <c r="O21" s="144">
        <f t="shared" si="0"/>
        <v>0</v>
      </c>
      <c r="Q21" s="7"/>
    </row>
    <row r="22" spans="2:32" ht="18" thickBot="1">
      <c r="B22" s="906"/>
      <c r="C22" s="893" t="s">
        <v>648</v>
      </c>
      <c r="D22" s="894"/>
      <c r="E22" s="895"/>
      <c r="F22" s="72"/>
      <c r="G22" s="102"/>
      <c r="H22" s="115"/>
      <c r="I22" s="123"/>
      <c r="J22" s="110"/>
      <c r="K22" s="123"/>
      <c r="L22" s="91"/>
      <c r="M22" s="123"/>
      <c r="N22" s="91"/>
      <c r="O22" s="144">
        <f t="shared" si="0"/>
        <v>0</v>
      </c>
      <c r="Q22" s="7"/>
    </row>
    <row r="23" spans="2:32">
      <c r="B23" s="864" t="str">
        <f>TEXT(C5+2,"m월 d일 aaaa")</f>
        <v>3월 18일 화요일</v>
      </c>
      <c r="C23" s="896" t="s">
        <v>240</v>
      </c>
      <c r="D23" s="897"/>
      <c r="E23" s="898"/>
      <c r="F23" s="72"/>
      <c r="G23" s="98"/>
      <c r="H23" s="112"/>
      <c r="I23" s="119"/>
      <c r="J23" s="109"/>
      <c r="K23" s="128">
        <f>IF(C4+E4&lt;8,'가이드&amp;차량'!C47, IF(C4+E4&lt;=14,'가이드&amp;차량'!C39,'가이드&amp;차량'!C23))</f>
        <v>630</v>
      </c>
      <c r="L23" s="90">
        <f>L10</f>
        <v>1</v>
      </c>
      <c r="M23" s="128">
        <f>'가이드&amp;차량'!C6</f>
        <v>375</v>
      </c>
      <c r="N23" s="90">
        <f>N10</f>
        <v>1</v>
      </c>
      <c r="O23" s="143">
        <f t="shared" si="0"/>
        <v>1005</v>
      </c>
      <c r="Q23" s="159" t="s">
        <v>277</v>
      </c>
    </row>
    <row r="24" spans="2:32">
      <c r="B24" s="888"/>
      <c r="C24" s="882" t="s">
        <v>1025</v>
      </c>
      <c r="D24" s="883"/>
      <c r="E24" s="884"/>
      <c r="F24" s="72"/>
      <c r="G24" s="101">
        <f>일정!E10+일정!E20</f>
        <v>53.5</v>
      </c>
      <c r="H24" s="113">
        <f>$C$4+$E$4</f>
        <v>30</v>
      </c>
      <c r="I24" s="123"/>
      <c r="J24" s="110"/>
      <c r="K24" s="123"/>
      <c r="L24" s="91"/>
      <c r="M24" s="123"/>
      <c r="N24" s="91"/>
      <c r="O24" s="144">
        <f t="shared" si="0"/>
        <v>1605</v>
      </c>
      <c r="Q24" s="7"/>
    </row>
    <row r="25" spans="2:32">
      <c r="B25" s="888"/>
      <c r="C25" s="945" t="s">
        <v>864</v>
      </c>
      <c r="D25" s="946"/>
      <c r="E25" s="947"/>
      <c r="F25" s="72"/>
      <c r="G25" s="99"/>
      <c r="H25" s="110"/>
      <c r="I25" s="122">
        <v>5</v>
      </c>
      <c r="J25" s="113">
        <f>$C$4+$E$4</f>
        <v>30</v>
      </c>
      <c r="K25" s="123"/>
      <c r="L25" s="91"/>
      <c r="M25" s="123"/>
      <c r="N25" s="91"/>
      <c r="O25" s="144">
        <f t="shared" si="0"/>
        <v>150</v>
      </c>
      <c r="Q25" s="7"/>
    </row>
    <row r="26" spans="2:32">
      <c r="B26" s="888"/>
      <c r="C26" s="902" t="s">
        <v>858</v>
      </c>
      <c r="D26" s="903"/>
      <c r="E26" s="904"/>
      <c r="F26" s="72"/>
      <c r="G26" s="99"/>
      <c r="H26" s="110"/>
      <c r="I26" s="122">
        <v>30</v>
      </c>
      <c r="J26" s="113">
        <f>$C$4+$E$4</f>
        <v>30</v>
      </c>
      <c r="K26" s="123"/>
      <c r="L26" s="91"/>
      <c r="M26" s="102"/>
      <c r="N26" s="91"/>
      <c r="O26" s="146">
        <f t="shared" si="0"/>
        <v>900</v>
      </c>
      <c r="Q26" s="7"/>
    </row>
    <row r="27" spans="2:32">
      <c r="B27" s="888"/>
      <c r="C27" s="899" t="s">
        <v>280</v>
      </c>
      <c r="D27" s="900"/>
      <c r="E27" s="901"/>
      <c r="F27" s="72"/>
      <c r="G27" s="101">
        <f>일정!E3</f>
        <v>75.3</v>
      </c>
      <c r="H27" s="113">
        <f>$C$4+$E$4</f>
        <v>30</v>
      </c>
      <c r="I27" s="123"/>
      <c r="J27" s="110"/>
      <c r="K27" s="123"/>
      <c r="L27" s="91"/>
      <c r="M27" s="123"/>
      <c r="N27" s="91"/>
      <c r="O27" s="144">
        <f t="shared" si="0"/>
        <v>2259</v>
      </c>
      <c r="Q27" s="7"/>
    </row>
    <row r="28" spans="2:32">
      <c r="B28" s="888"/>
      <c r="C28" s="902" t="s">
        <v>1314</v>
      </c>
      <c r="D28" s="903"/>
      <c r="E28" s="904"/>
      <c r="F28" s="72"/>
      <c r="G28" s="99"/>
      <c r="H28" s="110"/>
      <c r="I28" s="122">
        <v>30</v>
      </c>
      <c r="J28" s="113">
        <f>$C$4+$E$4</f>
        <v>30</v>
      </c>
      <c r="K28" s="123"/>
      <c r="L28" s="91"/>
      <c r="M28" s="123"/>
      <c r="N28" s="91"/>
      <c r="O28" s="146">
        <f t="shared" si="0"/>
        <v>900</v>
      </c>
      <c r="Q28" s="7"/>
    </row>
    <row r="29" spans="2:32" ht="18" thickBot="1">
      <c r="B29" s="866"/>
      <c r="C29" s="893" t="s">
        <v>648</v>
      </c>
      <c r="D29" s="894"/>
      <c r="E29" s="895"/>
      <c r="F29" s="72"/>
      <c r="G29" s="100"/>
      <c r="H29" s="111"/>
      <c r="I29" s="124"/>
      <c r="J29" s="126"/>
      <c r="K29" s="129"/>
      <c r="L29" s="137"/>
      <c r="M29" s="124"/>
      <c r="N29" s="137"/>
      <c r="O29" s="146">
        <f t="shared" si="0"/>
        <v>0</v>
      </c>
      <c r="Q29" s="7"/>
    </row>
    <row r="30" spans="2:32">
      <c r="B30" s="864" t="str">
        <f>TEXT(C5+3,"m월 d일 aaaa")</f>
        <v>3월 19일 수요일</v>
      </c>
      <c r="C30" s="867" t="s">
        <v>282</v>
      </c>
      <c r="D30" s="868"/>
      <c r="E30" s="869"/>
      <c r="F30" s="72"/>
      <c r="G30" s="98"/>
      <c r="H30" s="112"/>
      <c r="I30" s="119"/>
      <c r="J30" s="109"/>
      <c r="K30" s="128">
        <f>IF(C4+E4&lt;8,'가이드&amp;차량'!C47, IF(C4+E4&lt;=14,'가이드&amp;차량'!C39,'가이드&amp;차량'!C23))</f>
        <v>630</v>
      </c>
      <c r="L30" s="90">
        <f>L10</f>
        <v>1</v>
      </c>
      <c r="M30" s="128">
        <v>525</v>
      </c>
      <c r="N30" s="90">
        <f>N10</f>
        <v>1</v>
      </c>
      <c r="O30" s="143">
        <f t="shared" si="0"/>
        <v>1155</v>
      </c>
      <c r="Q30" s="159" t="s">
        <v>278</v>
      </c>
    </row>
    <row r="31" spans="2:32">
      <c r="B31" s="944"/>
      <c r="C31" s="882" t="s">
        <v>859</v>
      </c>
      <c r="D31" s="883"/>
      <c r="E31" s="884"/>
      <c r="F31" s="72"/>
      <c r="G31" s="347"/>
      <c r="H31" s="115"/>
      <c r="I31" s="123"/>
      <c r="J31" s="110"/>
      <c r="K31" s="123"/>
      <c r="L31" s="91"/>
      <c r="M31" s="123"/>
      <c r="N31" s="91"/>
      <c r="O31" s="144">
        <f t="shared" si="0"/>
        <v>0</v>
      </c>
    </row>
    <row r="32" spans="2:32">
      <c r="B32" s="944"/>
      <c r="C32" s="945" t="s">
        <v>863</v>
      </c>
      <c r="D32" s="946"/>
      <c r="E32" s="947"/>
      <c r="F32" s="72"/>
      <c r="G32" s="347"/>
      <c r="H32" s="115"/>
      <c r="I32" s="122">
        <v>5</v>
      </c>
      <c r="J32" s="113">
        <f>$C$4+$E$4</f>
        <v>30</v>
      </c>
      <c r="K32" s="123"/>
      <c r="L32" s="91"/>
      <c r="M32" s="123"/>
      <c r="N32" s="91"/>
      <c r="O32" s="144">
        <f t="shared" si="0"/>
        <v>150</v>
      </c>
    </row>
    <row r="33" spans="2:21">
      <c r="B33" s="888"/>
      <c r="C33" s="902" t="s">
        <v>860</v>
      </c>
      <c r="D33" s="903"/>
      <c r="E33" s="904"/>
      <c r="F33" s="72"/>
      <c r="G33" s="99"/>
      <c r="H33" s="114"/>
      <c r="I33" s="122">
        <f>식사!E20</f>
        <v>20</v>
      </c>
      <c r="J33" s="113">
        <f>$C$4+$E$4</f>
        <v>30</v>
      </c>
      <c r="K33" s="120"/>
      <c r="L33" s="91"/>
      <c r="M33" s="120"/>
      <c r="N33" s="91"/>
      <c r="O33" s="144">
        <f t="shared" si="0"/>
        <v>600</v>
      </c>
    </row>
    <row r="34" spans="2:21">
      <c r="B34" s="888"/>
      <c r="C34" s="879" t="s">
        <v>718</v>
      </c>
      <c r="D34" s="880"/>
      <c r="E34" s="881"/>
      <c r="F34" s="72"/>
      <c r="G34" s="103">
        <f>일정!E34</f>
        <v>8.3000000000000007</v>
      </c>
      <c r="H34" s="113">
        <f>$C$4+$E$4</f>
        <v>30</v>
      </c>
      <c r="I34" s="102"/>
      <c r="J34" s="115"/>
      <c r="K34" s="123"/>
      <c r="L34" s="91"/>
      <c r="M34" s="123"/>
      <c r="N34" s="91"/>
      <c r="O34" s="144">
        <f t="shared" si="0"/>
        <v>249.00000000000003</v>
      </c>
    </row>
    <row r="35" spans="2:21">
      <c r="B35" s="888"/>
      <c r="C35" s="879" t="s">
        <v>854</v>
      </c>
      <c r="D35" s="880"/>
      <c r="E35" s="881"/>
      <c r="F35" s="72"/>
      <c r="G35" s="101">
        <f>일정!E36</f>
        <v>30.3</v>
      </c>
      <c r="H35" s="113">
        <f>$C$4+$E$4</f>
        <v>30</v>
      </c>
      <c r="I35" s="123"/>
      <c r="J35" s="110"/>
      <c r="K35" s="123"/>
      <c r="L35" s="91"/>
      <c r="M35" s="123"/>
      <c r="N35" s="91"/>
      <c r="O35" s="144">
        <f t="shared" si="0"/>
        <v>909</v>
      </c>
    </row>
    <row r="36" spans="2:21">
      <c r="B36" s="888"/>
      <c r="C36" s="885" t="s">
        <v>861</v>
      </c>
      <c r="D36" s="886"/>
      <c r="E36" s="887"/>
      <c r="F36" s="72"/>
      <c r="G36" s="104"/>
      <c r="H36" s="116"/>
      <c r="I36" s="122">
        <f>식사!E3</f>
        <v>25</v>
      </c>
      <c r="J36" s="113">
        <f>$C$4+$E$4</f>
        <v>30</v>
      </c>
      <c r="K36" s="130"/>
      <c r="L36" s="138"/>
      <c r="M36" s="130"/>
      <c r="N36" s="138"/>
      <c r="O36" s="144">
        <f t="shared" si="0"/>
        <v>750</v>
      </c>
    </row>
    <row r="37" spans="2:21" ht="18" thickBot="1">
      <c r="B37" s="866"/>
      <c r="C37" s="870" t="s">
        <v>1207</v>
      </c>
      <c r="D37" s="871"/>
      <c r="E37" s="500">
        <f>상품리스트!I6</f>
        <v>0</v>
      </c>
      <c r="F37" s="34"/>
      <c r="G37" s="105"/>
      <c r="H37" s="117"/>
      <c r="I37" s="124"/>
      <c r="J37" s="126"/>
      <c r="K37" s="373"/>
      <c r="L37" s="139"/>
      <c r="M37" s="131"/>
      <c r="N37" s="139"/>
      <c r="O37" s="145">
        <f t="shared" si="0"/>
        <v>0</v>
      </c>
      <c r="P37" s="34"/>
      <c r="Q37" s="34"/>
      <c r="R37" s="34"/>
      <c r="S37" s="34"/>
      <c r="T37" s="34"/>
      <c r="U37" s="34"/>
    </row>
    <row r="38" spans="2:21" ht="18" thickBot="1">
      <c r="B38" s="72"/>
      <c r="C38" s="72"/>
      <c r="D38" s="72"/>
      <c r="E38" s="72"/>
      <c r="F38" s="72"/>
      <c r="G38" s="72"/>
      <c r="H38" s="72"/>
      <c r="K38" s="132">
        <f>SUM(K10:K37)</f>
        <v>2170</v>
      </c>
      <c r="L38" s="72"/>
      <c r="M38" s="132">
        <f>SUM(M10:M37)</f>
        <v>1425</v>
      </c>
      <c r="N38" s="72"/>
      <c r="O38" s="150"/>
      <c r="P38" s="156"/>
    </row>
    <row r="39" spans="2:21">
      <c r="B39" s="872" t="s">
        <v>246</v>
      </c>
      <c r="C39" s="873" t="s">
        <v>865</v>
      </c>
      <c r="D39" s="874"/>
      <c r="E39" s="875"/>
      <c r="F39" s="34"/>
      <c r="G39" s="862">
        <f>$C$4+$E$4</f>
        <v>30</v>
      </c>
      <c r="H39" s="863"/>
      <c r="I39" s="854">
        <v>20</v>
      </c>
      <c r="J39" s="854"/>
      <c r="K39" s="855">
        <v>1</v>
      </c>
      <c r="L39" s="855"/>
      <c r="M39" s="855"/>
      <c r="N39" s="855"/>
      <c r="O39" s="151">
        <f>G39*I39*K39</f>
        <v>600</v>
      </c>
    </row>
    <row r="40" spans="2:21">
      <c r="B40" s="827"/>
      <c r="C40" s="856" t="s">
        <v>451</v>
      </c>
      <c r="D40" s="857"/>
      <c r="E40" s="858"/>
      <c r="F40" s="34"/>
      <c r="G40" s="859">
        <v>50</v>
      </c>
      <c r="H40" s="860"/>
      <c r="I40" s="860"/>
      <c r="J40" s="860"/>
      <c r="K40" s="861">
        <f>C4</f>
        <v>30</v>
      </c>
      <c r="L40" s="861"/>
      <c r="M40" s="861"/>
      <c r="N40" s="861"/>
      <c r="O40" s="152">
        <f>G40*K40</f>
        <v>1500</v>
      </c>
    </row>
    <row r="41" spans="2:21">
      <c r="O41" s="150"/>
    </row>
  </sheetData>
  <mergeCells count="60">
    <mergeCell ref="K40:N40"/>
    <mergeCell ref="C14:E14"/>
    <mergeCell ref="C17:E17"/>
    <mergeCell ref="C27:E27"/>
    <mergeCell ref="C31:E31"/>
    <mergeCell ref="C18:E18"/>
    <mergeCell ref="C25:E25"/>
    <mergeCell ref="I39:J39"/>
    <mergeCell ref="K39:N39"/>
    <mergeCell ref="C37:D37"/>
    <mergeCell ref="B39:B40"/>
    <mergeCell ref="C39:E39"/>
    <mergeCell ref="G39:H39"/>
    <mergeCell ref="B30:B37"/>
    <mergeCell ref="C30:E30"/>
    <mergeCell ref="C32:E32"/>
    <mergeCell ref="C33:E33"/>
    <mergeCell ref="C34:E34"/>
    <mergeCell ref="C36:E36"/>
    <mergeCell ref="C35:E35"/>
    <mergeCell ref="C40:E40"/>
    <mergeCell ref="G40:J40"/>
    <mergeCell ref="B23:B29"/>
    <mergeCell ref="C23:E23"/>
    <mergeCell ref="C24:E24"/>
    <mergeCell ref="C26:E26"/>
    <mergeCell ref="C28:E28"/>
    <mergeCell ref="C29:E29"/>
    <mergeCell ref="B13:B22"/>
    <mergeCell ref="C13:E13"/>
    <mergeCell ref="C15:E15"/>
    <mergeCell ref="C16:E16"/>
    <mergeCell ref="C19:E19"/>
    <mergeCell ref="C20:E20"/>
    <mergeCell ref="C21:E21"/>
    <mergeCell ref="C22:E22"/>
    <mergeCell ref="H7:K7"/>
    <mergeCell ref="M8:N8"/>
    <mergeCell ref="O8:O9"/>
    <mergeCell ref="B10:B12"/>
    <mergeCell ref="C11:E11"/>
    <mergeCell ref="C12:E12"/>
    <mergeCell ref="G8:H8"/>
    <mergeCell ref="I8:J8"/>
    <mergeCell ref="K8:L8"/>
    <mergeCell ref="C10:D10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43F32E39-5366-4650-BB0D-118D6B47A36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B508-E78F-4881-A506-B0B655A755CF}">
  <dimension ref="A1:AF48"/>
  <sheetViews>
    <sheetView topLeftCell="A2" zoomScale="150" workbookViewId="0">
      <selection activeCell="B13" sqref="B13:O18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0" width="7.6640625" customWidth="1"/>
    <col min="11" max="11" width="12.5" customWidth="1"/>
    <col min="12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9.6640625" bestFit="1" customWidth="1"/>
    <col min="25" max="25" width="20" bestFit="1" customWidth="1"/>
    <col min="27" max="27" width="3.5" customWidth="1"/>
    <col min="28" max="28" width="19.83203125" customWidth="1"/>
  </cols>
  <sheetData>
    <row r="1" spans="1:32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63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2">
      <c r="B2" s="73" t="s">
        <v>238</v>
      </c>
      <c r="C2" s="923" t="s">
        <v>1186</v>
      </c>
      <c r="D2" s="923"/>
      <c r="E2" s="924"/>
      <c r="F2" s="72"/>
      <c r="G2" s="921"/>
      <c r="H2" s="925">
        <f>C5</f>
        <v>45761</v>
      </c>
      <c r="I2" s="926"/>
      <c r="J2" s="927" t="str">
        <f>AB2</f>
        <v>Amara Singapore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240</v>
      </c>
      <c r="M2" s="140">
        <f>$I$1+$K$1</f>
        <v>63</v>
      </c>
      <c r="N2" s="106">
        <f>L2*M2</f>
        <v>15120</v>
      </c>
      <c r="O2" s="929">
        <f>SUM(N2:N6)</f>
        <v>60480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5" t="s">
        <v>919</v>
      </c>
      <c r="AC2" s="10">
        <v>240</v>
      </c>
      <c r="AD2" s="10">
        <v>240</v>
      </c>
    </row>
    <row r="3" spans="1:32" ht="28">
      <c r="B3" s="74" t="s">
        <v>239</v>
      </c>
      <c r="C3" s="938" t="s">
        <v>1029</v>
      </c>
      <c r="D3" s="938"/>
      <c r="E3" s="770"/>
      <c r="F3" s="72"/>
      <c r="G3" s="921"/>
      <c r="H3" s="925">
        <f>H2+1</f>
        <v>45762</v>
      </c>
      <c r="I3" s="926"/>
      <c r="J3" s="927" t="str">
        <f>J2</f>
        <v>Amara Singapore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240</v>
      </c>
      <c r="M3" s="140">
        <f>$I$1+$K$1</f>
        <v>63</v>
      </c>
      <c r="N3" s="106">
        <f>L3*M3</f>
        <v>15120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2" ht="18" thickBot="1">
      <c r="B4" s="75" t="s">
        <v>241</v>
      </c>
      <c r="C4" s="81">
        <v>126</v>
      </c>
      <c r="D4" s="84" t="s">
        <v>253</v>
      </c>
      <c r="E4" s="92"/>
      <c r="F4" s="72"/>
      <c r="G4" s="921"/>
      <c r="H4" s="925">
        <f>H3+1</f>
        <v>45763</v>
      </c>
      <c r="I4" s="926"/>
      <c r="J4" s="927" t="str">
        <f>J2</f>
        <v>Amara Singapore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240</v>
      </c>
      <c r="M4" s="141">
        <f>$I$1+$K$1</f>
        <v>63</v>
      </c>
      <c r="N4" s="106">
        <f>L4*M4</f>
        <v>15120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tr">
        <f>'25메인호텔'!F2</f>
        <v>Momentus</v>
      </c>
      <c r="AC4" s="35">
        <f>'25메인호텔'!G2</f>
        <v>190</v>
      </c>
      <c r="AD4" s="35">
        <f>'25메인호텔'!H2</f>
        <v>180</v>
      </c>
      <c r="AE4" s="34"/>
      <c r="AF4" s="34"/>
    </row>
    <row r="5" spans="1:32" ht="18" thickBot="1">
      <c r="B5" s="76" t="s">
        <v>242</v>
      </c>
      <c r="C5" s="82">
        <v>45761</v>
      </c>
      <c r="D5" s="85">
        <v>3</v>
      </c>
      <c r="E5" s="93">
        <f>C5+D5</f>
        <v>45764</v>
      </c>
      <c r="F5" s="72"/>
      <c r="G5" s="921"/>
      <c r="H5" s="925">
        <f>H4+1</f>
        <v>45764</v>
      </c>
      <c r="I5" s="926"/>
      <c r="J5" s="927" t="str">
        <f>J2</f>
        <v>Amara Singapore</v>
      </c>
      <c r="K5" s="934"/>
      <c r="L5" s="134">
        <f>IF(
    (IF(WEEKDAY(H5, 2) &lt;= 5, AC2, AD2) +
    IF(AND(H5 &gt;= W3, H5 &lt;= X3), Z3, 0) +
    IF(AND(H5 &gt;= W4, H5 &lt;= X4), Z4, 0) +
    IF(AND(H5 &gt;= W5, H5 &lt;= X5), Z5, 0) +
    IF(AND(H5 &gt;= W6, H5 &lt;= X6), Z6, 0) +
    IF(AND(H5 &gt;= W7, H5 &lt;= X7), Z7, 0) +
    IF(AND(H5 &gt;= W8, H5 &lt;= X8), Z8, 0) +
    IF(AND(H5 &gt;= W9, H5 &lt;= X9), Z9, 0) +
    IF(AND(H5 &gt;= W10, H5 &lt;= X10), Z10, 0)) &lt; 1,
    "Surcharge Check",
    (IF(WEEKDAY(H5, 2) &lt;= 5, AC2, AD2) +
    IF(AND(H5 &gt;= W3, H5 &lt;= X3), Z3, 0) +
    IF(AND(H5 &gt;= W4, H5 &lt;= X4), Z4, 0) +
    IF(AND(H5 &gt;= W5, H5 &lt;= X5), Z5, 0) +
    IF(AND(H5 &gt;= W6, H5 &lt;= X6), Z6, 0) +
    IF(AND(H5 &gt;= W7, H5 &lt;= X7), Z7, 0) +
    IF(AND(H5 &gt;= W8, H5 &lt;= X8), Z8, 0) +
    IF(AND(H5 &gt;= W9, H5 &lt;= X9), Z9, 0) +
    IF(AND(H5 &gt;= W10, H5 &lt;= X10), Z10, 0))
)</f>
        <v>240</v>
      </c>
      <c r="M5" s="140">
        <f>$I$1+$K$1</f>
        <v>63</v>
      </c>
      <c r="N5" s="106">
        <f>L5*M5</f>
        <v>15120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tr">
        <f>'25메인호텔'!F3</f>
        <v>Aloft Novena</v>
      </c>
      <c r="AC5" s="35">
        <f>'25메인호텔'!G3</f>
        <v>180</v>
      </c>
      <c r="AD5" s="35">
        <f>'25메인호텔'!H3</f>
        <v>180</v>
      </c>
      <c r="AE5" s="34"/>
      <c r="AF5" s="34"/>
    </row>
    <row r="6" spans="1:32" ht="17.25" customHeight="1" thickBot="1">
      <c r="B6" s="77" t="s">
        <v>243</v>
      </c>
      <c r="C6" s="83">
        <f>(SUM(O10:O48)+O2)/C4+R6+T6</f>
        <v>1262.4666666666667</v>
      </c>
      <c r="D6" s="86" t="s">
        <v>254</v>
      </c>
      <c r="E6" s="94">
        <f>C6*$E$1</f>
        <v>1388713.3333333333</v>
      </c>
      <c r="F6" s="72"/>
      <c r="G6" s="922"/>
      <c r="H6" s="925"/>
      <c r="I6" s="926"/>
      <c r="J6" s="935"/>
      <c r="K6" s="935"/>
      <c r="L6" s="136"/>
      <c r="M6" s="89"/>
      <c r="N6" s="107"/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tr">
        <f>'25메인호텔'!F4</f>
        <v>Mercure Stevens</v>
      </c>
      <c r="AC6" s="35">
        <f>'25메인호텔'!G4</f>
        <v>180</v>
      </c>
      <c r="AD6" s="35">
        <f>'25메인호텔'!H4</f>
        <v>180</v>
      </c>
      <c r="AE6" s="34"/>
      <c r="AF6" s="34"/>
    </row>
    <row r="7" spans="1:32" ht="18" thickBot="1">
      <c r="B7" s="78" t="s">
        <v>244</v>
      </c>
      <c r="C7" s="183">
        <v>0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tr">
        <f>'25메인호텔'!F5</f>
        <v>M Hotel City Centre</v>
      </c>
      <c r="AC7" s="35">
        <f>'25메인호텔'!G5</f>
        <v>230</v>
      </c>
      <c r="AD7" s="35">
        <f>'25메인호텔'!H5</f>
        <v>230</v>
      </c>
      <c r="AE7" s="34"/>
      <c r="AF7" s="34"/>
    </row>
    <row r="8" spans="1:32" ht="18" customHeight="1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tr">
        <f>'25메인호텔'!F6</f>
        <v>Concorde Hotel</v>
      </c>
      <c r="AC8" s="35">
        <f>'25메인호텔'!G6</f>
        <v>230</v>
      </c>
      <c r="AD8" s="35">
        <f>'25메인호텔'!H6</f>
        <v>230</v>
      </c>
      <c r="AE8" s="34"/>
      <c r="AF8" s="34"/>
    </row>
    <row r="9" spans="1:32" ht="18" thickBot="1">
      <c r="B9" s="79" t="s">
        <v>245</v>
      </c>
      <c r="C9" s="185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tr">
        <f>'25메인호텔'!F7</f>
        <v>Oasia Novena</v>
      </c>
      <c r="AC9" s="35">
        <f>'25메인호텔'!G7</f>
        <v>210</v>
      </c>
      <c r="AD9" s="35">
        <f>'25메인호텔'!H7</f>
        <v>210</v>
      </c>
      <c r="AE9" s="34"/>
      <c r="AF9" s="34"/>
    </row>
    <row r="10" spans="1:32">
      <c r="B10" s="905" t="str">
        <f>TEXT(C5,"m월 d일 aaaa")</f>
        <v>4월 14일 월요일</v>
      </c>
      <c r="C10" s="867" t="s">
        <v>960</v>
      </c>
      <c r="D10" s="916"/>
      <c r="E10" s="499">
        <v>0.82986111111111116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280</v>
      </c>
      <c r="L10" s="90">
        <v>3</v>
      </c>
      <c r="M10" s="128">
        <f>'가이드&amp;차량'!C3</f>
        <v>150</v>
      </c>
      <c r="N10" s="90">
        <v>3</v>
      </c>
      <c r="O10" s="143">
        <f>(G10*H10)+(I10*J10)+(K10*L10)+(M10*N10)</f>
        <v>1290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tr">
        <f>'25메인호텔'!F8</f>
        <v>Orchid Hotel</v>
      </c>
      <c r="AC10" s="35">
        <f>'25메인호텔'!G8</f>
        <v>220</v>
      </c>
      <c r="AD10" s="35">
        <f>'25메인호텔'!H8</f>
        <v>220</v>
      </c>
      <c r="AE10" s="34"/>
      <c r="AF10" s="34"/>
    </row>
    <row r="11" spans="1:32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44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tr">
        <f>'25메인호텔'!F9</f>
        <v>Amara Singapore</v>
      </c>
      <c r="AC11" s="35">
        <f>'25메인호텔'!G9</f>
        <v>230</v>
      </c>
      <c r="AD11" s="35">
        <f>'25메인호텔'!H9</f>
        <v>230</v>
      </c>
      <c r="AE11" s="34"/>
      <c r="AF11" s="34"/>
    </row>
    <row r="12" spans="1:32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tr">
        <f>'25메인호텔'!F10</f>
        <v>Orchard Hotel</v>
      </c>
      <c r="AC12" s="35">
        <f>'25메인호텔'!G10</f>
        <v>240</v>
      </c>
      <c r="AD12" s="35">
        <f>'25메인호텔'!H10</f>
        <v>240</v>
      </c>
      <c r="AE12" s="34"/>
      <c r="AF12" s="34"/>
    </row>
    <row r="13" spans="1:32" ht="28">
      <c r="B13" s="905" t="str">
        <f>TEXT(C5+1,"m월 d일 aaaa")</f>
        <v>4월 15일 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630</v>
      </c>
      <c r="L13" s="90">
        <f>L10</f>
        <v>3</v>
      </c>
      <c r="M13" s="128">
        <f>'가이드&amp;차량'!C6</f>
        <v>375</v>
      </c>
      <c r="N13" s="90">
        <v>3</v>
      </c>
      <c r="O13" s="143">
        <f t="shared" si="0"/>
        <v>3015</v>
      </c>
      <c r="Q13" s="159" t="s">
        <v>277</v>
      </c>
      <c r="V13" s="190" t="str">
        <f>서차지!B3</f>
        <v>World Paralympic Swimming</v>
      </c>
      <c r="W13" s="189">
        <f>서차지!C3</f>
        <v>45921</v>
      </c>
      <c r="X13" s="189">
        <f>서차지!D3</f>
        <v>45562</v>
      </c>
      <c r="Y13" s="188" t="str">
        <f>서차지!E3</f>
        <v>21 – 27 September 2025</v>
      </c>
      <c r="AB13" s="495" t="str">
        <f>'25메인호텔'!F11</f>
        <v>Grand Copthorne</v>
      </c>
      <c r="AC13" s="35">
        <f>'25메인호텔'!G11</f>
        <v>240</v>
      </c>
      <c r="AD13" s="35">
        <f>'25메인호텔'!H11</f>
        <v>240</v>
      </c>
      <c r="AE13" s="34"/>
      <c r="AF13" s="34"/>
    </row>
    <row r="14" spans="1:32">
      <c r="B14" s="865"/>
      <c r="C14" s="899" t="s">
        <v>280</v>
      </c>
      <c r="D14" s="900"/>
      <c r="E14" s="901"/>
      <c r="F14" s="72"/>
      <c r="G14" s="101">
        <f>일정!E3</f>
        <v>75.3</v>
      </c>
      <c r="H14" s="113">
        <f>$C$4+$E$4</f>
        <v>126</v>
      </c>
      <c r="I14" s="342"/>
      <c r="J14" s="343"/>
      <c r="K14" s="344"/>
      <c r="L14" s="345"/>
      <c r="M14" s="344"/>
      <c r="N14" s="345"/>
      <c r="O14" s="466">
        <f t="shared" si="0"/>
        <v>9487.7999999999993</v>
      </c>
      <c r="Q14" s="159"/>
      <c r="V14" s="190" t="str">
        <f>서차지!B4</f>
        <v>Singapore Formula One (F1)</v>
      </c>
      <c r="W14" s="189">
        <f>서차지!C4</f>
        <v>45932</v>
      </c>
      <c r="X14" s="189">
        <f>서차지!D4</f>
        <v>45935</v>
      </c>
      <c r="Y14" s="188" t="str">
        <f>서차지!E4</f>
        <v>　02 Oct - 05 Oct, 2025</v>
      </c>
      <c r="AB14" s="496" t="str">
        <f>'25메인호텔'!F12</f>
        <v>Mercure Tyrwhitt</v>
      </c>
      <c r="AC14" s="35">
        <f>'25메인호텔'!G12</f>
        <v>170</v>
      </c>
      <c r="AD14" s="35">
        <f>'25메인호텔'!H12</f>
        <v>170</v>
      </c>
      <c r="AE14" s="34"/>
      <c r="AF14" s="34"/>
    </row>
    <row r="15" spans="1:32">
      <c r="B15" s="865"/>
      <c r="C15" s="902" t="s">
        <v>1187</v>
      </c>
      <c r="D15" s="903"/>
      <c r="E15" s="904"/>
      <c r="F15" s="72"/>
      <c r="G15" s="99"/>
      <c r="H15" s="110"/>
      <c r="I15" s="122">
        <v>25</v>
      </c>
      <c r="J15" s="113">
        <f>$C$4+$E$4</f>
        <v>126</v>
      </c>
      <c r="K15" s="120"/>
      <c r="L15" s="91"/>
      <c r="M15" s="120"/>
      <c r="N15" s="91"/>
      <c r="O15" s="144">
        <f t="shared" si="0"/>
        <v>3150</v>
      </c>
      <c r="Q15" s="7"/>
      <c r="AB15" s="496" t="str">
        <f>'25메인호텔'!F13</f>
        <v>Hotel Boss</v>
      </c>
      <c r="AC15" s="35">
        <f>'25메인호텔'!G13</f>
        <v>185</v>
      </c>
      <c r="AD15" s="35">
        <f>'25메인호텔'!H13</f>
        <v>185</v>
      </c>
      <c r="AE15" s="34"/>
      <c r="AF15" s="34"/>
    </row>
    <row r="16" spans="1:32">
      <c r="B16" s="865"/>
      <c r="C16" s="910" t="s">
        <v>1188</v>
      </c>
      <c r="D16" s="911"/>
      <c r="E16" s="912"/>
      <c r="F16" s="72"/>
      <c r="G16" s="101">
        <f>일정!E8</f>
        <v>35.299999999999997</v>
      </c>
      <c r="H16" s="113">
        <f>$C$4+$E$4</f>
        <v>126</v>
      </c>
      <c r="I16" s="102"/>
      <c r="J16" s="115"/>
      <c r="K16" s="120"/>
      <c r="L16" s="91"/>
      <c r="M16" s="120"/>
      <c r="N16" s="91"/>
      <c r="O16" s="144">
        <f t="shared" si="0"/>
        <v>4447.7999999999993</v>
      </c>
      <c r="Q16" s="7"/>
      <c r="AB16" s="496" t="str">
        <f>'25메인호텔'!F14</f>
        <v>V Hotel Lavender</v>
      </c>
      <c r="AC16" s="35">
        <f>'25메인호텔'!G14</f>
        <v>185</v>
      </c>
      <c r="AD16" s="35">
        <f>'25메인호텔'!H14</f>
        <v>185</v>
      </c>
      <c r="AE16" s="34"/>
      <c r="AF16" s="34"/>
    </row>
    <row r="17" spans="2:32">
      <c r="B17" s="865"/>
      <c r="C17" s="876" t="s">
        <v>1197</v>
      </c>
      <c r="D17" s="877"/>
      <c r="E17" s="878"/>
      <c r="F17" s="72"/>
      <c r="G17" s="99"/>
      <c r="H17" s="114"/>
      <c r="I17" s="122">
        <v>18</v>
      </c>
      <c r="J17" s="113">
        <f>$C$4+$E$4</f>
        <v>126</v>
      </c>
      <c r="K17" s="120"/>
      <c r="L17" s="91"/>
      <c r="M17" s="120"/>
      <c r="N17" s="91"/>
      <c r="O17" s="144">
        <f t="shared" si="0"/>
        <v>2268</v>
      </c>
      <c r="Q17" s="7"/>
      <c r="AB17" s="496" t="str">
        <f>'25메인호텔'!F15</f>
        <v>IbIs Novena</v>
      </c>
      <c r="AC17" s="35">
        <f>'25메인호텔'!G15</f>
        <v>155</v>
      </c>
      <c r="AD17" s="35">
        <f>'25메인호텔'!H15</f>
        <v>155</v>
      </c>
      <c r="AE17" s="34"/>
      <c r="AF17" s="34"/>
    </row>
    <row r="18" spans="2:32" ht="18" thickBot="1">
      <c r="B18" s="906"/>
      <c r="C18" s="893" t="s">
        <v>648</v>
      </c>
      <c r="D18" s="894"/>
      <c r="E18" s="895"/>
      <c r="F18" s="72"/>
      <c r="G18" s="102"/>
      <c r="H18" s="115"/>
      <c r="I18" s="123"/>
      <c r="J18" s="110"/>
      <c r="K18" s="123"/>
      <c r="L18" s="91"/>
      <c r="M18" s="123"/>
      <c r="N18" s="91"/>
      <c r="O18" s="144">
        <f t="shared" si="0"/>
        <v>0</v>
      </c>
      <c r="Q18" s="7"/>
      <c r="AB18" s="496" t="str">
        <f>'25메인호텔'!F16</f>
        <v xml:space="preserve">IbIs bencoolen </v>
      </c>
      <c r="AC18" s="35">
        <f>'25메인호텔'!G16</f>
        <v>185</v>
      </c>
      <c r="AD18" s="35">
        <f>'25메인호텔'!H16</f>
        <v>185</v>
      </c>
      <c r="AE18" s="34"/>
      <c r="AF18" s="34"/>
    </row>
    <row r="19" spans="2:32">
      <c r="B19" s="905" t="str">
        <f>TEXT(C5+2,"m월 d일 aaaa")</f>
        <v>4월 16일 수요일</v>
      </c>
      <c r="C19" s="896" t="s">
        <v>282</v>
      </c>
      <c r="D19" s="897"/>
      <c r="E19" s="898"/>
      <c r="F19" s="72"/>
      <c r="G19" s="98"/>
      <c r="H19" s="112"/>
      <c r="I19" s="119"/>
      <c r="J19" s="109"/>
      <c r="K19" s="128">
        <f>IF(C4+E4&lt;8,'가이드&amp;차량'!C47, IF(C4+E4&lt;=14,'가이드&amp;차량'!C39,'가이드&amp;차량'!C23))</f>
        <v>630</v>
      </c>
      <c r="L19" s="90">
        <f>L10</f>
        <v>3</v>
      </c>
      <c r="M19" s="128">
        <f>'가이드&amp;차량'!C6</f>
        <v>375</v>
      </c>
      <c r="N19" s="90">
        <v>3</v>
      </c>
      <c r="O19" s="143">
        <f t="shared" si="0"/>
        <v>3015</v>
      </c>
      <c r="Q19" s="159" t="s">
        <v>277</v>
      </c>
      <c r="V19" s="190" t="str">
        <f>서차지!B13</f>
        <v xml:space="preserve">Food &amp; Hotel Beverage </v>
      </c>
      <c r="W19" s="189">
        <f>서차지!C13</f>
        <v>0</v>
      </c>
      <c r="X19" s="189">
        <f>서차지!D13</f>
        <v>0</v>
      </c>
      <c r="Y19" s="188">
        <f>서차지!E13</f>
        <v>0</v>
      </c>
      <c r="AB19" s="497" t="str">
        <f>'25메인호텔'!F17</f>
        <v>Oasia Sentosa</v>
      </c>
      <c r="AC19" s="35">
        <f>'25메인호텔'!G17</f>
        <v>240</v>
      </c>
      <c r="AD19" s="35">
        <f>'25메인호텔'!H17</f>
        <v>240</v>
      </c>
      <c r="AE19" s="34"/>
      <c r="AF19" s="34"/>
    </row>
    <row r="20" spans="2:32">
      <c r="B20" s="865"/>
      <c r="C20" s="890" t="s">
        <v>1189</v>
      </c>
      <c r="D20" s="891"/>
      <c r="E20" s="892"/>
      <c r="F20" s="72"/>
      <c r="G20" s="340"/>
      <c r="H20" s="341"/>
      <c r="I20" s="342"/>
      <c r="J20" s="343"/>
      <c r="K20" s="344"/>
      <c r="L20" s="345"/>
      <c r="M20" s="344"/>
      <c r="N20" s="345"/>
      <c r="O20" s="466">
        <f t="shared" si="0"/>
        <v>0</v>
      </c>
      <c r="Q20" s="159"/>
      <c r="V20" s="190" t="str">
        <f>서차지!B14</f>
        <v>CommunicAsia</v>
      </c>
      <c r="W20" s="189">
        <f>서차지!C14</f>
        <v>0</v>
      </c>
      <c r="X20" s="189">
        <f>서차지!D14</f>
        <v>0</v>
      </c>
      <c r="Y20" s="188">
        <f>서차지!E14</f>
        <v>0</v>
      </c>
      <c r="AB20" s="497" t="str">
        <f>'25메인호텔'!F18</f>
        <v>Swissotel The stamford</v>
      </c>
      <c r="AC20" s="35">
        <f>'25메인호텔'!G18</f>
        <v>540</v>
      </c>
      <c r="AD20" s="35">
        <f>'25메인호텔'!H18</f>
        <v>540</v>
      </c>
      <c r="AE20" s="34" t="e">
        <f>'25메인호텔'!#REF!</f>
        <v>#REF!</v>
      </c>
      <c r="AF20" s="34" t="e">
        <f>'25메인호텔'!#REF!</f>
        <v>#REF!</v>
      </c>
    </row>
    <row r="21" spans="2:32">
      <c r="B21" s="865"/>
      <c r="C21" s="879" t="s">
        <v>252</v>
      </c>
      <c r="D21" s="880"/>
      <c r="E21" s="881"/>
      <c r="F21" s="72"/>
      <c r="G21" s="103">
        <v>40</v>
      </c>
      <c r="H21" s="113">
        <f>$C$4+$E$4</f>
        <v>126</v>
      </c>
      <c r="I21" s="102"/>
      <c r="J21" s="115"/>
      <c r="K21" s="123"/>
      <c r="L21" s="91"/>
      <c r="M21" s="123"/>
      <c r="N21" s="91"/>
      <c r="O21" s="144">
        <f t="shared" si="0"/>
        <v>5040</v>
      </c>
      <c r="V21" s="190" t="str">
        <f>서차지!B15</f>
        <v>National Day</v>
      </c>
      <c r="W21" s="189">
        <f>서차지!C15</f>
        <v>0</v>
      </c>
      <c r="X21" s="189">
        <f>서차지!D15</f>
        <v>0</v>
      </c>
      <c r="Y21" s="188">
        <f>서차지!E15</f>
        <v>0</v>
      </c>
      <c r="AB21" s="493"/>
      <c r="AC21" s="10"/>
      <c r="AD21" s="10"/>
    </row>
    <row r="22" spans="2:32">
      <c r="B22" s="865"/>
      <c r="C22" s="879" t="s">
        <v>852</v>
      </c>
      <c r="D22" s="880"/>
      <c r="E22" s="881"/>
      <c r="F22" s="72"/>
      <c r="G22" s="103">
        <f>일정!E39</f>
        <v>28.5</v>
      </c>
      <c r="H22" s="113">
        <f>$C$4+$E$4</f>
        <v>126</v>
      </c>
      <c r="I22" s="102"/>
      <c r="J22" s="115"/>
      <c r="K22" s="123"/>
      <c r="L22" s="91"/>
      <c r="M22" s="123"/>
      <c r="N22" s="91"/>
      <c r="O22" s="144">
        <f t="shared" si="0"/>
        <v>3591</v>
      </c>
      <c r="V22" s="190">
        <f>서차지!B22</f>
        <v>0</v>
      </c>
      <c r="W22" s="189">
        <f>서차지!C22</f>
        <v>0</v>
      </c>
      <c r="X22" s="189">
        <f>서차지!D22</f>
        <v>0</v>
      </c>
      <c r="Y22" s="188">
        <f>서차지!E22</f>
        <v>0</v>
      </c>
      <c r="AB22" s="493"/>
      <c r="AC22" s="10"/>
      <c r="AD22" s="10"/>
    </row>
    <row r="23" spans="2:32">
      <c r="B23" s="865"/>
      <c r="C23" s="876" t="s">
        <v>855</v>
      </c>
      <c r="D23" s="877"/>
      <c r="E23" s="878"/>
      <c r="F23" s="72"/>
      <c r="G23" s="99"/>
      <c r="H23" s="114"/>
      <c r="I23" s="122">
        <f>식사!E23</f>
        <v>28</v>
      </c>
      <c r="J23" s="113">
        <f>$C$4+$E$4</f>
        <v>126</v>
      </c>
      <c r="K23" s="120"/>
      <c r="L23" s="91"/>
      <c r="M23" s="120"/>
      <c r="N23" s="91"/>
      <c r="O23" s="144">
        <f t="shared" si="0"/>
        <v>3528</v>
      </c>
      <c r="Q23" s="7"/>
      <c r="AB23" s="493"/>
      <c r="AC23" s="10"/>
      <c r="AD23" s="10"/>
    </row>
    <row r="24" spans="2:32">
      <c r="B24" s="865"/>
      <c r="C24" s="910" t="str">
        <f>일정!C27</f>
        <v>가든스바이더베이 2돔 ( 쥬랴기 )</v>
      </c>
      <c r="D24" s="911"/>
      <c r="E24" s="912"/>
      <c r="F24" s="72"/>
      <c r="G24" s="101">
        <f>일정!E27</f>
        <v>28.3</v>
      </c>
      <c r="H24" s="113">
        <f>$C$4+$E$4</f>
        <v>126</v>
      </c>
      <c r="I24" s="102"/>
      <c r="J24" s="115"/>
      <c r="K24" s="120"/>
      <c r="L24" s="91"/>
      <c r="M24" s="120"/>
      <c r="N24" s="91"/>
      <c r="O24" s="144">
        <f t="shared" si="0"/>
        <v>3565.8</v>
      </c>
      <c r="Q24" s="7"/>
      <c r="AB24" s="493"/>
      <c r="AC24" s="10"/>
      <c r="AD24" s="10"/>
    </row>
    <row r="25" spans="2:32">
      <c r="B25" s="865"/>
      <c r="C25" s="876" t="s">
        <v>1198</v>
      </c>
      <c r="D25" s="877"/>
      <c r="E25" s="878"/>
      <c r="F25" s="72"/>
      <c r="G25" s="99"/>
      <c r="H25" s="114"/>
      <c r="I25" s="122">
        <v>35</v>
      </c>
      <c r="J25" s="113">
        <f>$C$4+$E$4</f>
        <v>126</v>
      </c>
      <c r="K25" s="120"/>
      <c r="L25" s="91"/>
      <c r="M25" s="120"/>
      <c r="N25" s="91"/>
      <c r="O25" s="144">
        <f t="shared" si="0"/>
        <v>4410</v>
      </c>
      <c r="Q25" s="7"/>
      <c r="AB25" s="493"/>
      <c r="AC25" s="10"/>
      <c r="AD25" s="10"/>
    </row>
    <row r="26" spans="2:32">
      <c r="B26" s="865"/>
      <c r="C26" s="941" t="s">
        <v>853</v>
      </c>
      <c r="D26" s="942"/>
      <c r="E26" s="943"/>
      <c r="F26" s="72"/>
      <c r="G26" s="102"/>
      <c r="H26" s="115"/>
      <c r="I26" s="123"/>
      <c r="J26" s="110"/>
      <c r="K26" s="123"/>
      <c r="L26" s="91"/>
      <c r="M26" s="123"/>
      <c r="N26" s="91"/>
      <c r="O26" s="144">
        <f t="shared" si="0"/>
        <v>0</v>
      </c>
      <c r="Q26" s="7"/>
    </row>
    <row r="27" spans="2:32" ht="18" thickBot="1">
      <c r="B27" s="906"/>
      <c r="C27" s="893" t="s">
        <v>648</v>
      </c>
      <c r="D27" s="894"/>
      <c r="E27" s="895"/>
      <c r="F27" s="72"/>
      <c r="G27" s="102"/>
      <c r="H27" s="115"/>
      <c r="I27" s="123"/>
      <c r="J27" s="110"/>
      <c r="K27" s="123"/>
      <c r="L27" s="91"/>
      <c r="M27" s="123"/>
      <c r="N27" s="91"/>
      <c r="O27" s="144">
        <f t="shared" si="0"/>
        <v>0</v>
      </c>
      <c r="Q27" s="7"/>
    </row>
    <row r="28" spans="2:32">
      <c r="B28" s="864" t="str">
        <f>TEXT(C5+3,"m월 d일 aaaa")</f>
        <v>4월 17일 목요일</v>
      </c>
      <c r="C28" s="896" t="s">
        <v>240</v>
      </c>
      <c r="D28" s="897"/>
      <c r="E28" s="898"/>
      <c r="F28" s="72"/>
      <c r="G28" s="98"/>
      <c r="H28" s="112"/>
      <c r="I28" s="119"/>
      <c r="J28" s="109"/>
      <c r="K28" s="128">
        <f>IF(C4+E4&lt;8,'가이드&amp;차량'!C47, IF(C4+E4&lt;=14,'가이드&amp;차량'!C39,'가이드&amp;차량'!C23))</f>
        <v>630</v>
      </c>
      <c r="L28" s="90">
        <f>L10</f>
        <v>3</v>
      </c>
      <c r="M28" s="128">
        <f>'가이드&amp;차량'!C6</f>
        <v>375</v>
      </c>
      <c r="N28" s="90">
        <f>N10</f>
        <v>3</v>
      </c>
      <c r="O28" s="143">
        <f t="shared" si="0"/>
        <v>3015</v>
      </c>
      <c r="Q28" s="159" t="s">
        <v>277</v>
      </c>
    </row>
    <row r="29" spans="2:32">
      <c r="B29" s="944"/>
      <c r="C29" s="899" t="s">
        <v>1190</v>
      </c>
      <c r="D29" s="900"/>
      <c r="E29" s="901"/>
      <c r="F29" s="72"/>
      <c r="G29" s="101">
        <v>23</v>
      </c>
      <c r="H29" s="113">
        <f>$C$4+$E$4</f>
        <v>126</v>
      </c>
      <c r="I29" s="342"/>
      <c r="J29" s="343"/>
      <c r="K29" s="344"/>
      <c r="L29" s="345"/>
      <c r="M29" s="344"/>
      <c r="N29" s="345"/>
      <c r="O29" s="466">
        <f t="shared" si="0"/>
        <v>2898</v>
      </c>
      <c r="Q29" s="159"/>
    </row>
    <row r="30" spans="2:32">
      <c r="B30" s="888"/>
      <c r="C30" s="882" t="s">
        <v>1025</v>
      </c>
      <c r="D30" s="883"/>
      <c r="E30" s="884"/>
      <c r="F30" s="72"/>
      <c r="G30" s="101">
        <f>일정!E10+일정!E20</f>
        <v>53.5</v>
      </c>
      <c r="H30" s="113">
        <f>$C$4+$E$4</f>
        <v>126</v>
      </c>
      <c r="I30" s="123"/>
      <c r="J30" s="110"/>
      <c r="K30" s="123"/>
      <c r="L30" s="91"/>
      <c r="M30" s="123"/>
      <c r="N30" s="91"/>
      <c r="O30" s="144">
        <f t="shared" si="0"/>
        <v>6741</v>
      </c>
      <c r="Q30" s="7"/>
    </row>
    <row r="31" spans="2:32">
      <c r="B31" s="888"/>
      <c r="C31" s="902" t="s">
        <v>1199</v>
      </c>
      <c r="D31" s="903"/>
      <c r="E31" s="904"/>
      <c r="F31" s="72"/>
      <c r="G31" s="99"/>
      <c r="H31" s="110"/>
      <c r="I31" s="122">
        <v>25</v>
      </c>
      <c r="J31" s="113">
        <f>$C$4+$E$4</f>
        <v>126</v>
      </c>
      <c r="K31" s="123"/>
      <c r="L31" s="91"/>
      <c r="M31" s="102"/>
      <c r="N31" s="91"/>
      <c r="O31" s="146">
        <f t="shared" si="0"/>
        <v>3150</v>
      </c>
      <c r="Q31" s="7"/>
    </row>
    <row r="32" spans="2:32">
      <c r="B32" s="888"/>
      <c r="C32" s="899" t="s">
        <v>1191</v>
      </c>
      <c r="D32" s="900"/>
      <c r="E32" s="901"/>
      <c r="F32" s="72"/>
      <c r="G32" s="101">
        <f>일정!E34</f>
        <v>8.3000000000000007</v>
      </c>
      <c r="H32" s="113">
        <f>$C$4+$E$4</f>
        <v>126</v>
      </c>
      <c r="I32" s="205"/>
      <c r="J32" s="113"/>
      <c r="K32" s="123"/>
      <c r="L32" s="91"/>
      <c r="M32" s="123"/>
      <c r="N32" s="91"/>
      <c r="O32" s="144">
        <f t="shared" si="0"/>
        <v>1045.8000000000002</v>
      </c>
      <c r="Q32" s="7"/>
    </row>
    <row r="33" spans="2:21">
      <c r="B33" s="888"/>
      <c r="C33" s="890" t="s">
        <v>1192</v>
      </c>
      <c r="D33" s="891"/>
      <c r="E33" s="892"/>
      <c r="F33" s="72"/>
      <c r="G33" s="205"/>
      <c r="H33" s="113"/>
      <c r="I33" s="554"/>
      <c r="J33" s="114"/>
      <c r="K33" s="554"/>
      <c r="L33" s="555"/>
      <c r="M33" s="554"/>
      <c r="N33" s="555"/>
      <c r="O33" s="144">
        <f t="shared" si="0"/>
        <v>0</v>
      </c>
      <c r="Q33" s="7"/>
    </row>
    <row r="34" spans="2:21">
      <c r="B34" s="888"/>
      <c r="C34" s="876" t="s">
        <v>1200</v>
      </c>
      <c r="D34" s="877"/>
      <c r="E34" s="878"/>
      <c r="F34" s="72"/>
      <c r="G34" s="99"/>
      <c r="H34" s="110"/>
      <c r="I34" s="122">
        <v>38</v>
      </c>
      <c r="J34" s="113">
        <f>$C$4+$E$4</f>
        <v>126</v>
      </c>
      <c r="K34" s="123"/>
      <c r="L34" s="91"/>
      <c r="M34" s="123"/>
      <c r="N34" s="91"/>
      <c r="O34" s="146">
        <f t="shared" si="0"/>
        <v>4788</v>
      </c>
      <c r="Q34" s="7"/>
    </row>
    <row r="35" spans="2:21" ht="18" thickBot="1">
      <c r="B35" s="866"/>
      <c r="C35" s="893" t="s">
        <v>648</v>
      </c>
      <c r="D35" s="894"/>
      <c r="E35" s="895"/>
      <c r="F35" s="72"/>
      <c r="G35" s="100"/>
      <c r="H35" s="111"/>
      <c r="I35" s="124"/>
      <c r="J35" s="126"/>
      <c r="K35" s="129"/>
      <c r="L35" s="137"/>
      <c r="M35" s="124"/>
      <c r="N35" s="137"/>
      <c r="O35" s="146">
        <f t="shared" si="0"/>
        <v>0</v>
      </c>
      <c r="Q35" s="7"/>
    </row>
    <row r="36" spans="2:21">
      <c r="B36" s="864" t="str">
        <f>TEXT(C5+4,"m월 d일 aaaa")</f>
        <v>4월 18일 금요일</v>
      </c>
      <c r="C36" s="867" t="s">
        <v>282</v>
      </c>
      <c r="D36" s="868"/>
      <c r="E36" s="869"/>
      <c r="F36" s="72"/>
      <c r="G36" s="98"/>
      <c r="H36" s="112"/>
      <c r="I36" s="119"/>
      <c r="J36" s="109"/>
      <c r="K36" s="128">
        <f>IF(C4+E4&lt;8,'가이드&amp;차량'!C47, IF(C4+E4&lt;=14,'가이드&amp;차량'!C39,'가이드&amp;차량'!C23))</f>
        <v>630</v>
      </c>
      <c r="L36" s="90">
        <f>L10</f>
        <v>3</v>
      </c>
      <c r="M36" s="128">
        <v>525</v>
      </c>
      <c r="N36" s="90">
        <f>N10</f>
        <v>3</v>
      </c>
      <c r="O36" s="143">
        <f t="shared" si="0"/>
        <v>3465</v>
      </c>
      <c r="Q36" s="159" t="s">
        <v>278</v>
      </c>
    </row>
    <row r="37" spans="2:21">
      <c r="B37" s="944"/>
      <c r="C37" s="879" t="s">
        <v>580</v>
      </c>
      <c r="D37" s="880"/>
      <c r="E37" s="881"/>
      <c r="F37" s="72"/>
      <c r="G37" s="347"/>
      <c r="H37" s="115"/>
      <c r="I37" s="205"/>
      <c r="J37" s="113"/>
      <c r="K37" s="123"/>
      <c r="L37" s="91"/>
      <c r="M37" s="556">
        <v>150</v>
      </c>
      <c r="N37" s="91">
        <v>6</v>
      </c>
      <c r="O37" s="144">
        <f t="shared" si="0"/>
        <v>900</v>
      </c>
    </row>
    <row r="38" spans="2:21">
      <c r="B38" s="888"/>
      <c r="C38" s="902" t="s">
        <v>1201</v>
      </c>
      <c r="D38" s="903"/>
      <c r="E38" s="904"/>
      <c r="F38" s="72"/>
      <c r="G38" s="99"/>
      <c r="H38" s="114"/>
      <c r="I38" s="122">
        <v>25</v>
      </c>
      <c r="J38" s="113">
        <f>$C$4+$E$4</f>
        <v>126</v>
      </c>
      <c r="K38" s="120"/>
      <c r="L38" s="91"/>
      <c r="M38" s="120"/>
      <c r="N38" s="91"/>
      <c r="O38" s="144">
        <f t="shared" si="0"/>
        <v>3150</v>
      </c>
    </row>
    <row r="39" spans="2:21">
      <c r="B39" s="888"/>
      <c r="C39" s="890" t="s">
        <v>1194</v>
      </c>
      <c r="D39" s="891"/>
      <c r="E39" s="892"/>
      <c r="F39" s="72"/>
      <c r="G39" s="355"/>
      <c r="H39" s="113"/>
      <c r="I39" s="102"/>
      <c r="J39" s="115"/>
      <c r="K39" s="123"/>
      <c r="L39" s="91"/>
      <c r="M39" s="123"/>
      <c r="N39" s="91"/>
      <c r="O39" s="144">
        <f t="shared" si="0"/>
        <v>0</v>
      </c>
    </row>
    <row r="40" spans="2:21">
      <c r="B40" s="888"/>
      <c r="C40" s="879" t="s">
        <v>1193</v>
      </c>
      <c r="D40" s="880"/>
      <c r="E40" s="881"/>
      <c r="F40" s="72"/>
      <c r="G40" s="101">
        <v>16.3</v>
      </c>
      <c r="H40" s="113">
        <f>$C$4+$E$4</f>
        <v>126</v>
      </c>
      <c r="I40" s="102"/>
      <c r="J40" s="115"/>
      <c r="K40" s="123"/>
      <c r="L40" s="91"/>
      <c r="M40" s="123"/>
      <c r="N40" s="91"/>
      <c r="O40" s="144">
        <f t="shared" si="0"/>
        <v>2053.8000000000002</v>
      </c>
    </row>
    <row r="41" spans="2:21">
      <c r="B41" s="888"/>
      <c r="C41" s="879" t="s">
        <v>854</v>
      </c>
      <c r="D41" s="880"/>
      <c r="E41" s="881"/>
      <c r="F41" s="72"/>
      <c r="G41" s="101">
        <f>일정!E36</f>
        <v>30.3</v>
      </c>
      <c r="H41" s="113">
        <f>$C$4+$E$4</f>
        <v>126</v>
      </c>
      <c r="I41" s="123"/>
      <c r="J41" s="110"/>
      <c r="K41" s="123"/>
      <c r="L41" s="91"/>
      <c r="M41" s="123"/>
      <c r="N41" s="91"/>
      <c r="O41" s="144">
        <f t="shared" si="0"/>
        <v>3817.8</v>
      </c>
    </row>
    <row r="42" spans="2:21">
      <c r="B42" s="888"/>
      <c r="C42" s="885" t="s">
        <v>861</v>
      </c>
      <c r="D42" s="886"/>
      <c r="E42" s="887"/>
      <c r="F42" s="72"/>
      <c r="G42" s="104"/>
      <c r="H42" s="116"/>
      <c r="I42" s="122">
        <f>식사!E3</f>
        <v>25</v>
      </c>
      <c r="J42" s="113">
        <f>$C$4+$E$4</f>
        <v>126</v>
      </c>
      <c r="K42" s="130"/>
      <c r="L42" s="138"/>
      <c r="M42" s="130"/>
      <c r="N42" s="138"/>
      <c r="O42" s="144">
        <f t="shared" si="0"/>
        <v>3150</v>
      </c>
    </row>
    <row r="43" spans="2:21">
      <c r="B43" s="889"/>
      <c r="C43" s="879" t="s">
        <v>1195</v>
      </c>
      <c r="D43" s="880"/>
      <c r="E43" s="881"/>
      <c r="F43" s="72"/>
      <c r="G43" s="101">
        <v>28</v>
      </c>
      <c r="H43" s="113">
        <f>$C$4+$E$4</f>
        <v>126</v>
      </c>
      <c r="I43" s="557"/>
      <c r="J43" s="558"/>
      <c r="K43" s="130"/>
      <c r="L43" s="138"/>
      <c r="M43" s="130"/>
      <c r="N43" s="138"/>
      <c r="O43" s="148">
        <f t="shared" si="0"/>
        <v>3528</v>
      </c>
    </row>
    <row r="44" spans="2:21" ht="18" thickBot="1">
      <c r="B44" s="866"/>
      <c r="C44" s="870" t="s">
        <v>1196</v>
      </c>
      <c r="D44" s="871"/>
      <c r="E44" s="500">
        <v>4.8611111111111112E-2</v>
      </c>
      <c r="F44" s="34"/>
      <c r="G44" s="105"/>
      <c r="H44" s="117"/>
      <c r="I44" s="124"/>
      <c r="J44" s="126"/>
      <c r="K44" s="373"/>
      <c r="L44" s="139"/>
      <c r="M44" s="131"/>
      <c r="N44" s="139"/>
      <c r="O44" s="145">
        <f t="shared" si="0"/>
        <v>0</v>
      </c>
      <c r="P44" s="34"/>
      <c r="Q44" s="34"/>
      <c r="R44" s="34"/>
      <c r="S44" s="34"/>
      <c r="T44" s="34"/>
      <c r="U44" s="34"/>
    </row>
    <row r="45" spans="2:21" ht="18" thickBot="1">
      <c r="B45" s="72"/>
      <c r="C45" s="72"/>
      <c r="D45" s="72"/>
      <c r="E45" s="72"/>
      <c r="F45" s="72"/>
      <c r="G45" s="72"/>
      <c r="H45" s="72"/>
      <c r="K45" s="132">
        <f>SUM(K10:K44)</f>
        <v>2800</v>
      </c>
      <c r="L45" s="72"/>
      <c r="M45" s="132">
        <f>SUM(M10:M44)</f>
        <v>1950</v>
      </c>
      <c r="N45" s="72"/>
      <c r="O45" s="150"/>
      <c r="P45" s="156"/>
    </row>
    <row r="46" spans="2:21">
      <c r="B46" s="872" t="s">
        <v>246</v>
      </c>
      <c r="C46" s="873" t="s">
        <v>865</v>
      </c>
      <c r="D46" s="874"/>
      <c r="E46" s="875"/>
      <c r="F46" s="34"/>
      <c r="G46" s="862">
        <f>$C$4+$E$4</f>
        <v>126</v>
      </c>
      <c r="H46" s="863"/>
      <c r="I46" s="854">
        <v>20</v>
      </c>
      <c r="J46" s="854"/>
      <c r="K46" s="855">
        <v>1</v>
      </c>
      <c r="L46" s="855"/>
      <c r="M46" s="855"/>
      <c r="N46" s="855"/>
      <c r="O46" s="151">
        <f>G46*I46*K46</f>
        <v>2520</v>
      </c>
    </row>
    <row r="47" spans="2:21">
      <c r="B47" s="827"/>
      <c r="C47" s="856" t="s">
        <v>451</v>
      </c>
      <c r="D47" s="857"/>
      <c r="E47" s="858"/>
      <c r="F47" s="34"/>
      <c r="G47" s="859">
        <v>50</v>
      </c>
      <c r="H47" s="860"/>
      <c r="I47" s="860"/>
      <c r="J47" s="860"/>
      <c r="K47" s="861">
        <f>C4</f>
        <v>126</v>
      </c>
      <c r="L47" s="861"/>
      <c r="M47" s="861"/>
      <c r="N47" s="861"/>
      <c r="O47" s="152">
        <f>G47*K47</f>
        <v>6300</v>
      </c>
    </row>
    <row r="48" spans="2:21">
      <c r="O48" s="150"/>
    </row>
  </sheetData>
  <mergeCells count="68">
    <mergeCell ref="B13:B18"/>
    <mergeCell ref="C13:E13"/>
    <mergeCell ref="C14:E14"/>
    <mergeCell ref="C15:E15"/>
    <mergeCell ref="C16:E16"/>
    <mergeCell ref="C17:E17"/>
    <mergeCell ref="C18:E18"/>
    <mergeCell ref="B46:B47"/>
    <mergeCell ref="C46:E46"/>
    <mergeCell ref="G46:H46"/>
    <mergeCell ref="I46:J46"/>
    <mergeCell ref="K46:N46"/>
    <mergeCell ref="C47:E47"/>
    <mergeCell ref="G47:J47"/>
    <mergeCell ref="K47:N47"/>
    <mergeCell ref="B36:B44"/>
    <mergeCell ref="C36:E36"/>
    <mergeCell ref="C37:E37"/>
    <mergeCell ref="C38:E38"/>
    <mergeCell ref="C39:E39"/>
    <mergeCell ref="C41:E41"/>
    <mergeCell ref="C42:E42"/>
    <mergeCell ref="C44:D44"/>
    <mergeCell ref="C40:E40"/>
    <mergeCell ref="C43:E43"/>
    <mergeCell ref="B28:B35"/>
    <mergeCell ref="C28:E28"/>
    <mergeCell ref="C30:E30"/>
    <mergeCell ref="C32:E32"/>
    <mergeCell ref="C33:E33"/>
    <mergeCell ref="C34:E34"/>
    <mergeCell ref="C35:E35"/>
    <mergeCell ref="C29:E29"/>
    <mergeCell ref="C31:E31"/>
    <mergeCell ref="B19:B27"/>
    <mergeCell ref="C19:E19"/>
    <mergeCell ref="C20:E20"/>
    <mergeCell ref="C21:E21"/>
    <mergeCell ref="C23:E23"/>
    <mergeCell ref="C24:E24"/>
    <mergeCell ref="C25:E25"/>
    <mergeCell ref="C26:E26"/>
    <mergeCell ref="C22:E22"/>
    <mergeCell ref="C27:E27"/>
    <mergeCell ref="H7:K7"/>
    <mergeCell ref="M8:N8"/>
    <mergeCell ref="O8:O9"/>
    <mergeCell ref="B10:B12"/>
    <mergeCell ref="C10:D10"/>
    <mergeCell ref="C11:E11"/>
    <mergeCell ref="C12:E12"/>
    <mergeCell ref="G8:H8"/>
    <mergeCell ref="I8:J8"/>
    <mergeCell ref="K8:L8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A0BCB403-8432-40B6-9154-F5F1CDB1AB4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C52B-599F-4682-AA45-C90A4FF4D77B}">
  <dimension ref="A1:AD39"/>
  <sheetViews>
    <sheetView topLeftCell="A6" workbookViewId="0">
      <selection activeCell="J32" sqref="J32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9" bestFit="1" customWidth="1"/>
    <col min="23" max="24" width="9.6640625" bestFit="1" customWidth="1"/>
    <col min="25" max="25" width="22.1640625" bestFit="1" customWidth="1"/>
    <col min="28" max="28" width="14.5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39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 ht="16.5" customHeight="1">
      <c r="B2" s="73" t="s">
        <v>238</v>
      </c>
      <c r="C2" s="923" t="s">
        <v>616</v>
      </c>
      <c r="D2" s="923"/>
      <c r="E2" s="924"/>
      <c r="F2" s="72"/>
      <c r="G2" s="921"/>
      <c r="H2" s="925">
        <f>C5</f>
        <v>45796</v>
      </c>
      <c r="I2" s="926"/>
      <c r="J2" s="927" t="str">
        <f>AB2</f>
        <v>Aloft Novena</v>
      </c>
      <c r="K2" s="928"/>
      <c r="L2" s="134">
        <v>200</v>
      </c>
      <c r="M2" s="140">
        <f>$I$1+$K$1</f>
        <v>39</v>
      </c>
      <c r="N2" s="106">
        <f>L2*M2</f>
        <v>7800</v>
      </c>
      <c r="O2" s="929">
        <f>SUM(N2:N6)</f>
        <v>23400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918</v>
      </c>
      <c r="AC2" s="10">
        <v>180</v>
      </c>
      <c r="AD2" s="10">
        <v>180</v>
      </c>
    </row>
    <row r="3" spans="1:30" ht="16.5" customHeight="1">
      <c r="B3" s="74" t="s">
        <v>239</v>
      </c>
      <c r="C3" s="938"/>
      <c r="D3" s="938"/>
      <c r="E3" s="770"/>
      <c r="F3" s="72"/>
      <c r="G3" s="921"/>
      <c r="H3" s="925">
        <f>H2+1</f>
        <v>45797</v>
      </c>
      <c r="I3" s="926"/>
      <c r="J3" s="927" t="str">
        <f>J2</f>
        <v>Aloft Novena</v>
      </c>
      <c r="K3" s="928"/>
      <c r="L3" s="134">
        <v>200</v>
      </c>
      <c r="M3" s="140">
        <f>$I$1+$K$1</f>
        <v>39</v>
      </c>
      <c r="N3" s="106">
        <f>L3*M3</f>
        <v>7800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6.5" customHeight="1" thickBot="1">
      <c r="B4" s="75" t="s">
        <v>241</v>
      </c>
      <c r="C4" s="81">
        <v>78</v>
      </c>
      <c r="D4" s="84" t="s">
        <v>253</v>
      </c>
      <c r="E4" s="92">
        <v>1</v>
      </c>
      <c r="F4" s="72"/>
      <c r="G4" s="921"/>
      <c r="H4" s="925">
        <f>H3+1</f>
        <v>45798</v>
      </c>
      <c r="I4" s="926"/>
      <c r="J4" s="927" t="str">
        <f>J2</f>
        <v>Aloft Novena</v>
      </c>
      <c r="K4" s="928"/>
      <c r="L4" s="134">
        <v>200</v>
      </c>
      <c r="M4" s="141">
        <f>$I$1+$K$1</f>
        <v>39</v>
      </c>
      <c r="N4" s="106">
        <f>L4*M4</f>
        <v>7800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6.5" customHeight="1" thickBot="1">
      <c r="B5" s="76" t="s">
        <v>242</v>
      </c>
      <c r="C5" s="82">
        <v>45796</v>
      </c>
      <c r="D5" s="85">
        <v>3</v>
      </c>
      <c r="E5" s="93">
        <f>C5+D5</f>
        <v>45799</v>
      </c>
      <c r="F5" s="72"/>
      <c r="G5" s="921"/>
      <c r="H5" s="925"/>
      <c r="I5" s="926"/>
      <c r="J5" s="939"/>
      <c r="K5" s="940"/>
      <c r="L5" s="135"/>
      <c r="M5" s="140"/>
      <c r="N5" s="106"/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6.5" customHeight="1" thickBot="1">
      <c r="B6" s="77" t="s">
        <v>243</v>
      </c>
      <c r="C6" s="83">
        <f>(SUM(O10:O39)+O2)/C4+R6+T6</f>
        <v>801.46025641025642</v>
      </c>
      <c r="D6" s="86" t="s">
        <v>254</v>
      </c>
      <c r="E6" s="94">
        <f>C6*$E$1</f>
        <v>881606.28205128212</v>
      </c>
      <c r="F6" s="72"/>
      <c r="G6" s="922"/>
      <c r="H6" s="925"/>
      <c r="I6" s="926"/>
      <c r="J6" s="935"/>
      <c r="K6" s="935"/>
      <c r="L6" s="136"/>
      <c r="M6" s="89"/>
      <c r="N6" s="107"/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6.5" customHeight="1" thickBot="1">
      <c r="B7" s="78" t="s">
        <v>244</v>
      </c>
      <c r="C7" s="183">
        <v>0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6.5" customHeight="1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6.5" customHeight="1" thickBot="1">
      <c r="B9" s="79" t="s">
        <v>245</v>
      </c>
      <c r="C9" s="185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 ht="16.5" customHeight="1">
      <c r="B10" s="905" t="str">
        <f>TEXT(C5,"m월 d일 aaaa")</f>
        <v>5월 19일 월요일</v>
      </c>
      <c r="C10" s="867" t="s">
        <v>1205</v>
      </c>
      <c r="D10" s="916"/>
      <c r="E10" s="499">
        <f>상품리스트!F5</f>
        <v>0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280</v>
      </c>
      <c r="L10" s="90">
        <v>2</v>
      </c>
      <c r="M10" s="128">
        <f>'가이드&amp;차량'!C3</f>
        <v>150</v>
      </c>
      <c r="N10" s="90">
        <v>2</v>
      </c>
      <c r="O10" s="143">
        <f t="shared" ref="O10:O18" si="0">(G10*H10)+(I10*J10)+(K10*L10)+(M10*N10)</f>
        <v>860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 ht="16.5" customHeight="1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si="0"/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6.5" customHeight="1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 ht="16.5" customHeight="1">
      <c r="B13" s="905" t="str">
        <f>TEXT(C5+1,"m월 d일 aaaa")</f>
        <v>5월 20일 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630</v>
      </c>
      <c r="L13" s="90">
        <f>L10</f>
        <v>2</v>
      </c>
      <c r="M13" s="128">
        <f>'가이드&amp;차량'!C6</f>
        <v>375</v>
      </c>
      <c r="N13" s="90">
        <f>N10</f>
        <v>2</v>
      </c>
      <c r="O13" s="143">
        <f t="shared" si="0"/>
        <v>2010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 ht="16.5" customHeight="1">
      <c r="B14" s="865"/>
      <c r="C14" s="879" t="s">
        <v>1202</v>
      </c>
      <c r="D14" s="880"/>
      <c r="E14" s="881"/>
      <c r="F14" s="72"/>
      <c r="G14" s="351"/>
      <c r="H14" s="348"/>
      <c r="I14" s="349"/>
      <c r="J14" s="350"/>
      <c r="K14" s="123"/>
      <c r="L14" s="91"/>
      <c r="M14" s="665">
        <v>170</v>
      </c>
      <c r="N14" s="666">
        <v>5</v>
      </c>
      <c r="O14" s="144">
        <f t="shared" si="0"/>
        <v>850</v>
      </c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 ht="16.5" customHeight="1">
      <c r="B15" s="865"/>
      <c r="C15" s="902" t="s">
        <v>281</v>
      </c>
      <c r="D15" s="903"/>
      <c r="E15" s="904"/>
      <c r="F15" s="72"/>
      <c r="G15" s="99"/>
      <c r="H15" s="114"/>
      <c r="I15" s="122">
        <v>20</v>
      </c>
      <c r="J15" s="113">
        <f>$C$4+$E$4</f>
        <v>79</v>
      </c>
      <c r="K15" s="120"/>
      <c r="L15" s="91"/>
      <c r="M15" s="120"/>
      <c r="N15" s="91"/>
      <c r="O15" s="144">
        <f t="shared" si="0"/>
        <v>1580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922</v>
      </c>
      <c r="AC15" s="10">
        <v>185</v>
      </c>
      <c r="AD15" s="10">
        <v>185</v>
      </c>
    </row>
    <row r="16" spans="1:30" ht="16.5" customHeight="1">
      <c r="B16" s="865"/>
      <c r="C16" s="907" t="s">
        <v>599</v>
      </c>
      <c r="D16" s="908"/>
      <c r="E16" s="909"/>
      <c r="F16" s="72"/>
      <c r="G16" s="102"/>
      <c r="H16" s="115"/>
      <c r="I16" s="123"/>
      <c r="J16" s="110"/>
      <c r="K16" s="123"/>
      <c r="L16" s="91"/>
      <c r="M16" s="123"/>
      <c r="N16" s="91"/>
      <c r="O16" s="144">
        <f t="shared" si="0"/>
        <v>0</v>
      </c>
      <c r="Q16" s="7"/>
      <c r="AB16" s="496" t="s">
        <v>726</v>
      </c>
      <c r="AC16" s="10">
        <v>185</v>
      </c>
      <c r="AD16" s="10">
        <v>185</v>
      </c>
    </row>
    <row r="17" spans="2:30" ht="16.5" customHeight="1">
      <c r="B17" s="865"/>
      <c r="C17" s="879" t="str">
        <f>일정!C27</f>
        <v>가든스바이더베이 2돔 ( 쥬랴기 )</v>
      </c>
      <c r="D17" s="891"/>
      <c r="E17" s="892"/>
      <c r="F17" s="72"/>
      <c r="G17" s="101">
        <f>일정!E27</f>
        <v>28.3</v>
      </c>
      <c r="H17" s="113">
        <f>$C$4+$E$4</f>
        <v>79</v>
      </c>
      <c r="I17" s="120"/>
      <c r="J17" s="110"/>
      <c r="K17" s="123"/>
      <c r="L17" s="91"/>
      <c r="M17" s="123"/>
      <c r="N17" s="91"/>
      <c r="O17" s="144">
        <f t="shared" si="0"/>
        <v>2235.7000000000003</v>
      </c>
      <c r="Q17" s="7"/>
      <c r="AB17" s="496" t="s">
        <v>931</v>
      </c>
      <c r="AC17" s="10">
        <v>155</v>
      </c>
      <c r="AD17" s="10">
        <v>155</v>
      </c>
    </row>
    <row r="18" spans="2:30" ht="16.5" customHeight="1">
      <c r="B18" s="865"/>
      <c r="C18" s="876" t="s">
        <v>1203</v>
      </c>
      <c r="D18" s="877"/>
      <c r="E18" s="878"/>
      <c r="F18" s="72"/>
      <c r="G18" s="99"/>
      <c r="H18" s="114"/>
      <c r="I18" s="122">
        <f>식사!E7</f>
        <v>18</v>
      </c>
      <c r="J18" s="113">
        <f>$C$4+$E$4</f>
        <v>79</v>
      </c>
      <c r="K18" s="120"/>
      <c r="L18" s="91"/>
      <c r="M18" s="120"/>
      <c r="N18" s="91"/>
      <c r="O18" s="144">
        <f t="shared" si="0"/>
        <v>1422</v>
      </c>
      <c r="Q18" s="7"/>
      <c r="AB18" s="496" t="s">
        <v>923</v>
      </c>
      <c r="AC18" s="10">
        <v>185</v>
      </c>
      <c r="AD18" s="10">
        <v>185</v>
      </c>
    </row>
    <row r="19" spans="2:30" ht="16.5" customHeight="1">
      <c r="B19" s="865"/>
      <c r="C19" s="890" t="s">
        <v>563</v>
      </c>
      <c r="D19" s="891"/>
      <c r="E19" s="892"/>
      <c r="F19" s="72"/>
      <c r="G19" s="99"/>
      <c r="H19" s="110"/>
      <c r="I19" s="102"/>
      <c r="J19" s="115"/>
      <c r="K19" s="120"/>
      <c r="L19" s="91"/>
      <c r="M19" s="120"/>
      <c r="N19" s="91"/>
      <c r="O19" s="144"/>
      <c r="Q19" s="7"/>
      <c r="AB19" s="497" t="s">
        <v>928</v>
      </c>
      <c r="AC19" s="10">
        <v>280</v>
      </c>
      <c r="AD19" s="10">
        <v>280</v>
      </c>
    </row>
    <row r="20" spans="2:30" ht="16.5" customHeight="1" thickBot="1">
      <c r="B20" s="906"/>
      <c r="C20" s="893" t="s">
        <v>1005</v>
      </c>
      <c r="D20" s="894"/>
      <c r="E20" s="895"/>
      <c r="F20" s="72"/>
      <c r="G20" s="102"/>
      <c r="H20" s="115"/>
      <c r="I20" s="123"/>
      <c r="J20" s="110"/>
      <c r="K20" s="123"/>
      <c r="L20" s="91"/>
      <c r="M20" s="123"/>
      <c r="N20" s="91"/>
      <c r="O20" s="144">
        <f t="shared" ref="O20:O25" si="1">(G20*H20)+(I20*J20)+(K20*L20)+(M20*N20)</f>
        <v>0</v>
      </c>
      <c r="Q20" s="7"/>
      <c r="AB20" s="497" t="s">
        <v>442</v>
      </c>
      <c r="AC20" s="10">
        <v>366</v>
      </c>
      <c r="AD20" s="10">
        <v>366</v>
      </c>
    </row>
    <row r="21" spans="2:30" ht="16.5" customHeight="1">
      <c r="B21" s="864" t="str">
        <f>TEXT(C5+2,"m월 d일 aaaa")</f>
        <v>5월 21일 수요일</v>
      </c>
      <c r="C21" s="896" t="s">
        <v>240</v>
      </c>
      <c r="D21" s="897"/>
      <c r="E21" s="898"/>
      <c r="F21" s="72"/>
      <c r="G21" s="98"/>
      <c r="H21" s="112"/>
      <c r="I21" s="119"/>
      <c r="J21" s="109"/>
      <c r="K21" s="128">
        <f>IF(C4+E4&lt;8,'가이드&amp;차량'!C47, IF(C4+E4&lt;=14,'가이드&amp;차량'!C39,'가이드&amp;차량'!C23))</f>
        <v>630</v>
      </c>
      <c r="L21" s="90">
        <f>L10</f>
        <v>2</v>
      </c>
      <c r="M21" s="128">
        <f>'가이드&amp;차량'!C6</f>
        <v>375</v>
      </c>
      <c r="N21" s="90">
        <f>N10</f>
        <v>2</v>
      </c>
      <c r="O21" s="143">
        <f t="shared" si="1"/>
        <v>2010</v>
      </c>
      <c r="Q21" s="159" t="s">
        <v>277</v>
      </c>
    </row>
    <row r="22" spans="2:30" ht="16.5" customHeight="1">
      <c r="B22" s="944"/>
      <c r="C22" s="882" t="s">
        <v>600</v>
      </c>
      <c r="D22" s="883"/>
      <c r="E22" s="884"/>
      <c r="F22" s="72"/>
      <c r="G22" s="103">
        <f>일정!E11</f>
        <v>20</v>
      </c>
      <c r="H22" s="113">
        <f>$C$4+$E$4</f>
        <v>79</v>
      </c>
      <c r="I22" s="123"/>
      <c r="J22" s="110"/>
      <c r="K22" s="123"/>
      <c r="L22" s="91"/>
      <c r="M22" s="123"/>
      <c r="N22" s="91"/>
      <c r="O22" s="144">
        <f t="shared" si="1"/>
        <v>1580</v>
      </c>
    </row>
    <row r="23" spans="2:30" ht="16.5" customHeight="1">
      <c r="B23" s="888"/>
      <c r="C23" s="899" t="s">
        <v>280</v>
      </c>
      <c r="D23" s="900"/>
      <c r="E23" s="901"/>
      <c r="F23" s="72"/>
      <c r="G23" s="101">
        <f>일정!E3</f>
        <v>75.3</v>
      </c>
      <c r="H23" s="113">
        <f>$C$4+$E$4</f>
        <v>79</v>
      </c>
      <c r="I23" s="123"/>
      <c r="J23" s="110"/>
      <c r="K23" s="123"/>
      <c r="L23" s="91"/>
      <c r="M23" s="123"/>
      <c r="N23" s="91"/>
      <c r="O23" s="144">
        <f t="shared" si="1"/>
        <v>5948.7</v>
      </c>
      <c r="Q23" s="7"/>
    </row>
    <row r="24" spans="2:30" ht="16.5" customHeight="1">
      <c r="B24" s="888"/>
      <c r="C24" s="902" t="s">
        <v>281</v>
      </c>
      <c r="D24" s="903"/>
      <c r="E24" s="904"/>
      <c r="F24" s="72"/>
      <c r="G24" s="99"/>
      <c r="H24" s="110"/>
      <c r="I24" s="122">
        <v>20</v>
      </c>
      <c r="J24" s="113">
        <f>$C$4+$E$4</f>
        <v>79</v>
      </c>
      <c r="K24" s="123"/>
      <c r="L24" s="91"/>
      <c r="M24" s="102"/>
      <c r="N24" s="91"/>
      <c r="O24" s="146">
        <f t="shared" si="1"/>
        <v>1580</v>
      </c>
      <c r="Q24" s="7"/>
    </row>
    <row r="25" spans="2:30">
      <c r="B25" s="888"/>
      <c r="C25" s="902" t="s">
        <v>589</v>
      </c>
      <c r="D25" s="903"/>
      <c r="E25" s="904"/>
      <c r="F25" s="72"/>
      <c r="G25" s="99"/>
      <c r="H25" s="110"/>
      <c r="I25" s="122">
        <f>식사!E38</f>
        <v>20</v>
      </c>
      <c r="J25" s="113">
        <f>$C$4+$E$4</f>
        <v>79</v>
      </c>
      <c r="K25" s="123"/>
      <c r="L25" s="91"/>
      <c r="M25" s="123"/>
      <c r="N25" s="91"/>
      <c r="O25" s="146">
        <f t="shared" si="1"/>
        <v>1580</v>
      </c>
      <c r="Q25" s="7"/>
    </row>
    <row r="26" spans="2:30">
      <c r="B26" s="889"/>
      <c r="C26" s="879" t="s">
        <v>619</v>
      </c>
      <c r="D26" s="880"/>
      <c r="E26" s="881"/>
      <c r="F26" s="72"/>
      <c r="G26" s="167" t="str">
        <f>일정!E13</f>
        <v>11</v>
      </c>
      <c r="H26" s="113">
        <f>$C$4+$E$4</f>
        <v>79</v>
      </c>
      <c r="I26" s="163"/>
      <c r="J26" s="164"/>
      <c r="K26" s="161"/>
      <c r="L26" s="138"/>
      <c r="M26" s="161"/>
      <c r="N26" s="138"/>
      <c r="O26" s="162"/>
      <c r="Q26" s="7"/>
    </row>
    <row r="27" spans="2:30" ht="18" thickBot="1">
      <c r="B27" s="866"/>
      <c r="C27" s="893" t="s">
        <v>1005</v>
      </c>
      <c r="D27" s="894"/>
      <c r="E27" s="895"/>
      <c r="F27" s="72"/>
      <c r="G27" s="100"/>
      <c r="H27" s="111"/>
      <c r="I27" s="124"/>
      <c r="J27" s="126"/>
      <c r="K27" s="129"/>
      <c r="L27" s="137"/>
      <c r="M27" s="124"/>
      <c r="N27" s="137"/>
      <c r="O27" s="147">
        <f t="shared" ref="O27:O35" si="2">(G27*H27)+(I27*J27)+(K27*L27)+(M27*N27)</f>
        <v>0</v>
      </c>
      <c r="Q27" s="7"/>
    </row>
    <row r="28" spans="2:30">
      <c r="B28" s="864" t="str">
        <f>TEXT(C5+3,"m월 d일 aaaa")</f>
        <v>5월 22일 목요일</v>
      </c>
      <c r="C28" s="867" t="s">
        <v>282</v>
      </c>
      <c r="D28" s="868"/>
      <c r="E28" s="869"/>
      <c r="F28" s="72"/>
      <c r="G28" s="98"/>
      <c r="H28" s="112"/>
      <c r="I28" s="119"/>
      <c r="J28" s="109"/>
      <c r="K28" s="128">
        <f>IF(C4+E4&lt;8,'가이드&amp;차량'!C47, IF(C4+E4&lt;=14,'가이드&amp;차량'!C39,'가이드&amp;차량'!C23))</f>
        <v>630</v>
      </c>
      <c r="L28" s="90">
        <f>L10</f>
        <v>2</v>
      </c>
      <c r="M28" s="128">
        <f>'가이드&amp;차량'!C6+'가이드&amp;차량'!C3</f>
        <v>525</v>
      </c>
      <c r="N28" s="90">
        <f>N10</f>
        <v>2</v>
      </c>
      <c r="O28" s="143">
        <f t="shared" si="2"/>
        <v>2310</v>
      </c>
      <c r="Q28" s="159" t="s">
        <v>278</v>
      </c>
    </row>
    <row r="29" spans="2:30">
      <c r="B29" s="888"/>
      <c r="C29" s="899" t="s">
        <v>329</v>
      </c>
      <c r="D29" s="883"/>
      <c r="E29" s="884"/>
      <c r="F29" s="72"/>
      <c r="G29" s="101">
        <f>일정!E40</f>
        <v>24.5</v>
      </c>
      <c r="H29" s="113">
        <f>$C$4+$E$4</f>
        <v>79</v>
      </c>
      <c r="I29" s="123"/>
      <c r="J29" s="110"/>
      <c r="K29" s="123"/>
      <c r="L29" s="91"/>
      <c r="M29" s="123"/>
      <c r="N29" s="91"/>
      <c r="O29" s="144">
        <f t="shared" si="2"/>
        <v>1935.5</v>
      </c>
    </row>
    <row r="30" spans="2:30">
      <c r="B30" s="888"/>
      <c r="C30" s="902" t="s">
        <v>986</v>
      </c>
      <c r="D30" s="903"/>
      <c r="E30" s="904"/>
      <c r="F30" s="72"/>
      <c r="G30" s="102"/>
      <c r="H30" s="115"/>
      <c r="I30" s="122">
        <f>식사!E36</f>
        <v>20</v>
      </c>
      <c r="J30" s="113">
        <f>$C$4+$E$4</f>
        <v>79</v>
      </c>
      <c r="K30" s="120"/>
      <c r="L30" s="91"/>
      <c r="M30" s="120"/>
      <c r="N30" s="91"/>
      <c r="O30" s="144">
        <f t="shared" si="2"/>
        <v>1580</v>
      </c>
    </row>
    <row r="31" spans="2:30">
      <c r="B31" s="888"/>
      <c r="C31" s="948" t="s">
        <v>601</v>
      </c>
      <c r="D31" s="946"/>
      <c r="E31" s="947"/>
      <c r="F31" s="72"/>
      <c r="G31" s="347"/>
      <c r="H31" s="115"/>
      <c r="I31" s="123"/>
      <c r="J31" s="110"/>
      <c r="K31" s="123"/>
      <c r="L31" s="91"/>
      <c r="M31" s="123"/>
      <c r="N31" s="91"/>
      <c r="O31" s="144">
        <f t="shared" si="2"/>
        <v>0</v>
      </c>
    </row>
    <row r="32" spans="2:30">
      <c r="B32" s="888"/>
      <c r="C32" s="876" t="s">
        <v>1204</v>
      </c>
      <c r="D32" s="877"/>
      <c r="E32" s="878"/>
      <c r="F32" s="72"/>
      <c r="G32" s="104"/>
      <c r="H32" s="116"/>
      <c r="I32" s="122">
        <v>30</v>
      </c>
      <c r="J32" s="113">
        <f>$C$4+$E$4</f>
        <v>79</v>
      </c>
      <c r="K32" s="130"/>
      <c r="L32" s="138"/>
      <c r="M32" s="130"/>
      <c r="N32" s="138"/>
      <c r="O32" s="148">
        <f t="shared" si="2"/>
        <v>2370</v>
      </c>
    </row>
    <row r="33" spans="2:21">
      <c r="B33" s="889"/>
      <c r="C33" s="948" t="s">
        <v>603</v>
      </c>
      <c r="D33" s="946"/>
      <c r="E33" s="947"/>
      <c r="F33" s="72"/>
      <c r="G33" s="104"/>
      <c r="H33" s="116"/>
      <c r="I33" s="163"/>
      <c r="J33" s="164"/>
      <c r="K33" s="130"/>
      <c r="L33" s="138"/>
      <c r="M33" s="130"/>
      <c r="N33" s="138"/>
      <c r="O33" s="148">
        <f t="shared" si="2"/>
        <v>0</v>
      </c>
    </row>
    <row r="34" spans="2:21">
      <c r="B34" s="889"/>
      <c r="C34" s="910" t="s">
        <v>1038</v>
      </c>
      <c r="D34" s="911"/>
      <c r="E34" s="912"/>
      <c r="F34" s="72"/>
      <c r="G34" s="103">
        <v>28</v>
      </c>
      <c r="H34" s="113">
        <f>$C$4+$E$4</f>
        <v>79</v>
      </c>
      <c r="I34" s="163"/>
      <c r="J34" s="164"/>
      <c r="K34" s="130"/>
      <c r="L34" s="138"/>
      <c r="M34" s="130"/>
      <c r="N34" s="138"/>
      <c r="O34" s="148">
        <f t="shared" si="2"/>
        <v>2212</v>
      </c>
    </row>
    <row r="35" spans="2:21" ht="18" thickBot="1">
      <c r="B35" s="866"/>
      <c r="C35" s="870" t="s">
        <v>1206</v>
      </c>
      <c r="D35" s="871"/>
      <c r="E35" s="500">
        <f>상품리스트!I5</f>
        <v>0</v>
      </c>
      <c r="F35" s="34"/>
      <c r="G35" s="105"/>
      <c r="H35" s="117"/>
      <c r="I35" s="124"/>
      <c r="J35" s="126"/>
      <c r="K35" s="131"/>
      <c r="L35" s="139"/>
      <c r="M35" s="131"/>
      <c r="N35" s="139"/>
      <c r="O35" s="149">
        <f t="shared" si="2"/>
        <v>0</v>
      </c>
      <c r="P35" s="34"/>
      <c r="Q35" s="34"/>
      <c r="R35" s="34"/>
      <c r="S35" s="34"/>
      <c r="T35" s="34"/>
      <c r="U35" s="34"/>
    </row>
    <row r="36" spans="2:21" ht="18" thickBot="1">
      <c r="B36" s="72"/>
      <c r="C36" s="72"/>
      <c r="D36" s="72"/>
      <c r="E36" s="72"/>
      <c r="F36" s="72"/>
      <c r="G36" s="72"/>
      <c r="H36" s="72"/>
      <c r="K36" s="132">
        <f>SUM(K10:K35)</f>
        <v>2170</v>
      </c>
      <c r="L36" s="72"/>
      <c r="M36" s="132">
        <f>SUM(M10:M35)</f>
        <v>1595</v>
      </c>
      <c r="N36" s="72"/>
      <c r="O36" s="150"/>
      <c r="P36" s="156"/>
    </row>
    <row r="37" spans="2:21">
      <c r="B37" s="872" t="s">
        <v>246</v>
      </c>
      <c r="C37" s="873" t="s">
        <v>617</v>
      </c>
      <c r="D37" s="874"/>
      <c r="E37" s="875"/>
      <c r="F37" s="34"/>
      <c r="G37" s="862">
        <f>$C$4+$E$4</f>
        <v>79</v>
      </c>
      <c r="H37" s="863"/>
      <c r="I37" s="854">
        <v>30</v>
      </c>
      <c r="J37" s="854"/>
      <c r="K37" s="855">
        <v>1</v>
      </c>
      <c r="L37" s="855"/>
      <c r="M37" s="855"/>
      <c r="N37" s="855"/>
      <c r="O37" s="151">
        <f>G37*I37*K37</f>
        <v>2370</v>
      </c>
    </row>
    <row r="38" spans="2:21" ht="18" thickBot="1">
      <c r="B38" s="827"/>
      <c r="C38" s="856" t="s">
        <v>451</v>
      </c>
      <c r="D38" s="857"/>
      <c r="E38" s="858"/>
      <c r="F38" s="34"/>
      <c r="G38" s="859">
        <v>50</v>
      </c>
      <c r="H38" s="860"/>
      <c r="I38" s="860"/>
      <c r="J38" s="860"/>
      <c r="K38" s="861">
        <f>C4</f>
        <v>78</v>
      </c>
      <c r="L38" s="861"/>
      <c r="M38" s="861"/>
      <c r="N38" s="861"/>
      <c r="O38" s="152">
        <f>G38*K38</f>
        <v>3900</v>
      </c>
    </row>
    <row r="39" spans="2:21">
      <c r="O39" s="150"/>
    </row>
  </sheetData>
  <mergeCells count="58"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  <mergeCell ref="H7:K7"/>
    <mergeCell ref="M8:N8"/>
    <mergeCell ref="O8:O9"/>
    <mergeCell ref="B10:B12"/>
    <mergeCell ref="C10:D10"/>
    <mergeCell ref="C11:E11"/>
    <mergeCell ref="C12:E12"/>
    <mergeCell ref="G8:H8"/>
    <mergeCell ref="I8:J8"/>
    <mergeCell ref="K8:L8"/>
    <mergeCell ref="B13:B20"/>
    <mergeCell ref="C13:E13"/>
    <mergeCell ref="C14:E14"/>
    <mergeCell ref="C15:E15"/>
    <mergeCell ref="C16:E16"/>
    <mergeCell ref="C17:E17"/>
    <mergeCell ref="C18:E18"/>
    <mergeCell ref="C19:E19"/>
    <mergeCell ref="C20:E20"/>
    <mergeCell ref="B21:B27"/>
    <mergeCell ref="C21:E21"/>
    <mergeCell ref="C22:E22"/>
    <mergeCell ref="C23:E23"/>
    <mergeCell ref="C24:E24"/>
    <mergeCell ref="C25:E25"/>
    <mergeCell ref="C26:E26"/>
    <mergeCell ref="C27:E27"/>
    <mergeCell ref="B28:B35"/>
    <mergeCell ref="C28:E28"/>
    <mergeCell ref="C29:E29"/>
    <mergeCell ref="C30:E30"/>
    <mergeCell ref="C31:E31"/>
    <mergeCell ref="C32:E32"/>
    <mergeCell ref="C33:E33"/>
    <mergeCell ref="C34:E34"/>
    <mergeCell ref="C35:D35"/>
    <mergeCell ref="B37:B38"/>
    <mergeCell ref="C37:E37"/>
    <mergeCell ref="G37:H37"/>
    <mergeCell ref="I37:J37"/>
    <mergeCell ref="K37:N37"/>
    <mergeCell ref="C38:E38"/>
    <mergeCell ref="G38:J38"/>
    <mergeCell ref="K38:N38"/>
  </mergeCells>
  <phoneticPr fontId="1" type="noConversion"/>
  <hyperlinks>
    <hyperlink ref="A1" location="상품리스트!A1" display="home" xr:uid="{7AF9FBBF-D08E-4404-9873-F389FEA62C3F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8430-9439-4B42-86D3-8C2DD48C9B41}">
  <dimension ref="A1:AD41"/>
  <sheetViews>
    <sheetView zoomScale="103" workbookViewId="0">
      <selection activeCell="V29" sqref="V29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9.6640625" bestFit="1" customWidth="1"/>
    <col min="25" max="25" width="20" bestFit="1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15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1036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Aloft Novena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180</v>
      </c>
      <c r="M2" s="140">
        <f>$I$1+$K$1</f>
        <v>15</v>
      </c>
      <c r="N2" s="106">
        <f>L2*M2</f>
        <v>2700</v>
      </c>
      <c r="O2" s="929">
        <f>SUM(N2:N6)</f>
        <v>8100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918</v>
      </c>
      <c r="AC2" s="10">
        <v>180</v>
      </c>
      <c r="AD2" s="10">
        <v>180</v>
      </c>
    </row>
    <row r="3" spans="1:30" ht="28">
      <c r="B3" s="74" t="s">
        <v>239</v>
      </c>
      <c r="C3" s="938" t="s">
        <v>1030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Aloft Novena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180</v>
      </c>
      <c r="M3" s="140">
        <f>$I$1+$K$1</f>
        <v>15</v>
      </c>
      <c r="N3" s="106">
        <f>L3*M3</f>
        <v>2700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30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927" t="str">
        <f>J2</f>
        <v>Aloft Novena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180</v>
      </c>
      <c r="M4" s="141">
        <f>$I$1+$K$1</f>
        <v>15</v>
      </c>
      <c r="N4" s="106">
        <f>L4*M4</f>
        <v>2700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/>
      <c r="I5" s="926"/>
      <c r="J5" s="939"/>
      <c r="K5" s="940"/>
      <c r="L5" s="135"/>
      <c r="M5" s="140"/>
      <c r="N5" s="106"/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(SUM(O10:O41)+O2)/C4+R6+T6</f>
        <v>782.26666666666665</v>
      </c>
      <c r="D6" s="86" t="s">
        <v>254</v>
      </c>
      <c r="E6" s="94">
        <f>C6*$E$1</f>
        <v>860493.33333333337</v>
      </c>
      <c r="F6" s="72"/>
      <c r="G6" s="922"/>
      <c r="H6" s="925"/>
      <c r="I6" s="926"/>
      <c r="J6" s="935"/>
      <c r="K6" s="935"/>
      <c r="L6" s="136"/>
      <c r="M6" s="89"/>
      <c r="N6" s="107"/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0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5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67" t="s">
        <v>960</v>
      </c>
      <c r="D10" s="916"/>
      <c r="E10" s="499">
        <f>상품리스트!F6</f>
        <v>0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280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430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7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905" t="str">
        <f>TEXT(C5+1,"m월 d일 aaaa")</f>
        <v>3월 17일 월요일</v>
      </c>
      <c r="C13" s="952" t="s">
        <v>240</v>
      </c>
      <c r="D13" s="953"/>
      <c r="E13" s="954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630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1005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865"/>
      <c r="C14" s="879" t="s">
        <v>580</v>
      </c>
      <c r="D14" s="880"/>
      <c r="E14" s="881"/>
      <c r="F14" s="72"/>
      <c r="G14" s="102"/>
      <c r="H14" s="115"/>
      <c r="I14" s="123"/>
      <c r="J14" s="110"/>
      <c r="K14" s="123"/>
      <c r="L14" s="91"/>
      <c r="M14" s="665">
        <v>170</v>
      </c>
      <c r="N14" s="91">
        <v>2</v>
      </c>
      <c r="O14" s="144">
        <f t="shared" si="0"/>
        <v>340</v>
      </c>
      <c r="Q14" s="7"/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865"/>
      <c r="C15" s="902" t="s">
        <v>281</v>
      </c>
      <c r="D15" s="903"/>
      <c r="E15" s="904"/>
      <c r="F15" s="72"/>
      <c r="G15" s="99"/>
      <c r="H15" s="114"/>
      <c r="I15" s="122">
        <v>20</v>
      </c>
      <c r="J15" s="113">
        <f>$C$4+$E$4</f>
        <v>30</v>
      </c>
      <c r="K15" s="120"/>
      <c r="L15" s="91"/>
      <c r="M15" s="120"/>
      <c r="N15" s="91"/>
      <c r="O15" s="144">
        <f t="shared" si="0"/>
        <v>600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922</v>
      </c>
      <c r="AC15" s="10">
        <v>185</v>
      </c>
      <c r="AD15" s="10">
        <v>185</v>
      </c>
    </row>
    <row r="16" spans="1:30">
      <c r="B16" s="865"/>
      <c r="C16" s="949" t="s">
        <v>579</v>
      </c>
      <c r="D16" s="950"/>
      <c r="E16" s="951"/>
      <c r="F16" s="72"/>
      <c r="G16" s="102"/>
      <c r="H16" s="115"/>
      <c r="I16" s="123"/>
      <c r="J16" s="110"/>
      <c r="K16" s="123"/>
      <c r="L16" s="91"/>
      <c r="M16" s="123"/>
      <c r="N16" s="91"/>
      <c r="O16" s="144">
        <f t="shared" si="0"/>
        <v>0</v>
      </c>
      <c r="Q16" s="7"/>
      <c r="AB16" s="496" t="s">
        <v>726</v>
      </c>
      <c r="AC16" s="10">
        <v>185</v>
      </c>
      <c r="AD16" s="10">
        <v>185</v>
      </c>
    </row>
    <row r="17" spans="2:30">
      <c r="B17" s="865"/>
      <c r="C17" s="890" t="s">
        <v>581</v>
      </c>
      <c r="D17" s="891"/>
      <c r="E17" s="892"/>
      <c r="F17" s="72"/>
      <c r="G17" s="102"/>
      <c r="H17" s="115"/>
      <c r="I17" s="120"/>
      <c r="J17" s="110"/>
      <c r="K17" s="123"/>
      <c r="L17" s="91"/>
      <c r="M17" s="123"/>
      <c r="N17" s="91"/>
      <c r="O17" s="144">
        <f t="shared" si="0"/>
        <v>0</v>
      </c>
      <c r="Q17" s="7"/>
      <c r="AB17" s="496" t="s">
        <v>931</v>
      </c>
      <c r="AC17" s="10">
        <v>155</v>
      </c>
      <c r="AD17" s="10">
        <v>155</v>
      </c>
    </row>
    <row r="18" spans="2:30">
      <c r="B18" s="865"/>
      <c r="C18" s="879" t="str">
        <f>일정!C27</f>
        <v>가든스바이더베이 2돔 ( 쥬랴기 )</v>
      </c>
      <c r="D18" s="891"/>
      <c r="E18" s="892"/>
      <c r="F18" s="72"/>
      <c r="G18" s="101">
        <f>일정!E27</f>
        <v>28.3</v>
      </c>
      <c r="H18" s="113">
        <f>$C$4+$E$4</f>
        <v>30</v>
      </c>
      <c r="I18" s="120"/>
      <c r="J18" s="110"/>
      <c r="K18" s="123"/>
      <c r="L18" s="91"/>
      <c r="M18" s="123"/>
      <c r="N18" s="91"/>
      <c r="O18" s="144">
        <f t="shared" si="0"/>
        <v>849</v>
      </c>
      <c r="Q18" s="7"/>
      <c r="AB18" s="496" t="s">
        <v>923</v>
      </c>
      <c r="AC18" s="10">
        <v>185</v>
      </c>
      <c r="AD18" s="10">
        <v>185</v>
      </c>
    </row>
    <row r="19" spans="2:30">
      <c r="B19" s="865"/>
      <c r="C19" s="876" t="s">
        <v>602</v>
      </c>
      <c r="D19" s="877"/>
      <c r="E19" s="878"/>
      <c r="F19" s="72"/>
      <c r="G19" s="99"/>
      <c r="H19" s="114"/>
      <c r="I19" s="122">
        <f>식사!E28</f>
        <v>35</v>
      </c>
      <c r="J19" s="113">
        <f>$C$4+$E$4</f>
        <v>30</v>
      </c>
      <c r="K19" s="120"/>
      <c r="L19" s="91"/>
      <c r="M19" s="120"/>
      <c r="N19" s="91"/>
      <c r="O19" s="144">
        <f t="shared" si="0"/>
        <v>1050</v>
      </c>
      <c r="Q19" s="7"/>
      <c r="AB19" s="497" t="s">
        <v>928</v>
      </c>
      <c r="AC19" s="10">
        <v>280</v>
      </c>
      <c r="AD19" s="10">
        <v>280</v>
      </c>
    </row>
    <row r="20" spans="2:30">
      <c r="B20" s="865"/>
      <c r="C20" s="890" t="s">
        <v>563</v>
      </c>
      <c r="D20" s="891"/>
      <c r="E20" s="892"/>
      <c r="F20" s="72"/>
      <c r="G20" s="102"/>
      <c r="H20" s="115"/>
      <c r="I20" s="102"/>
      <c r="J20" s="115"/>
      <c r="K20" s="123"/>
      <c r="L20" s="91"/>
      <c r="M20" s="123"/>
      <c r="N20" s="91"/>
      <c r="O20" s="144">
        <f t="shared" si="0"/>
        <v>0</v>
      </c>
      <c r="Q20" s="7"/>
      <c r="AB20" s="497" t="s">
        <v>442</v>
      </c>
      <c r="AC20" s="10">
        <v>366</v>
      </c>
      <c r="AD20" s="10">
        <v>366</v>
      </c>
    </row>
    <row r="21" spans="2:30" ht="18" thickBot="1">
      <c r="B21" s="906"/>
      <c r="C21" s="893" t="s">
        <v>1005</v>
      </c>
      <c r="D21" s="894"/>
      <c r="E21" s="895"/>
      <c r="F21" s="72"/>
      <c r="G21" s="102"/>
      <c r="H21" s="115"/>
      <c r="I21" s="123"/>
      <c r="J21" s="110"/>
      <c r="K21" s="123"/>
      <c r="L21" s="91"/>
      <c r="M21" s="123"/>
      <c r="N21" s="91"/>
      <c r="O21" s="144">
        <f t="shared" si="0"/>
        <v>0</v>
      </c>
      <c r="Q21" s="7"/>
    </row>
    <row r="22" spans="2:30">
      <c r="B22" s="864" t="str">
        <f>TEXT(C5+2,"m월 d일 aaaa")</f>
        <v>3월 18일 화요일</v>
      </c>
      <c r="C22" s="896" t="s">
        <v>240</v>
      </c>
      <c r="D22" s="897"/>
      <c r="E22" s="898"/>
      <c r="F22" s="72"/>
      <c r="G22" s="98"/>
      <c r="H22" s="112"/>
      <c r="I22" s="119"/>
      <c r="J22" s="109"/>
      <c r="K22" s="128">
        <f>IF(C4+E4&lt;8,'가이드&amp;차량'!C47, IF(C4+E4&lt;=14,'가이드&amp;차량'!C39,'가이드&amp;차량'!C23))</f>
        <v>630</v>
      </c>
      <c r="L22" s="90">
        <f>L10</f>
        <v>1</v>
      </c>
      <c r="M22" s="128">
        <f>'가이드&amp;차량'!C6</f>
        <v>375</v>
      </c>
      <c r="N22" s="90">
        <f>N10</f>
        <v>1</v>
      </c>
      <c r="O22" s="143">
        <f t="shared" si="0"/>
        <v>1005</v>
      </c>
      <c r="Q22" s="159" t="s">
        <v>277</v>
      </c>
    </row>
    <row r="23" spans="2:30">
      <c r="B23" s="944"/>
      <c r="C23" s="941" t="s">
        <v>583</v>
      </c>
      <c r="D23" s="942"/>
      <c r="E23" s="943"/>
      <c r="F23" s="72"/>
      <c r="G23" s="340"/>
      <c r="H23" s="341"/>
      <c r="I23" s="342"/>
      <c r="J23" s="343"/>
      <c r="K23" s="344"/>
      <c r="L23" s="345"/>
      <c r="M23" s="344"/>
      <c r="N23" s="345"/>
      <c r="O23" s="144">
        <f t="shared" si="0"/>
        <v>0</v>
      </c>
      <c r="Q23" s="159"/>
    </row>
    <row r="24" spans="2:30">
      <c r="B24" s="888"/>
      <c r="C24" s="899" t="s">
        <v>280</v>
      </c>
      <c r="D24" s="900"/>
      <c r="E24" s="901"/>
      <c r="F24" s="72"/>
      <c r="G24" s="101">
        <f>일정!E3</f>
        <v>75.3</v>
      </c>
      <c r="H24" s="113">
        <f>$C$4+$E$4</f>
        <v>30</v>
      </c>
      <c r="I24" s="123"/>
      <c r="J24" s="110"/>
      <c r="K24" s="123"/>
      <c r="L24" s="91"/>
      <c r="M24" s="123"/>
      <c r="N24" s="91"/>
      <c r="O24" s="144">
        <f t="shared" si="0"/>
        <v>2259</v>
      </c>
      <c r="Q24" s="7"/>
    </row>
    <row r="25" spans="2:30">
      <c r="B25" s="888"/>
      <c r="C25" s="902" t="s">
        <v>281</v>
      </c>
      <c r="D25" s="903"/>
      <c r="E25" s="904"/>
      <c r="F25" s="72"/>
      <c r="G25" s="99"/>
      <c r="H25" s="110"/>
      <c r="I25" s="122">
        <v>20</v>
      </c>
      <c r="J25" s="113">
        <f>$C$4+$E$4</f>
        <v>30</v>
      </c>
      <c r="K25" s="123"/>
      <c r="L25" s="91"/>
      <c r="M25" s="102"/>
      <c r="N25" s="91"/>
      <c r="O25" s="146">
        <f t="shared" si="0"/>
        <v>600</v>
      </c>
      <c r="Q25" s="7"/>
    </row>
    <row r="26" spans="2:30">
      <c r="B26" s="888"/>
      <c r="C26" s="941" t="s">
        <v>584</v>
      </c>
      <c r="D26" s="942"/>
      <c r="E26" s="943"/>
      <c r="F26" s="72"/>
      <c r="G26" s="99"/>
      <c r="H26" s="110"/>
      <c r="I26" s="102"/>
      <c r="J26" s="115"/>
      <c r="K26" s="123"/>
      <c r="L26" s="91"/>
      <c r="M26" s="102"/>
      <c r="N26" s="91"/>
      <c r="O26" s="146">
        <f t="shared" si="0"/>
        <v>0</v>
      </c>
      <c r="Q26" s="7"/>
    </row>
    <row r="27" spans="2:30">
      <c r="B27" s="888"/>
      <c r="C27" s="902" t="s">
        <v>589</v>
      </c>
      <c r="D27" s="903"/>
      <c r="E27" s="904"/>
      <c r="F27" s="72"/>
      <c r="G27" s="99"/>
      <c r="H27" s="110"/>
      <c r="I27" s="122">
        <f>식사!E38</f>
        <v>20</v>
      </c>
      <c r="J27" s="113">
        <f>$C$4+$E$4</f>
        <v>30</v>
      </c>
      <c r="K27" s="123"/>
      <c r="L27" s="91"/>
      <c r="M27" s="123"/>
      <c r="N27" s="91"/>
      <c r="O27" s="146">
        <f t="shared" si="0"/>
        <v>600</v>
      </c>
      <c r="Q27" s="7"/>
    </row>
    <row r="28" spans="2:30">
      <c r="B28" s="889"/>
      <c r="C28" s="879" t="s">
        <v>619</v>
      </c>
      <c r="D28" s="880"/>
      <c r="E28" s="881"/>
      <c r="F28" s="72"/>
      <c r="G28" s="167" t="str">
        <f>일정!E13</f>
        <v>11</v>
      </c>
      <c r="H28" s="113">
        <f>$C$4+$E$4</f>
        <v>30</v>
      </c>
      <c r="I28" s="163"/>
      <c r="J28" s="164"/>
      <c r="K28" s="161"/>
      <c r="L28" s="138"/>
      <c r="M28" s="161"/>
      <c r="N28" s="138"/>
      <c r="O28" s="146">
        <f t="shared" si="0"/>
        <v>330</v>
      </c>
      <c r="Q28" s="7"/>
    </row>
    <row r="29" spans="2:30" ht="18" thickBot="1">
      <c r="B29" s="866"/>
      <c r="C29" s="917" t="s">
        <v>1001</v>
      </c>
      <c r="D29" s="918"/>
      <c r="E29" s="919"/>
      <c r="F29" s="72"/>
      <c r="G29" s="100"/>
      <c r="H29" s="111"/>
      <c r="I29" s="124"/>
      <c r="J29" s="126"/>
      <c r="K29" s="129"/>
      <c r="L29" s="137"/>
      <c r="M29" s="124"/>
      <c r="N29" s="137"/>
      <c r="O29" s="147">
        <f t="shared" si="0"/>
        <v>0</v>
      </c>
      <c r="Q29" s="7"/>
    </row>
    <row r="30" spans="2:30">
      <c r="B30" s="864" t="str">
        <f>TEXT(C5+3,"m월 d일 aaaa")</f>
        <v>3월 19일 수요일</v>
      </c>
      <c r="C30" s="867" t="s">
        <v>282</v>
      </c>
      <c r="D30" s="868"/>
      <c r="E30" s="869"/>
      <c r="F30" s="72"/>
      <c r="G30" s="98"/>
      <c r="H30" s="112"/>
      <c r="I30" s="119"/>
      <c r="J30" s="109"/>
      <c r="K30" s="128">
        <f>IF(C4+E4&lt;8,'가이드&amp;차량'!C47, IF(C4+E4&lt;=14,'가이드&amp;차량'!C39,'가이드&amp;차량'!C23))</f>
        <v>630</v>
      </c>
      <c r="L30" s="90">
        <f>L10</f>
        <v>1</v>
      </c>
      <c r="M30" s="128">
        <f>'가이드&amp;차량'!C6+'가이드&amp;차량'!C3</f>
        <v>525</v>
      </c>
      <c r="N30" s="90">
        <f>N10</f>
        <v>1</v>
      </c>
      <c r="O30" s="143">
        <f t="shared" si="0"/>
        <v>1155</v>
      </c>
      <c r="Q30" s="159" t="s">
        <v>278</v>
      </c>
    </row>
    <row r="31" spans="2:30">
      <c r="B31" s="944"/>
      <c r="C31" s="879" t="s">
        <v>304</v>
      </c>
      <c r="D31" s="880"/>
      <c r="E31" s="881"/>
      <c r="F31" s="72"/>
      <c r="G31" s="103">
        <f>일정!E39</f>
        <v>28.5</v>
      </c>
      <c r="H31" s="113">
        <f>$C$4+$E$4</f>
        <v>30</v>
      </c>
      <c r="I31" s="102"/>
      <c r="J31" s="115"/>
      <c r="K31" s="123"/>
      <c r="L31" s="91"/>
      <c r="M31" s="123"/>
      <c r="N31" s="91"/>
      <c r="O31" s="144">
        <f>(G31*H31)+(I31*J31)+(K31*L31)+(M31*N31)</f>
        <v>855</v>
      </c>
    </row>
    <row r="32" spans="2:30">
      <c r="B32" s="888"/>
      <c r="C32" s="902" t="s">
        <v>559</v>
      </c>
      <c r="D32" s="903"/>
      <c r="E32" s="904"/>
      <c r="F32" s="72"/>
      <c r="G32" s="99"/>
      <c r="H32" s="114"/>
      <c r="I32" s="122">
        <f>식사!E19</f>
        <v>17</v>
      </c>
      <c r="J32" s="113">
        <f>$C$4+$E$4</f>
        <v>30</v>
      </c>
      <c r="K32" s="120"/>
      <c r="L32" s="91"/>
      <c r="M32" s="120"/>
      <c r="N32" s="91"/>
      <c r="O32" s="144">
        <f t="shared" si="0"/>
        <v>510</v>
      </c>
    </row>
    <row r="33" spans="2:21">
      <c r="B33" s="888"/>
      <c r="C33" s="907" t="s">
        <v>565</v>
      </c>
      <c r="D33" s="908"/>
      <c r="E33" s="909"/>
      <c r="F33" s="72"/>
      <c r="G33" s="99"/>
      <c r="H33" s="114"/>
      <c r="I33" s="102"/>
      <c r="J33" s="115"/>
      <c r="K33" s="120"/>
      <c r="L33" s="91"/>
      <c r="M33" s="120"/>
      <c r="N33" s="91"/>
      <c r="O33" s="144">
        <f t="shared" si="0"/>
        <v>0</v>
      </c>
    </row>
    <row r="34" spans="2:21">
      <c r="B34" s="888"/>
      <c r="C34" s="876" t="s">
        <v>586</v>
      </c>
      <c r="D34" s="877"/>
      <c r="E34" s="878"/>
      <c r="F34" s="72"/>
      <c r="G34" s="99"/>
      <c r="H34" s="114"/>
      <c r="I34" s="122">
        <f>식사!E33</f>
        <v>10</v>
      </c>
      <c r="J34" s="113">
        <f>$C$4+$E$4</f>
        <v>30</v>
      </c>
      <c r="K34" s="120"/>
      <c r="L34" s="91"/>
      <c r="M34" s="120"/>
      <c r="N34" s="91"/>
      <c r="O34" s="144">
        <f t="shared" si="0"/>
        <v>300</v>
      </c>
    </row>
    <row r="35" spans="2:21">
      <c r="B35" s="888"/>
      <c r="C35" s="876" t="s">
        <v>1331</v>
      </c>
      <c r="D35" s="877"/>
      <c r="E35" s="878"/>
      <c r="F35" s="72"/>
      <c r="G35" s="104"/>
      <c r="H35" s="116"/>
      <c r="I35" s="122">
        <f>식사!E7</f>
        <v>18</v>
      </c>
      <c r="J35" s="113">
        <f>$C$4+$E$4</f>
        <v>30</v>
      </c>
      <c r="K35" s="130"/>
      <c r="L35" s="138"/>
      <c r="M35" s="130"/>
      <c r="N35" s="138"/>
      <c r="O35" s="144">
        <f t="shared" si="0"/>
        <v>540</v>
      </c>
    </row>
    <row r="36" spans="2:21">
      <c r="B36" s="889"/>
      <c r="C36" s="910" t="s">
        <v>279</v>
      </c>
      <c r="D36" s="911"/>
      <c r="E36" s="912"/>
      <c r="F36" s="72"/>
      <c r="G36" s="101">
        <v>28</v>
      </c>
      <c r="H36" s="113">
        <f>$C$4+$E$4</f>
        <v>30</v>
      </c>
      <c r="I36" s="102"/>
      <c r="J36" s="115"/>
      <c r="K36" s="120"/>
      <c r="L36" s="91"/>
      <c r="M36" s="120"/>
      <c r="N36" s="91"/>
      <c r="O36" s="144">
        <f t="shared" si="0"/>
        <v>840</v>
      </c>
      <c r="Q36" s="7"/>
    </row>
    <row r="37" spans="2:21" ht="18" thickBot="1">
      <c r="B37" s="866"/>
      <c r="C37" s="870" t="s">
        <v>1207</v>
      </c>
      <c r="D37" s="871"/>
      <c r="E37" s="500">
        <f>상품리스트!I6</f>
        <v>0</v>
      </c>
      <c r="F37" s="34"/>
      <c r="G37" s="105"/>
      <c r="H37" s="117"/>
      <c r="I37" s="124"/>
      <c r="J37" s="126"/>
      <c r="K37" s="131"/>
      <c r="L37" s="139"/>
      <c r="M37" s="131"/>
      <c r="N37" s="139"/>
      <c r="O37" s="149">
        <f t="shared" si="0"/>
        <v>0</v>
      </c>
      <c r="P37" s="34"/>
      <c r="Q37" s="34"/>
      <c r="R37" s="34"/>
      <c r="S37" s="34"/>
      <c r="T37" s="34"/>
      <c r="U37" s="34"/>
    </row>
    <row r="38" spans="2:21" ht="18" thickBot="1">
      <c r="B38" s="72"/>
      <c r="C38" s="72"/>
      <c r="D38" s="72"/>
      <c r="E38" s="72"/>
      <c r="F38" s="72"/>
      <c r="G38" s="72"/>
      <c r="H38" s="72"/>
      <c r="K38" s="132">
        <f>SUM(K10:K37)</f>
        <v>2170</v>
      </c>
      <c r="L38" s="72"/>
      <c r="M38" s="132">
        <f>SUM(M10:M37)</f>
        <v>1595</v>
      </c>
      <c r="N38" s="72"/>
      <c r="O38" s="150"/>
      <c r="P38" s="156"/>
    </row>
    <row r="39" spans="2:21">
      <c r="B39" s="872" t="s">
        <v>246</v>
      </c>
      <c r="C39" s="873" t="s">
        <v>567</v>
      </c>
      <c r="D39" s="874"/>
      <c r="E39" s="875"/>
      <c r="F39" s="34"/>
      <c r="G39" s="862">
        <f>$C$4+$E$4</f>
        <v>30</v>
      </c>
      <c r="H39" s="863"/>
      <c r="I39" s="854">
        <v>10</v>
      </c>
      <c r="J39" s="854"/>
      <c r="K39" s="855">
        <v>1</v>
      </c>
      <c r="L39" s="855"/>
      <c r="M39" s="855"/>
      <c r="N39" s="855"/>
      <c r="O39" s="151">
        <f>G39*I39*K39</f>
        <v>300</v>
      </c>
    </row>
    <row r="40" spans="2:21" ht="18" thickBot="1">
      <c r="B40" s="827"/>
      <c r="C40" s="856" t="s">
        <v>451</v>
      </c>
      <c r="D40" s="857"/>
      <c r="E40" s="858"/>
      <c r="F40" s="34"/>
      <c r="G40" s="859">
        <v>50</v>
      </c>
      <c r="H40" s="860"/>
      <c r="I40" s="860"/>
      <c r="J40" s="860"/>
      <c r="K40" s="861">
        <f>C4</f>
        <v>30</v>
      </c>
      <c r="L40" s="861"/>
      <c r="M40" s="861"/>
      <c r="N40" s="861"/>
      <c r="O40" s="152">
        <f>G40*K40</f>
        <v>1500</v>
      </c>
    </row>
    <row r="41" spans="2:21">
      <c r="O41" s="150"/>
    </row>
  </sheetData>
  <mergeCells count="60">
    <mergeCell ref="H7:K7"/>
    <mergeCell ref="J2:K2"/>
    <mergeCell ref="C10:D10"/>
    <mergeCell ref="C13:E13"/>
    <mergeCell ref="C37:D37"/>
    <mergeCell ref="C23:E23"/>
    <mergeCell ref="C27:E27"/>
    <mergeCell ref="C29:E29"/>
    <mergeCell ref="C31:E31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  <mergeCell ref="G1:G6"/>
    <mergeCell ref="C2:E2"/>
    <mergeCell ref="H2:I2"/>
    <mergeCell ref="O8:O9"/>
    <mergeCell ref="B10:B12"/>
    <mergeCell ref="C11:E11"/>
    <mergeCell ref="C12:E12"/>
    <mergeCell ref="G8:H8"/>
    <mergeCell ref="I8:J8"/>
    <mergeCell ref="K8:L8"/>
    <mergeCell ref="M8:N8"/>
    <mergeCell ref="B13:B21"/>
    <mergeCell ref="C15:E15"/>
    <mergeCell ref="C16:E16"/>
    <mergeCell ref="C19:E19"/>
    <mergeCell ref="C20:E20"/>
    <mergeCell ref="C21:E21"/>
    <mergeCell ref="C17:E17"/>
    <mergeCell ref="C14:E14"/>
    <mergeCell ref="C18:E18"/>
    <mergeCell ref="G39:H39"/>
    <mergeCell ref="I39:J39"/>
    <mergeCell ref="K39:N39"/>
    <mergeCell ref="C40:E40"/>
    <mergeCell ref="G40:J40"/>
    <mergeCell ref="K40:N40"/>
    <mergeCell ref="B22:B29"/>
    <mergeCell ref="B39:B40"/>
    <mergeCell ref="C39:E39"/>
    <mergeCell ref="B30:B37"/>
    <mergeCell ref="C30:E30"/>
    <mergeCell ref="C32:E32"/>
    <mergeCell ref="C35:E35"/>
    <mergeCell ref="C36:E36"/>
    <mergeCell ref="C26:E26"/>
    <mergeCell ref="C28:E28"/>
    <mergeCell ref="C33:E33"/>
    <mergeCell ref="C34:E34"/>
    <mergeCell ref="C24:E24"/>
    <mergeCell ref="C25:E25"/>
    <mergeCell ref="C22:E22"/>
  </mergeCells>
  <phoneticPr fontId="1" type="noConversion"/>
  <hyperlinks>
    <hyperlink ref="A1" location="상품리스트!A1" display="home" xr:uid="{2529135E-2770-41C6-B0FA-17C614E13399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74B6-04D5-4CA6-B522-8A38FC4453AC}">
  <dimension ref="A1:AD41"/>
  <sheetViews>
    <sheetView topLeftCell="A6" workbookViewId="0">
      <selection activeCell="J35" sqref="J35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36</v>
      </c>
      <c r="J1" s="125" t="s">
        <v>273</v>
      </c>
      <c r="K1" s="127">
        <v>1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1035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Aloft Novena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180</v>
      </c>
      <c r="M2" s="140">
        <f>$I$1+$K$1</f>
        <v>37</v>
      </c>
      <c r="N2" s="106">
        <f>L2*M2</f>
        <v>6660</v>
      </c>
      <c r="O2" s="929">
        <f>SUM(N2:N6)</f>
        <v>19980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918</v>
      </c>
      <c r="AC2" s="10">
        <v>180</v>
      </c>
      <c r="AD2" s="10">
        <v>180</v>
      </c>
    </row>
    <row r="3" spans="1:30" ht="28">
      <c r="B3" s="74" t="s">
        <v>239</v>
      </c>
      <c r="C3" s="938" t="s">
        <v>1037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Aloft Novena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180</v>
      </c>
      <c r="M3" s="140">
        <f>$I$1+$K$1</f>
        <v>37</v>
      </c>
      <c r="N3" s="106">
        <f>L3*M3</f>
        <v>6660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72</v>
      </c>
      <c r="D4" s="84" t="s">
        <v>253</v>
      </c>
      <c r="E4" s="92">
        <v>1</v>
      </c>
      <c r="F4" s="72"/>
      <c r="G4" s="921"/>
      <c r="H4" s="925">
        <f>H3+1</f>
        <v>45734</v>
      </c>
      <c r="I4" s="926"/>
      <c r="J4" s="927" t="str">
        <f>J2</f>
        <v>Aloft Novena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180</v>
      </c>
      <c r="M4" s="141">
        <f>$I$1+$K$1</f>
        <v>37</v>
      </c>
      <c r="N4" s="106">
        <f>L4*M4</f>
        <v>6660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/>
      <c r="I5" s="926"/>
      <c r="J5" s="939"/>
      <c r="K5" s="940"/>
      <c r="L5" s="135"/>
      <c r="M5" s="140"/>
      <c r="N5" s="106"/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(SUM(O10:O41)+O2)/C4+R6+T6</f>
        <v>716.69861111111118</v>
      </c>
      <c r="D6" s="86" t="s">
        <v>254</v>
      </c>
      <c r="E6" s="94">
        <f>C6*$E$1</f>
        <v>788368.47222222225</v>
      </c>
      <c r="F6" s="72"/>
      <c r="G6" s="922"/>
      <c r="H6" s="925"/>
      <c r="I6" s="926"/>
      <c r="J6" s="935"/>
      <c r="K6" s="935"/>
      <c r="L6" s="136"/>
      <c r="M6" s="89"/>
      <c r="N6" s="107"/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0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5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67" t="s">
        <v>960</v>
      </c>
      <c r="D10" s="916"/>
      <c r="E10" s="499">
        <v>3.125E-2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280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430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7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630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1005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865"/>
      <c r="C14" s="879" t="s">
        <v>1202</v>
      </c>
      <c r="D14" s="880"/>
      <c r="E14" s="881"/>
      <c r="F14" s="72"/>
      <c r="G14" s="102"/>
      <c r="H14" s="115"/>
      <c r="I14" s="123"/>
      <c r="J14" s="110"/>
      <c r="K14" s="123"/>
      <c r="L14" s="91"/>
      <c r="M14" s="665">
        <v>170</v>
      </c>
      <c r="N14" s="91">
        <v>2</v>
      </c>
      <c r="O14" s="144">
        <f t="shared" si="0"/>
        <v>340</v>
      </c>
      <c r="Q14" s="7"/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865"/>
      <c r="C15" s="902" t="s">
        <v>281</v>
      </c>
      <c r="D15" s="903"/>
      <c r="E15" s="904"/>
      <c r="F15" s="72"/>
      <c r="G15" s="99"/>
      <c r="H15" s="114"/>
      <c r="I15" s="122">
        <v>20</v>
      </c>
      <c r="J15" s="113">
        <f>$C$4+$E$4</f>
        <v>73</v>
      </c>
      <c r="K15" s="120"/>
      <c r="L15" s="91"/>
      <c r="M15" s="120"/>
      <c r="N15" s="91"/>
      <c r="O15" s="144">
        <f t="shared" si="0"/>
        <v>1460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922</v>
      </c>
      <c r="AC15" s="10">
        <v>185</v>
      </c>
      <c r="AD15" s="10">
        <v>185</v>
      </c>
    </row>
    <row r="16" spans="1:30">
      <c r="B16" s="865"/>
      <c r="C16" s="949" t="s">
        <v>579</v>
      </c>
      <c r="D16" s="950"/>
      <c r="E16" s="951"/>
      <c r="F16" s="72"/>
      <c r="G16" s="102"/>
      <c r="H16" s="115"/>
      <c r="I16" s="123"/>
      <c r="J16" s="110"/>
      <c r="K16" s="123"/>
      <c r="L16" s="91"/>
      <c r="M16" s="123"/>
      <c r="N16" s="91"/>
      <c r="O16" s="144">
        <f t="shared" si="0"/>
        <v>0</v>
      </c>
      <c r="Q16" s="7"/>
      <c r="AB16" s="496" t="s">
        <v>726</v>
      </c>
      <c r="AC16" s="10">
        <v>185</v>
      </c>
      <c r="AD16" s="10">
        <v>185</v>
      </c>
    </row>
    <row r="17" spans="2:30">
      <c r="B17" s="865"/>
      <c r="C17" s="890" t="s">
        <v>581</v>
      </c>
      <c r="D17" s="891"/>
      <c r="E17" s="892"/>
      <c r="F17" s="72"/>
      <c r="G17" s="102"/>
      <c r="H17" s="115"/>
      <c r="I17" s="120"/>
      <c r="J17" s="110"/>
      <c r="K17" s="123"/>
      <c r="L17" s="91"/>
      <c r="M17" s="123"/>
      <c r="N17" s="91"/>
      <c r="O17" s="144">
        <f t="shared" si="0"/>
        <v>0</v>
      </c>
      <c r="Q17" s="7"/>
      <c r="AB17" s="496" t="s">
        <v>931</v>
      </c>
      <c r="AC17" s="10">
        <v>155</v>
      </c>
      <c r="AD17" s="10">
        <v>155</v>
      </c>
    </row>
    <row r="18" spans="2:30">
      <c r="B18" s="865"/>
      <c r="C18" s="879" t="str">
        <f>일정!C27</f>
        <v>가든스바이더베이 2돔 ( 쥬랴기 )</v>
      </c>
      <c r="D18" s="891"/>
      <c r="E18" s="892"/>
      <c r="F18" s="72"/>
      <c r="G18" s="101">
        <f>일정!E27</f>
        <v>28.3</v>
      </c>
      <c r="H18" s="113">
        <f>$C$4+$E$4</f>
        <v>73</v>
      </c>
      <c r="I18" s="120"/>
      <c r="J18" s="110"/>
      <c r="K18" s="123"/>
      <c r="L18" s="91"/>
      <c r="M18" s="123"/>
      <c r="N18" s="91"/>
      <c r="O18" s="144">
        <f t="shared" si="0"/>
        <v>2065.9</v>
      </c>
      <c r="Q18" s="7"/>
      <c r="AB18" s="496" t="s">
        <v>923</v>
      </c>
      <c r="AC18" s="10">
        <v>185</v>
      </c>
      <c r="AD18" s="10">
        <v>185</v>
      </c>
    </row>
    <row r="19" spans="2:30">
      <c r="B19" s="865"/>
      <c r="C19" s="876" t="s">
        <v>602</v>
      </c>
      <c r="D19" s="877"/>
      <c r="E19" s="878"/>
      <c r="F19" s="72"/>
      <c r="G19" s="99"/>
      <c r="H19" s="114"/>
      <c r="I19" s="122">
        <f>식사!E28</f>
        <v>35</v>
      </c>
      <c r="J19" s="113">
        <f>$C$4+$E$4</f>
        <v>73</v>
      </c>
      <c r="K19" s="120"/>
      <c r="L19" s="91"/>
      <c r="M19" s="120"/>
      <c r="N19" s="91"/>
      <c r="O19" s="144">
        <f t="shared" si="0"/>
        <v>2555</v>
      </c>
      <c r="Q19" s="7"/>
      <c r="AB19" s="497" t="s">
        <v>928</v>
      </c>
      <c r="AC19" s="10">
        <v>280</v>
      </c>
      <c r="AD19" s="10">
        <v>280</v>
      </c>
    </row>
    <row r="20" spans="2:30">
      <c r="B20" s="865"/>
      <c r="C20" s="890" t="s">
        <v>563</v>
      </c>
      <c r="D20" s="891"/>
      <c r="E20" s="892"/>
      <c r="F20" s="72"/>
      <c r="G20" s="102"/>
      <c r="H20" s="115"/>
      <c r="I20" s="102"/>
      <c r="J20" s="115"/>
      <c r="K20" s="123"/>
      <c r="L20" s="91"/>
      <c r="M20" s="123"/>
      <c r="N20" s="91"/>
      <c r="O20" s="144">
        <f t="shared" si="0"/>
        <v>0</v>
      </c>
      <c r="Q20" s="7"/>
      <c r="AB20" s="497" t="s">
        <v>442</v>
      </c>
      <c r="AC20" s="10">
        <v>366</v>
      </c>
      <c r="AD20" s="10">
        <v>366</v>
      </c>
    </row>
    <row r="21" spans="2:30" ht="18" thickBot="1">
      <c r="B21" s="906"/>
      <c r="C21" s="893" t="s">
        <v>1005</v>
      </c>
      <c r="D21" s="894"/>
      <c r="E21" s="895"/>
      <c r="F21" s="72"/>
      <c r="G21" s="102"/>
      <c r="H21" s="115"/>
      <c r="I21" s="123"/>
      <c r="J21" s="110"/>
      <c r="K21" s="123"/>
      <c r="L21" s="91"/>
      <c r="M21" s="123"/>
      <c r="N21" s="91"/>
      <c r="O21" s="144">
        <f t="shared" si="0"/>
        <v>0</v>
      </c>
      <c r="Q21" s="7"/>
    </row>
    <row r="22" spans="2:30">
      <c r="B22" s="864" t="str">
        <f>TEXT(C5+2,"m월 d일 aaaa")</f>
        <v>3월 18일 화요일</v>
      </c>
      <c r="C22" s="896" t="s">
        <v>240</v>
      </c>
      <c r="D22" s="897"/>
      <c r="E22" s="898"/>
      <c r="F22" s="72"/>
      <c r="G22" s="98"/>
      <c r="H22" s="112"/>
      <c r="I22" s="119"/>
      <c r="J22" s="109"/>
      <c r="K22" s="128">
        <f>IF(C4+E4&lt;8,'가이드&amp;차량'!C47, IF(C4+E4&lt;=14,'가이드&amp;차량'!C39,'가이드&amp;차량'!C23))</f>
        <v>630</v>
      </c>
      <c r="L22" s="90">
        <f>L10</f>
        <v>1</v>
      </c>
      <c r="M22" s="128">
        <f>'가이드&amp;차량'!C6</f>
        <v>375</v>
      </c>
      <c r="N22" s="90">
        <f>N10</f>
        <v>1</v>
      </c>
      <c r="O22" s="143">
        <f t="shared" si="0"/>
        <v>1005</v>
      </c>
      <c r="Q22" s="159" t="s">
        <v>277</v>
      </c>
    </row>
    <row r="23" spans="2:30">
      <c r="B23" s="944"/>
      <c r="C23" s="941" t="s">
        <v>583</v>
      </c>
      <c r="D23" s="942"/>
      <c r="E23" s="943"/>
      <c r="F23" s="72"/>
      <c r="G23" s="340"/>
      <c r="H23" s="341"/>
      <c r="I23" s="342"/>
      <c r="J23" s="343"/>
      <c r="K23" s="344"/>
      <c r="L23" s="345"/>
      <c r="M23" s="344"/>
      <c r="N23" s="345"/>
      <c r="O23" s="144">
        <f t="shared" si="0"/>
        <v>0</v>
      </c>
      <c r="Q23" s="159"/>
    </row>
    <row r="24" spans="2:30">
      <c r="B24" s="888"/>
      <c r="C24" s="899" t="s">
        <v>280</v>
      </c>
      <c r="D24" s="900"/>
      <c r="E24" s="901"/>
      <c r="F24" s="72"/>
      <c r="G24" s="101">
        <f>일정!E3</f>
        <v>75.3</v>
      </c>
      <c r="H24" s="113">
        <f>$C$4+$E$4</f>
        <v>73</v>
      </c>
      <c r="I24" s="123"/>
      <c r="J24" s="110"/>
      <c r="K24" s="123"/>
      <c r="L24" s="91"/>
      <c r="M24" s="123"/>
      <c r="N24" s="91"/>
      <c r="O24" s="144">
        <f t="shared" si="0"/>
        <v>5496.9</v>
      </c>
      <c r="Q24" s="7"/>
    </row>
    <row r="25" spans="2:30">
      <c r="B25" s="888"/>
      <c r="C25" s="902" t="s">
        <v>281</v>
      </c>
      <c r="D25" s="903"/>
      <c r="E25" s="904"/>
      <c r="F25" s="72"/>
      <c r="G25" s="99"/>
      <c r="H25" s="110"/>
      <c r="I25" s="122">
        <v>20</v>
      </c>
      <c r="J25" s="113">
        <f>$C$4+$E$4</f>
        <v>73</v>
      </c>
      <c r="K25" s="123"/>
      <c r="L25" s="91"/>
      <c r="M25" s="102"/>
      <c r="N25" s="91"/>
      <c r="O25" s="146">
        <f t="shared" si="0"/>
        <v>1460</v>
      </c>
      <c r="Q25" s="7"/>
    </row>
    <row r="26" spans="2:30">
      <c r="B26" s="888"/>
      <c r="C26" s="941" t="s">
        <v>584</v>
      </c>
      <c r="D26" s="942"/>
      <c r="E26" s="943"/>
      <c r="F26" s="72"/>
      <c r="G26" s="99"/>
      <c r="H26" s="110"/>
      <c r="I26" s="102"/>
      <c r="J26" s="115"/>
      <c r="K26" s="123"/>
      <c r="L26" s="91"/>
      <c r="M26" s="102"/>
      <c r="N26" s="91"/>
      <c r="O26" s="146">
        <f t="shared" si="0"/>
        <v>0</v>
      </c>
      <c r="Q26" s="7"/>
    </row>
    <row r="27" spans="2:30">
      <c r="B27" s="888"/>
      <c r="C27" s="902" t="s">
        <v>587</v>
      </c>
      <c r="D27" s="903"/>
      <c r="E27" s="904"/>
      <c r="F27" s="72"/>
      <c r="G27" s="99"/>
      <c r="H27" s="110"/>
      <c r="I27" s="122">
        <f>식사!E16</f>
        <v>30</v>
      </c>
      <c r="J27" s="113">
        <f>$C$4+$E$4</f>
        <v>73</v>
      </c>
      <c r="K27" s="123"/>
      <c r="L27" s="91"/>
      <c r="M27" s="123"/>
      <c r="N27" s="91"/>
      <c r="O27" s="146">
        <f t="shared" si="0"/>
        <v>2190</v>
      </c>
      <c r="Q27" s="7"/>
    </row>
    <row r="28" spans="2:30">
      <c r="B28" s="889"/>
      <c r="C28" s="890" t="s">
        <v>585</v>
      </c>
      <c r="D28" s="891"/>
      <c r="E28" s="892"/>
      <c r="F28" s="72"/>
      <c r="G28" s="99"/>
      <c r="H28" s="110"/>
      <c r="I28" s="163"/>
      <c r="J28" s="164"/>
      <c r="K28" s="161"/>
      <c r="L28" s="138"/>
      <c r="M28" s="161"/>
      <c r="N28" s="138"/>
      <c r="O28" s="146">
        <f t="shared" si="0"/>
        <v>0</v>
      </c>
      <c r="Q28" s="7"/>
    </row>
    <row r="29" spans="2:30" ht="18" thickBot="1">
      <c r="B29" s="866"/>
      <c r="C29" s="917" t="s">
        <v>1001</v>
      </c>
      <c r="D29" s="918"/>
      <c r="E29" s="919"/>
      <c r="F29" s="72"/>
      <c r="G29" s="100"/>
      <c r="H29" s="111"/>
      <c r="I29" s="124"/>
      <c r="J29" s="126"/>
      <c r="K29" s="129"/>
      <c r="L29" s="137"/>
      <c r="M29" s="124"/>
      <c r="N29" s="137"/>
      <c r="O29" s="147">
        <f t="shared" si="0"/>
        <v>0</v>
      </c>
      <c r="Q29" s="7"/>
    </row>
    <row r="30" spans="2:30">
      <c r="B30" s="864" t="str">
        <f>TEXT(C5+3,"m월 d일 aaaa")</f>
        <v>3월 19일 수요일</v>
      </c>
      <c r="C30" s="867" t="s">
        <v>282</v>
      </c>
      <c r="D30" s="868"/>
      <c r="E30" s="869"/>
      <c r="F30" s="72"/>
      <c r="G30" s="98"/>
      <c r="H30" s="112"/>
      <c r="I30" s="119"/>
      <c r="J30" s="109"/>
      <c r="K30" s="128">
        <f>IF(C4+E4&lt;8,'가이드&amp;차량'!C47, IF(C4+E4&lt;=14,'가이드&amp;차량'!C39,'가이드&amp;차량'!C23))</f>
        <v>630</v>
      </c>
      <c r="L30" s="90">
        <f>L10</f>
        <v>1</v>
      </c>
      <c r="M30" s="128">
        <f>'가이드&amp;차량'!C6+'가이드&amp;차량'!C3</f>
        <v>525</v>
      </c>
      <c r="N30" s="90">
        <f>N10</f>
        <v>1</v>
      </c>
      <c r="O30" s="143">
        <f t="shared" si="0"/>
        <v>1155</v>
      </c>
      <c r="Q30" s="159" t="s">
        <v>278</v>
      </c>
    </row>
    <row r="31" spans="2:30">
      <c r="B31" s="944"/>
      <c r="C31" s="879" t="s">
        <v>304</v>
      </c>
      <c r="D31" s="880"/>
      <c r="E31" s="881"/>
      <c r="F31" s="72"/>
      <c r="G31" s="103">
        <f>일정!E39</f>
        <v>28.5</v>
      </c>
      <c r="H31" s="113">
        <f>$C$4+$E$4</f>
        <v>73</v>
      </c>
      <c r="I31" s="102"/>
      <c r="J31" s="115"/>
      <c r="K31" s="123"/>
      <c r="L31" s="91"/>
      <c r="M31" s="123"/>
      <c r="N31" s="91"/>
      <c r="O31" s="144">
        <f t="shared" si="0"/>
        <v>2080.5</v>
      </c>
    </row>
    <row r="32" spans="2:30">
      <c r="B32" s="888"/>
      <c r="C32" s="902" t="s">
        <v>559</v>
      </c>
      <c r="D32" s="903"/>
      <c r="E32" s="904"/>
      <c r="F32" s="72"/>
      <c r="G32" s="99"/>
      <c r="H32" s="114"/>
      <c r="I32" s="122">
        <f>식사!E19</f>
        <v>17</v>
      </c>
      <c r="J32" s="113">
        <f>$C$4+$E$4</f>
        <v>73</v>
      </c>
      <c r="K32" s="120"/>
      <c r="L32" s="91"/>
      <c r="M32" s="120"/>
      <c r="N32" s="91"/>
      <c r="O32" s="144">
        <f t="shared" si="0"/>
        <v>1241</v>
      </c>
    </row>
    <row r="33" spans="2:21">
      <c r="B33" s="888"/>
      <c r="C33" s="907" t="s">
        <v>565</v>
      </c>
      <c r="D33" s="908"/>
      <c r="E33" s="909"/>
      <c r="F33" s="72"/>
      <c r="G33" s="99"/>
      <c r="H33" s="114"/>
      <c r="I33" s="102"/>
      <c r="J33" s="115"/>
      <c r="K33" s="120"/>
      <c r="L33" s="91"/>
      <c r="M33" s="120"/>
      <c r="N33" s="91"/>
      <c r="O33" s="144">
        <f t="shared" si="0"/>
        <v>0</v>
      </c>
    </row>
    <row r="34" spans="2:21">
      <c r="B34" s="888"/>
      <c r="C34" s="955" t="s">
        <v>586</v>
      </c>
      <c r="D34" s="956"/>
      <c r="E34" s="957"/>
      <c r="F34" s="72"/>
      <c r="G34" s="99"/>
      <c r="H34" s="114"/>
      <c r="I34" s="122">
        <f>식사!E33</f>
        <v>10</v>
      </c>
      <c r="J34" s="113">
        <f>$C$4+$E$4</f>
        <v>73</v>
      </c>
      <c r="K34" s="120"/>
      <c r="L34" s="91"/>
      <c r="M34" s="120"/>
      <c r="N34" s="91"/>
      <c r="O34" s="144">
        <f t="shared" si="0"/>
        <v>730</v>
      </c>
    </row>
    <row r="35" spans="2:21">
      <c r="B35" s="888"/>
      <c r="C35" s="876" t="s">
        <v>1329</v>
      </c>
      <c r="D35" s="877"/>
      <c r="E35" s="878"/>
      <c r="F35" s="72"/>
      <c r="G35" s="104"/>
      <c r="H35" s="116"/>
      <c r="I35" s="122">
        <f>식사!E7</f>
        <v>18</v>
      </c>
      <c r="J35" s="113">
        <f>$C$4+$E$4</f>
        <v>73</v>
      </c>
      <c r="K35" s="130"/>
      <c r="L35" s="138"/>
      <c r="M35" s="130"/>
      <c r="N35" s="138"/>
      <c r="O35" s="144">
        <f t="shared" si="0"/>
        <v>1314</v>
      </c>
    </row>
    <row r="36" spans="2:21">
      <c r="B36" s="889"/>
      <c r="C36" s="910" t="s">
        <v>279</v>
      </c>
      <c r="D36" s="911"/>
      <c r="E36" s="912"/>
      <c r="F36" s="72"/>
      <c r="G36" s="101">
        <v>28</v>
      </c>
      <c r="H36" s="113">
        <f>$C$4+$E$4</f>
        <v>73</v>
      </c>
      <c r="I36" s="102"/>
      <c r="J36" s="115"/>
      <c r="K36" s="120"/>
      <c r="L36" s="91"/>
      <c r="M36" s="120"/>
      <c r="N36" s="91"/>
      <c r="O36" s="144">
        <f t="shared" si="0"/>
        <v>2044</v>
      </c>
      <c r="Q36" s="7"/>
    </row>
    <row r="37" spans="2:21" ht="18" thickBot="1">
      <c r="B37" s="866"/>
      <c r="C37" s="870" t="s">
        <v>1207</v>
      </c>
      <c r="D37" s="871"/>
      <c r="E37" s="500">
        <f>상품리스트!I6</f>
        <v>0</v>
      </c>
      <c r="F37" s="34"/>
      <c r="G37" s="105"/>
      <c r="H37" s="117"/>
      <c r="I37" s="124"/>
      <c r="J37" s="126"/>
      <c r="K37" s="131"/>
      <c r="L37" s="139"/>
      <c r="M37" s="131"/>
      <c r="N37" s="139"/>
      <c r="O37" s="149">
        <f t="shared" si="0"/>
        <v>0</v>
      </c>
      <c r="P37" s="34"/>
      <c r="Q37" s="34"/>
      <c r="R37" s="34"/>
      <c r="S37" s="34"/>
      <c r="T37" s="34"/>
      <c r="U37" s="34"/>
    </row>
    <row r="38" spans="2:21" ht="18" thickBot="1">
      <c r="B38" s="72"/>
      <c r="C38" s="72"/>
      <c r="D38" s="72"/>
      <c r="E38" s="72"/>
      <c r="F38" s="72"/>
      <c r="G38" s="72"/>
      <c r="H38" s="72"/>
      <c r="K38" s="132">
        <f>SUM(K10:K37)</f>
        <v>2170</v>
      </c>
      <c r="L38" s="72"/>
      <c r="M38" s="132">
        <f>SUM(M10:M37)</f>
        <v>1595</v>
      </c>
      <c r="N38" s="72"/>
      <c r="O38" s="150"/>
      <c r="P38" s="156"/>
    </row>
    <row r="39" spans="2:21">
      <c r="B39" s="872" t="s">
        <v>246</v>
      </c>
      <c r="C39" s="873" t="s">
        <v>567</v>
      </c>
      <c r="D39" s="874"/>
      <c r="E39" s="875"/>
      <c r="F39" s="34"/>
      <c r="G39" s="862">
        <f>$C$4+$E$4</f>
        <v>73</v>
      </c>
      <c r="H39" s="863"/>
      <c r="I39" s="854">
        <v>10</v>
      </c>
      <c r="J39" s="854"/>
      <c r="K39" s="855">
        <v>1</v>
      </c>
      <c r="L39" s="855"/>
      <c r="M39" s="855"/>
      <c r="N39" s="855"/>
      <c r="O39" s="151">
        <f>G39*I39*K39</f>
        <v>730</v>
      </c>
    </row>
    <row r="40" spans="2:21" ht="18" thickBot="1">
      <c r="B40" s="827"/>
      <c r="C40" s="856" t="s">
        <v>451</v>
      </c>
      <c r="D40" s="857"/>
      <c r="E40" s="858"/>
      <c r="F40" s="34"/>
      <c r="G40" s="859">
        <v>50</v>
      </c>
      <c r="H40" s="860"/>
      <c r="I40" s="860"/>
      <c r="J40" s="860"/>
      <c r="K40" s="861">
        <f>C4</f>
        <v>72</v>
      </c>
      <c r="L40" s="861"/>
      <c r="M40" s="861"/>
      <c r="N40" s="861"/>
      <c r="O40" s="152">
        <f>G40*K40</f>
        <v>3600</v>
      </c>
    </row>
    <row r="41" spans="2:21">
      <c r="O41" s="150"/>
    </row>
  </sheetData>
  <mergeCells count="60">
    <mergeCell ref="B39:B40"/>
    <mergeCell ref="C39:E39"/>
    <mergeCell ref="G39:H39"/>
    <mergeCell ref="I39:J39"/>
    <mergeCell ref="K39:N39"/>
    <mergeCell ref="C40:E40"/>
    <mergeCell ref="G40:J40"/>
    <mergeCell ref="K40:N40"/>
    <mergeCell ref="B30:B37"/>
    <mergeCell ref="C30:E30"/>
    <mergeCell ref="C31:E31"/>
    <mergeCell ref="C32:E32"/>
    <mergeCell ref="C33:E33"/>
    <mergeCell ref="C34:E34"/>
    <mergeCell ref="C35:E35"/>
    <mergeCell ref="C36:E36"/>
    <mergeCell ref="C37:D37"/>
    <mergeCell ref="B22:B29"/>
    <mergeCell ref="C22:E22"/>
    <mergeCell ref="C23:E23"/>
    <mergeCell ref="C24:E24"/>
    <mergeCell ref="C25:E25"/>
    <mergeCell ref="C26:E26"/>
    <mergeCell ref="C27:E27"/>
    <mergeCell ref="C28:E28"/>
    <mergeCell ref="C29:E29"/>
    <mergeCell ref="B13:B21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H7:K7"/>
    <mergeCell ref="M8:N8"/>
    <mergeCell ref="O8:O9"/>
    <mergeCell ref="B10:B12"/>
    <mergeCell ref="C11:E11"/>
    <mergeCell ref="C12:E12"/>
    <mergeCell ref="G8:H8"/>
    <mergeCell ref="I8:J8"/>
    <mergeCell ref="K8:L8"/>
    <mergeCell ref="C10:D10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7E5C8CDA-9D9B-4024-B7B0-C8C1181DF73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321E0-FCFE-45C0-9390-6399E726F181}">
  <dimension ref="A1:AD42"/>
  <sheetViews>
    <sheetView topLeftCell="A9" workbookViewId="0">
      <selection activeCell="C34" sqref="C34:E34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8" max="28" width="28.6640625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v>13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1128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Momentus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180</v>
      </c>
      <c r="M2" s="140">
        <f>$I$1+$K$1</f>
        <v>13</v>
      </c>
      <c r="N2" s="106">
        <f>L2*M2</f>
        <v>2340</v>
      </c>
      <c r="O2" s="929">
        <f>SUM(N2:N6)</f>
        <v>7280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926</v>
      </c>
      <c r="AC2" s="10">
        <v>190</v>
      </c>
      <c r="AD2" s="10">
        <v>180</v>
      </c>
    </row>
    <row r="3" spans="1:30" ht="28">
      <c r="B3" s="74" t="s">
        <v>239</v>
      </c>
      <c r="C3" s="938" t="s">
        <v>1037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Momentus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190</v>
      </c>
      <c r="M3" s="140">
        <f>$I$1+$K$1</f>
        <v>13</v>
      </c>
      <c r="N3" s="106">
        <f>L3*M3</f>
        <v>2470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25</v>
      </c>
      <c r="D4" s="84" t="s">
        <v>253</v>
      </c>
      <c r="E4" s="92">
        <v>1</v>
      </c>
      <c r="F4" s="72"/>
      <c r="G4" s="921"/>
      <c r="H4" s="925">
        <f>H3+1</f>
        <v>45734</v>
      </c>
      <c r="I4" s="926"/>
      <c r="J4" s="927" t="str">
        <f>J2</f>
        <v>Momentus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190</v>
      </c>
      <c r="M4" s="141">
        <f>$I$1+$K$1</f>
        <v>13</v>
      </c>
      <c r="N4" s="106">
        <f>L4*M4</f>
        <v>2470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/>
      <c r="I5" s="926"/>
      <c r="J5" s="939"/>
      <c r="K5" s="940"/>
      <c r="L5" s="135"/>
      <c r="M5" s="140"/>
      <c r="N5" s="106"/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(SUM(O10:O42)+O2)/C4+R6+T6</f>
        <v>904.42399999999998</v>
      </c>
      <c r="D6" s="86" t="s">
        <v>254</v>
      </c>
      <c r="E6" s="94">
        <f>C6*$E$1</f>
        <v>994866.4</v>
      </c>
      <c r="F6" s="72"/>
      <c r="G6" s="922"/>
      <c r="H6" s="925"/>
      <c r="I6" s="926"/>
      <c r="J6" s="935"/>
      <c r="K6" s="935"/>
      <c r="L6" s="136"/>
      <c r="M6" s="89"/>
      <c r="N6" s="107"/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0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5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67" t="s">
        <v>947</v>
      </c>
      <c r="D10" s="916"/>
      <c r="E10" s="499">
        <v>0.98263888888888884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280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430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8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630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1005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865"/>
      <c r="C14" s="879" t="s">
        <v>1129</v>
      </c>
      <c r="D14" s="880"/>
      <c r="E14" s="881"/>
      <c r="F14" s="72"/>
      <c r="G14" s="101">
        <f>일정!E11</f>
        <v>20</v>
      </c>
      <c r="H14" s="113">
        <f>$C$4+$E$4</f>
        <v>26</v>
      </c>
      <c r="I14" s="123"/>
      <c r="J14" s="110"/>
      <c r="K14" s="123"/>
      <c r="L14" s="91"/>
      <c r="M14" s="102"/>
      <c r="N14" s="91"/>
      <c r="O14" s="144">
        <f t="shared" si="0"/>
        <v>520</v>
      </c>
      <c r="Q14" s="7"/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865"/>
      <c r="C15" s="955" t="s">
        <v>586</v>
      </c>
      <c r="D15" s="956"/>
      <c r="E15" s="957"/>
      <c r="F15" s="72"/>
      <c r="G15" s="102"/>
      <c r="H15" s="115"/>
      <c r="I15" s="102">
        <v>10</v>
      </c>
      <c r="J15" s="113">
        <f>$C$4+$E$4</f>
        <v>26</v>
      </c>
      <c r="K15" s="123"/>
      <c r="L15" s="91"/>
      <c r="M15" s="102"/>
      <c r="N15" s="91"/>
      <c r="O15" s="144">
        <f t="shared" si="0"/>
        <v>260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/>
      <c r="AC15" s="10"/>
      <c r="AD15" s="10"/>
    </row>
    <row r="16" spans="1:30">
      <c r="B16" s="865"/>
      <c r="C16" s="902" t="s">
        <v>281</v>
      </c>
      <c r="D16" s="903"/>
      <c r="E16" s="904"/>
      <c r="F16" s="72"/>
      <c r="G16" s="99"/>
      <c r="H16" s="114"/>
      <c r="I16" s="122">
        <v>20</v>
      </c>
      <c r="J16" s="113">
        <f>$C$4+$E$4</f>
        <v>26</v>
      </c>
      <c r="K16" s="120"/>
      <c r="L16" s="91"/>
      <c r="M16" s="120"/>
      <c r="N16" s="91"/>
      <c r="O16" s="144">
        <f t="shared" si="0"/>
        <v>520</v>
      </c>
      <c r="Q16" s="7"/>
      <c r="AB16" s="496" t="s">
        <v>922</v>
      </c>
      <c r="AC16" s="10">
        <v>185</v>
      </c>
      <c r="AD16" s="10">
        <v>185</v>
      </c>
    </row>
    <row r="17" spans="2:30">
      <c r="B17" s="865"/>
      <c r="C17" s="899" t="s">
        <v>280</v>
      </c>
      <c r="D17" s="900"/>
      <c r="E17" s="901"/>
      <c r="F17" s="72"/>
      <c r="G17" s="101">
        <f>일정!E3</f>
        <v>75.3</v>
      </c>
      <c r="H17" s="113">
        <f>$C$4+$E$4</f>
        <v>26</v>
      </c>
      <c r="I17" s="123"/>
      <c r="J17" s="110"/>
      <c r="K17" s="123"/>
      <c r="L17" s="91"/>
      <c r="M17" s="123"/>
      <c r="N17" s="91"/>
      <c r="O17" s="144">
        <f t="shared" si="0"/>
        <v>1957.8</v>
      </c>
      <c r="Q17" s="7"/>
      <c r="AB17" s="496" t="s">
        <v>726</v>
      </c>
      <c r="AC17" s="10">
        <v>185</v>
      </c>
      <c r="AD17" s="10">
        <v>185</v>
      </c>
    </row>
    <row r="18" spans="2:30">
      <c r="B18" s="865"/>
      <c r="C18" s="890" t="s">
        <v>1130</v>
      </c>
      <c r="D18" s="891"/>
      <c r="E18" s="892"/>
      <c r="F18" s="72"/>
      <c r="G18" s="102"/>
      <c r="H18" s="115"/>
      <c r="I18" s="120"/>
      <c r="J18" s="110"/>
      <c r="K18" s="123"/>
      <c r="L18" s="91"/>
      <c r="M18" s="123"/>
      <c r="N18" s="91"/>
      <c r="O18" s="144">
        <f t="shared" si="0"/>
        <v>0</v>
      </c>
      <c r="Q18" s="7"/>
      <c r="AB18" s="496" t="s">
        <v>931</v>
      </c>
      <c r="AC18" s="10">
        <v>155</v>
      </c>
      <c r="AD18" s="10">
        <v>155</v>
      </c>
    </row>
    <row r="19" spans="2:30">
      <c r="B19" s="865"/>
      <c r="C19" s="876" t="s">
        <v>1131</v>
      </c>
      <c r="D19" s="877"/>
      <c r="E19" s="878"/>
      <c r="F19" s="72"/>
      <c r="G19" s="99"/>
      <c r="H19" s="114"/>
      <c r="I19" s="122">
        <f>식사!E17</f>
        <v>21.9</v>
      </c>
      <c r="J19" s="113">
        <f>$C$4+$E$4</f>
        <v>26</v>
      </c>
      <c r="K19" s="120"/>
      <c r="L19" s="91"/>
      <c r="M19" s="120"/>
      <c r="N19" s="91"/>
      <c r="O19" s="144">
        <f t="shared" si="0"/>
        <v>569.4</v>
      </c>
      <c r="Q19" s="7"/>
      <c r="AB19" s="497" t="s">
        <v>928</v>
      </c>
      <c r="AC19" s="10">
        <v>280</v>
      </c>
      <c r="AD19" s="10">
        <v>280</v>
      </c>
    </row>
    <row r="20" spans="2:30" ht="18" thickBot="1">
      <c r="B20" s="906"/>
      <c r="C20" s="893" t="s">
        <v>1132</v>
      </c>
      <c r="D20" s="894"/>
      <c r="E20" s="895"/>
      <c r="F20" s="72"/>
      <c r="G20" s="102"/>
      <c r="H20" s="115"/>
      <c r="I20" s="123"/>
      <c r="J20" s="110"/>
      <c r="K20" s="123"/>
      <c r="L20" s="91"/>
      <c r="M20" s="123"/>
      <c r="N20" s="91"/>
      <c r="O20" s="144">
        <f t="shared" si="0"/>
        <v>0</v>
      </c>
      <c r="Q20" s="7"/>
    </row>
    <row r="21" spans="2:30">
      <c r="B21" s="864" t="str">
        <f>TEXT(C5+2,"m월 d일 aaaa")</f>
        <v>3월 18일 화요일</v>
      </c>
      <c r="C21" s="896" t="s">
        <v>240</v>
      </c>
      <c r="D21" s="897"/>
      <c r="E21" s="898"/>
      <c r="F21" s="72"/>
      <c r="G21" s="98"/>
      <c r="H21" s="112"/>
      <c r="I21" s="119"/>
      <c r="J21" s="109"/>
      <c r="K21" s="128">
        <f>IF(C4+E4&lt;8,'가이드&amp;차량'!C47, IF(C4+E4&lt;=14,'가이드&amp;차량'!C39,'가이드&amp;차량'!C23))</f>
        <v>630</v>
      </c>
      <c r="L21" s="90">
        <f>L10</f>
        <v>1</v>
      </c>
      <c r="M21" s="128">
        <f>'가이드&amp;차량'!C6</f>
        <v>375</v>
      </c>
      <c r="N21" s="90">
        <f>N10</f>
        <v>1</v>
      </c>
      <c r="O21" s="143">
        <f t="shared" si="0"/>
        <v>1005</v>
      </c>
      <c r="Q21" s="159" t="s">
        <v>277</v>
      </c>
    </row>
    <row r="22" spans="2:30">
      <c r="B22" s="944"/>
      <c r="C22" s="879" t="s">
        <v>304</v>
      </c>
      <c r="D22" s="880"/>
      <c r="E22" s="881"/>
      <c r="F22" s="72"/>
      <c r="G22" s="103">
        <f>일정!E39</f>
        <v>28.5</v>
      </c>
      <c r="H22" s="113">
        <f>$C$4+$E$4</f>
        <v>26</v>
      </c>
      <c r="I22" s="102"/>
      <c r="J22" s="115"/>
      <c r="K22" s="123"/>
      <c r="L22" s="91"/>
      <c r="M22" s="123"/>
      <c r="N22" s="91"/>
      <c r="O22" s="144">
        <f t="shared" si="0"/>
        <v>741</v>
      </c>
    </row>
    <row r="23" spans="2:30">
      <c r="B23" s="888"/>
      <c r="C23" s="902" t="s">
        <v>1133</v>
      </c>
      <c r="D23" s="903"/>
      <c r="E23" s="904"/>
      <c r="F23" s="72"/>
      <c r="G23" s="99"/>
      <c r="H23" s="110"/>
      <c r="I23" s="122">
        <f>식사!E20</f>
        <v>20</v>
      </c>
      <c r="J23" s="113">
        <f>$C$4+$E$4</f>
        <v>26</v>
      </c>
      <c r="K23" s="123"/>
      <c r="L23" s="91"/>
      <c r="M23" s="102"/>
      <c r="N23" s="91"/>
      <c r="O23" s="146">
        <f t="shared" si="0"/>
        <v>520</v>
      </c>
      <c r="Q23" s="7"/>
    </row>
    <row r="24" spans="2:30">
      <c r="B24" s="888"/>
      <c r="C24" s="941" t="s">
        <v>1134</v>
      </c>
      <c r="D24" s="942"/>
      <c r="E24" s="943"/>
      <c r="F24" s="72"/>
      <c r="G24" s="99"/>
      <c r="H24" s="110"/>
      <c r="I24" s="102"/>
      <c r="J24" s="115"/>
      <c r="K24" s="123"/>
      <c r="L24" s="91"/>
      <c r="M24" s="102"/>
      <c r="N24" s="91"/>
      <c r="O24" s="146">
        <f t="shared" si="0"/>
        <v>0</v>
      </c>
      <c r="Q24" s="7"/>
    </row>
    <row r="25" spans="2:30">
      <c r="B25" s="888"/>
      <c r="C25" s="941" t="s">
        <v>1142</v>
      </c>
      <c r="D25" s="942"/>
      <c r="E25" s="943"/>
      <c r="F25" s="72"/>
      <c r="G25" s="99"/>
      <c r="H25" s="110"/>
      <c r="I25" s="102">
        <v>5</v>
      </c>
      <c r="J25" s="113">
        <f>$C$4+$E$4</f>
        <v>26</v>
      </c>
      <c r="K25" s="123"/>
      <c r="L25" s="91"/>
      <c r="M25" s="102"/>
      <c r="N25" s="91"/>
      <c r="O25" s="146">
        <f t="shared" si="0"/>
        <v>130</v>
      </c>
      <c r="Q25" s="7"/>
    </row>
    <row r="26" spans="2:30">
      <c r="B26" s="888"/>
      <c r="C26" s="879" t="s">
        <v>1135</v>
      </c>
      <c r="D26" s="880"/>
      <c r="E26" s="881"/>
      <c r="F26" s="72"/>
      <c r="G26" s="103">
        <f>일정!E32</f>
        <v>13.3</v>
      </c>
      <c r="H26" s="113">
        <f>$C$4+$E$4</f>
        <v>26</v>
      </c>
      <c r="I26" s="102"/>
      <c r="J26" s="115"/>
      <c r="K26" s="123"/>
      <c r="L26" s="91"/>
      <c r="M26" s="123"/>
      <c r="N26" s="91"/>
      <c r="O26" s="144">
        <f t="shared" si="0"/>
        <v>345.8</v>
      </c>
    </row>
    <row r="27" spans="2:30">
      <c r="B27" s="888"/>
      <c r="C27" s="902" t="s">
        <v>651</v>
      </c>
      <c r="D27" s="903"/>
      <c r="E27" s="904"/>
      <c r="F27" s="72"/>
      <c r="G27" s="99"/>
      <c r="H27" s="110"/>
      <c r="I27" s="122">
        <f>식사!E21</f>
        <v>18</v>
      </c>
      <c r="J27" s="113">
        <f>$C$4+$E$4</f>
        <v>26</v>
      </c>
      <c r="K27" s="123"/>
      <c r="L27" s="91"/>
      <c r="M27" s="123"/>
      <c r="N27" s="91"/>
      <c r="O27" s="146">
        <f t="shared" si="0"/>
        <v>468</v>
      </c>
      <c r="Q27" s="7"/>
    </row>
    <row r="28" spans="2:30">
      <c r="B28" s="889"/>
      <c r="C28" s="890" t="s">
        <v>1136</v>
      </c>
      <c r="D28" s="891"/>
      <c r="E28" s="892"/>
      <c r="F28" s="72"/>
      <c r="G28" s="99"/>
      <c r="H28" s="110"/>
      <c r="I28" s="163"/>
      <c r="J28" s="164"/>
      <c r="K28" s="161"/>
      <c r="L28" s="138"/>
      <c r="M28" s="161"/>
      <c r="N28" s="138"/>
      <c r="O28" s="146">
        <f t="shared" si="0"/>
        <v>0</v>
      </c>
      <c r="Q28" s="7"/>
    </row>
    <row r="29" spans="2:30" ht="18" thickBot="1">
      <c r="B29" s="866"/>
      <c r="C29" s="893" t="s">
        <v>1132</v>
      </c>
      <c r="D29" s="894"/>
      <c r="E29" s="895"/>
      <c r="F29" s="72"/>
      <c r="G29" s="100"/>
      <c r="H29" s="111"/>
      <c r="I29" s="124"/>
      <c r="J29" s="126"/>
      <c r="K29" s="129"/>
      <c r="L29" s="137"/>
      <c r="M29" s="124"/>
      <c r="N29" s="137"/>
      <c r="O29" s="147">
        <f t="shared" si="0"/>
        <v>0</v>
      </c>
      <c r="Q29" s="7"/>
    </row>
    <row r="30" spans="2:30">
      <c r="B30" s="864" t="str">
        <f>TEXT(C5+3,"m월 d일 aaaa")</f>
        <v>3월 19일 수요일</v>
      </c>
      <c r="C30" s="867" t="s">
        <v>282</v>
      </c>
      <c r="D30" s="868"/>
      <c r="E30" s="869"/>
      <c r="F30" s="72"/>
      <c r="G30" s="98"/>
      <c r="H30" s="112"/>
      <c r="I30" s="119"/>
      <c r="J30" s="109"/>
      <c r="K30" s="128">
        <f>IF(C4+E4&lt;8,'가이드&amp;차량'!C47, IF(C4+E4&lt;=14,'가이드&amp;차량'!C39,'가이드&amp;차량'!C23))</f>
        <v>630</v>
      </c>
      <c r="L30" s="90">
        <f>L10</f>
        <v>1</v>
      </c>
      <c r="M30" s="128">
        <f>'가이드&amp;차량'!C6+'가이드&amp;차량'!C3</f>
        <v>525</v>
      </c>
      <c r="N30" s="90">
        <f>N10</f>
        <v>1</v>
      </c>
      <c r="O30" s="143">
        <f t="shared" si="0"/>
        <v>1155</v>
      </c>
      <c r="Q30" s="159" t="s">
        <v>278</v>
      </c>
    </row>
    <row r="31" spans="2:30">
      <c r="B31" s="944"/>
      <c r="C31" s="879" t="s">
        <v>1144</v>
      </c>
      <c r="D31" s="880"/>
      <c r="E31" s="881"/>
      <c r="F31" s="72"/>
      <c r="G31" s="99"/>
      <c r="H31" s="114"/>
      <c r="I31" s="102"/>
      <c r="J31" s="115"/>
      <c r="K31" s="123"/>
      <c r="L31" s="91"/>
      <c r="M31" s="665">
        <v>170</v>
      </c>
      <c r="N31" s="91">
        <v>2</v>
      </c>
      <c r="O31" s="144">
        <f t="shared" si="0"/>
        <v>340</v>
      </c>
    </row>
    <row r="32" spans="2:30">
      <c r="B32" s="888"/>
      <c r="C32" s="876" t="s">
        <v>1137</v>
      </c>
      <c r="D32" s="877"/>
      <c r="E32" s="878"/>
      <c r="F32" s="72"/>
      <c r="G32" s="99"/>
      <c r="H32" s="114"/>
      <c r="I32" s="122">
        <v>18</v>
      </c>
      <c r="J32" s="113">
        <f>$C$4+$E$4</f>
        <v>26</v>
      </c>
      <c r="K32" s="120"/>
      <c r="L32" s="91"/>
      <c r="M32" s="120"/>
      <c r="N32" s="91"/>
      <c r="O32" s="144">
        <f t="shared" si="0"/>
        <v>468</v>
      </c>
    </row>
    <row r="33" spans="2:21">
      <c r="B33" s="888"/>
      <c r="C33" s="899" t="s">
        <v>1138</v>
      </c>
      <c r="D33" s="900"/>
      <c r="E33" s="901"/>
      <c r="F33" s="72"/>
      <c r="G33" s="101">
        <f>일정!E35</f>
        <v>34.299999999999997</v>
      </c>
      <c r="H33" s="113">
        <f>$C$4+$E$4</f>
        <v>26</v>
      </c>
      <c r="I33" s="102"/>
      <c r="J33" s="115"/>
      <c r="K33" s="120"/>
      <c r="L33" s="91"/>
      <c r="M33" s="120"/>
      <c r="N33" s="91"/>
      <c r="O33" s="144">
        <f t="shared" si="0"/>
        <v>891.8</v>
      </c>
    </row>
    <row r="34" spans="2:21">
      <c r="B34" s="888"/>
      <c r="C34" s="879" t="str">
        <f>일정!C27</f>
        <v>가든스바이더베이 2돔 ( 쥬랴기 )</v>
      </c>
      <c r="D34" s="880"/>
      <c r="E34" s="881"/>
      <c r="F34" s="72"/>
      <c r="G34" s="103">
        <f>일정!E27</f>
        <v>28.3</v>
      </c>
      <c r="H34" s="113">
        <f>$C$4+$E$4</f>
        <v>26</v>
      </c>
      <c r="I34" s="102"/>
      <c r="J34" s="115"/>
      <c r="K34" s="123"/>
      <c r="L34" s="91"/>
      <c r="M34" s="123"/>
      <c r="N34" s="91"/>
      <c r="O34" s="144">
        <f t="shared" si="0"/>
        <v>735.80000000000007</v>
      </c>
    </row>
    <row r="35" spans="2:21">
      <c r="B35" s="888"/>
      <c r="C35" s="890" t="s">
        <v>1143</v>
      </c>
      <c r="D35" s="891"/>
      <c r="E35" s="892"/>
      <c r="F35" s="72"/>
      <c r="G35" s="99"/>
      <c r="H35" s="110"/>
      <c r="I35" s="102">
        <v>5</v>
      </c>
      <c r="J35" s="113">
        <f>$C$4+$E$4</f>
        <v>26</v>
      </c>
      <c r="K35" s="161"/>
      <c r="L35" s="138"/>
      <c r="M35" s="161"/>
      <c r="N35" s="138"/>
      <c r="O35" s="146">
        <f t="shared" si="0"/>
        <v>130</v>
      </c>
      <c r="Q35" s="7"/>
    </row>
    <row r="36" spans="2:21">
      <c r="B36" s="888"/>
      <c r="C36" s="876" t="s">
        <v>1139</v>
      </c>
      <c r="D36" s="877"/>
      <c r="E36" s="878"/>
      <c r="F36" s="72"/>
      <c r="G36" s="104"/>
      <c r="H36" s="116"/>
      <c r="I36" s="122">
        <f>식사!E3</f>
        <v>25</v>
      </c>
      <c r="J36" s="113">
        <f>$C$4+$E$4</f>
        <v>26</v>
      </c>
      <c r="K36" s="130"/>
      <c r="L36" s="138"/>
      <c r="M36" s="130"/>
      <c r="N36" s="138"/>
      <c r="O36" s="144">
        <f t="shared" si="0"/>
        <v>650</v>
      </c>
    </row>
    <row r="37" spans="2:21">
      <c r="B37" s="889"/>
      <c r="C37" s="910" t="s">
        <v>1140</v>
      </c>
      <c r="D37" s="911"/>
      <c r="E37" s="912"/>
      <c r="F37" s="72"/>
      <c r="G37" s="101">
        <v>28</v>
      </c>
      <c r="H37" s="113">
        <f>$C$4+$E$4</f>
        <v>26</v>
      </c>
      <c r="I37" s="102"/>
      <c r="J37" s="115"/>
      <c r="K37" s="120"/>
      <c r="L37" s="91"/>
      <c r="M37" s="120"/>
      <c r="N37" s="91"/>
      <c r="O37" s="144">
        <f t="shared" si="0"/>
        <v>728</v>
      </c>
      <c r="Q37" s="7"/>
    </row>
    <row r="38" spans="2:21" ht="18" thickBot="1">
      <c r="B38" s="866"/>
      <c r="C38" s="870" t="s">
        <v>1207</v>
      </c>
      <c r="D38" s="871"/>
      <c r="E38" s="500">
        <f>상품리스트!I7</f>
        <v>0</v>
      </c>
      <c r="F38" s="34"/>
      <c r="G38" s="105"/>
      <c r="H38" s="117"/>
      <c r="I38" s="124"/>
      <c r="J38" s="126"/>
      <c r="K38" s="131"/>
      <c r="L38" s="139"/>
      <c r="M38" s="131"/>
      <c r="N38" s="139"/>
      <c r="O38" s="149">
        <f t="shared" si="0"/>
        <v>0</v>
      </c>
      <c r="P38" s="34"/>
      <c r="Q38" s="34"/>
      <c r="R38" s="34"/>
      <c r="S38" s="34"/>
      <c r="T38" s="34"/>
      <c r="U38" s="34"/>
    </row>
    <row r="39" spans="2:21" ht="18" thickBot="1">
      <c r="B39" s="72"/>
      <c r="C39" s="72"/>
      <c r="D39" s="72"/>
      <c r="E39" s="72"/>
      <c r="F39" s="72"/>
      <c r="G39" s="72"/>
      <c r="H39" s="72"/>
      <c r="K39" s="132">
        <f>SUM(K10:K38)</f>
        <v>2170</v>
      </c>
      <c r="L39" s="72"/>
      <c r="M39" s="132">
        <f>SUM(M10:M38)</f>
        <v>1595</v>
      </c>
      <c r="N39" s="72"/>
      <c r="O39" s="150"/>
      <c r="P39" s="156"/>
    </row>
    <row r="40" spans="2:21">
      <c r="B40" s="872" t="s">
        <v>246</v>
      </c>
      <c r="C40" s="873" t="s">
        <v>1141</v>
      </c>
      <c r="D40" s="874"/>
      <c r="E40" s="875"/>
      <c r="F40" s="34"/>
      <c r="G40" s="862">
        <f>$C$4+$E$4</f>
        <v>26</v>
      </c>
      <c r="H40" s="863"/>
      <c r="I40" s="854">
        <v>10</v>
      </c>
      <c r="J40" s="854"/>
      <c r="K40" s="855">
        <v>1</v>
      </c>
      <c r="L40" s="855"/>
      <c r="M40" s="855"/>
      <c r="N40" s="855"/>
      <c r="O40" s="151">
        <f>G40*I40*K40</f>
        <v>260</v>
      </c>
    </row>
    <row r="41" spans="2:21">
      <c r="B41" s="827"/>
      <c r="C41" s="856" t="s">
        <v>451</v>
      </c>
      <c r="D41" s="857"/>
      <c r="E41" s="858"/>
      <c r="F41" s="34"/>
      <c r="G41" s="859">
        <v>50</v>
      </c>
      <c r="H41" s="860"/>
      <c r="I41" s="860"/>
      <c r="J41" s="860"/>
      <c r="K41" s="861">
        <f>C4</f>
        <v>25</v>
      </c>
      <c r="L41" s="861"/>
      <c r="M41" s="861"/>
      <c r="N41" s="861"/>
      <c r="O41" s="152">
        <f>G41*K41</f>
        <v>1250</v>
      </c>
    </row>
    <row r="42" spans="2:21">
      <c r="O42" s="150"/>
    </row>
  </sheetData>
  <mergeCells count="61">
    <mergeCell ref="C38:D38"/>
    <mergeCell ref="C34:E34"/>
    <mergeCell ref="C25:E25"/>
    <mergeCell ref="C15:E15"/>
    <mergeCell ref="B40:B41"/>
    <mergeCell ref="C40:E40"/>
    <mergeCell ref="B30:B38"/>
    <mergeCell ref="C30:E30"/>
    <mergeCell ref="C31:E31"/>
    <mergeCell ref="C32:E32"/>
    <mergeCell ref="C33:E33"/>
    <mergeCell ref="C35:E35"/>
    <mergeCell ref="C36:E36"/>
    <mergeCell ref="C37:E37"/>
    <mergeCell ref="B21:B29"/>
    <mergeCell ref="C29:E29"/>
    <mergeCell ref="G40:H40"/>
    <mergeCell ref="I40:J40"/>
    <mergeCell ref="K40:N40"/>
    <mergeCell ref="C41:E41"/>
    <mergeCell ref="G41:J41"/>
    <mergeCell ref="K41:N41"/>
    <mergeCell ref="C22:E22"/>
    <mergeCell ref="B13:B20"/>
    <mergeCell ref="C13:E13"/>
    <mergeCell ref="C14:E14"/>
    <mergeCell ref="C16:E16"/>
    <mergeCell ref="C17:E17"/>
    <mergeCell ref="C18:E18"/>
    <mergeCell ref="C19:E19"/>
    <mergeCell ref="C20:E20"/>
    <mergeCell ref="C21:E21"/>
    <mergeCell ref="C23:E23"/>
    <mergeCell ref="C24:E24"/>
    <mergeCell ref="C27:E27"/>
    <mergeCell ref="C28:E28"/>
    <mergeCell ref="C26:E26"/>
    <mergeCell ref="H7:K7"/>
    <mergeCell ref="M8:N8"/>
    <mergeCell ref="O8:O9"/>
    <mergeCell ref="B10:B12"/>
    <mergeCell ref="C10:D10"/>
    <mergeCell ref="C11:E11"/>
    <mergeCell ref="C12:E12"/>
    <mergeCell ref="G8:H8"/>
    <mergeCell ref="I8:J8"/>
    <mergeCell ref="K8:L8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9EA422B2-2C38-451D-8930-561B67AF0302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E936A-3E02-4630-A805-557F11907820}">
  <dimension ref="A1:AF42"/>
  <sheetViews>
    <sheetView workbookViewId="0">
      <selection activeCell="V26" sqref="V26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9" width="7.6640625" customWidth="1"/>
    <col min="10" max="10" width="9.83203125" customWidth="1"/>
    <col min="11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22.1640625" customWidth="1"/>
    <col min="23" max="24" width="8.6640625" bestFit="1" customWidth="1"/>
    <col min="25" max="25" width="20" bestFit="1" customWidth="1"/>
    <col min="26" max="26" width="7.6640625" customWidth="1"/>
    <col min="27" max="27" width="3.5" customWidth="1"/>
    <col min="28" max="28" width="19.33203125" bestFit="1" customWidth="1"/>
  </cols>
  <sheetData>
    <row r="1" spans="1:32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8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2">
      <c r="B2" s="73" t="s">
        <v>238</v>
      </c>
      <c r="C2" s="923" t="s">
        <v>1333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Mercure Stevens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195</v>
      </c>
      <c r="M2" s="140">
        <f>$I$1+$K$1</f>
        <v>8</v>
      </c>
      <c r="N2" s="106">
        <f>L2*M2</f>
        <v>1560</v>
      </c>
      <c r="O2" s="929">
        <f>SUM(N2:N6)</f>
        <v>4680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925</v>
      </c>
      <c r="AC2" s="10">
        <v>195</v>
      </c>
      <c r="AD2" s="10">
        <v>195</v>
      </c>
    </row>
    <row r="3" spans="1:32">
      <c r="B3" s="74" t="s">
        <v>239</v>
      </c>
      <c r="C3" s="938" t="s">
        <v>532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Mercure Stevens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195</v>
      </c>
      <c r="M3" s="140">
        <f>$I$1+$K$1</f>
        <v>8</v>
      </c>
      <c r="N3" s="106">
        <f>L3*M3</f>
        <v>1560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2" ht="18" thickBot="1">
      <c r="B4" s="75" t="s">
        <v>241</v>
      </c>
      <c r="C4" s="81">
        <v>16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927" t="str">
        <f>J2</f>
        <v>Mercure Stevens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195</v>
      </c>
      <c r="M4" s="141">
        <f>$I$1+$K$1</f>
        <v>8</v>
      </c>
      <c r="N4" s="106">
        <f>L4*M4</f>
        <v>1560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tr">
        <f>'25메인호텔'!F2</f>
        <v>Momentus</v>
      </c>
      <c r="AC4" s="35">
        <f>'25메인호텔'!G2</f>
        <v>190</v>
      </c>
      <c r="AD4" s="35">
        <f>'25메인호텔'!H2</f>
        <v>180</v>
      </c>
      <c r="AE4" s="34"/>
      <c r="AF4" s="34"/>
    </row>
    <row r="5" spans="1:32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>
        <f>H4+1</f>
        <v>45735</v>
      </c>
      <c r="I5" s="926"/>
      <c r="J5" s="939"/>
      <c r="K5" s="940"/>
      <c r="L5" s="135"/>
      <c r="M5" s="140"/>
      <c r="N5" s="106">
        <f>L5*M5</f>
        <v>0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tr">
        <f>'25메인호텔'!F3</f>
        <v>Aloft Novena</v>
      </c>
      <c r="AC5" s="35">
        <f>'25메인호텔'!G3</f>
        <v>180</v>
      </c>
      <c r="AD5" s="35">
        <f>'25메인호텔'!H3</f>
        <v>180</v>
      </c>
      <c r="AE5" s="34"/>
      <c r="AF5" s="34"/>
    </row>
    <row r="6" spans="1:32" ht="17.25" customHeight="1" thickBot="1">
      <c r="B6" s="77" t="s">
        <v>243</v>
      </c>
      <c r="C6" s="83">
        <f>(SUM(O10:O42)+O2)/C4+R5+T6</f>
        <v>902.78750000000002</v>
      </c>
      <c r="D6" s="86" t="s">
        <v>254</v>
      </c>
      <c r="E6" s="94">
        <f>C6*$E$1</f>
        <v>993066.25</v>
      </c>
      <c r="F6" s="72"/>
      <c r="G6" s="922"/>
      <c r="H6" s="925">
        <f>H5+1</f>
        <v>45736</v>
      </c>
      <c r="I6" s="926"/>
      <c r="J6" s="935"/>
      <c r="K6" s="935"/>
      <c r="L6" s="136"/>
      <c r="M6" s="89"/>
      <c r="N6" s="107">
        <f>L6*M6</f>
        <v>0</v>
      </c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tr">
        <f>'25메인호텔'!F4</f>
        <v>Mercure Stevens</v>
      </c>
      <c r="AC6" s="35">
        <f>'25메인호텔'!G4</f>
        <v>180</v>
      </c>
      <c r="AD6" s="35">
        <f>'25메인호텔'!H4</f>
        <v>180</v>
      </c>
      <c r="AE6" s="34"/>
      <c r="AF6" s="34"/>
    </row>
    <row r="7" spans="1:32" ht="18" thickBot="1">
      <c r="B7" s="78" t="s">
        <v>244</v>
      </c>
      <c r="C7" s="183">
        <v>2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tr">
        <f>'25메인호텔'!F5</f>
        <v>M Hotel City Centre</v>
      </c>
      <c r="AC7" s="35">
        <f>'25메인호텔'!G5</f>
        <v>230</v>
      </c>
      <c r="AD7" s="35">
        <f>'25메인호텔'!H5</f>
        <v>230</v>
      </c>
      <c r="AE7" s="34"/>
      <c r="AF7" s="34"/>
    </row>
    <row r="8" spans="1:32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tr">
        <f>'25메인호텔'!F6</f>
        <v>Concorde Hotel</v>
      </c>
      <c r="AC8" s="35">
        <f>'25메인호텔'!G6</f>
        <v>230</v>
      </c>
      <c r="AD8" s="35">
        <f>'25메인호텔'!H6</f>
        <v>230</v>
      </c>
      <c r="AE8" s="34"/>
      <c r="AF8" s="34"/>
    </row>
    <row r="9" spans="1:32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tr">
        <f>'25메인호텔'!F7</f>
        <v>Oasia Novena</v>
      </c>
      <c r="AC9" s="35">
        <f>'25메인호텔'!G7</f>
        <v>210</v>
      </c>
      <c r="AD9" s="35">
        <f>'25메인호텔'!H7</f>
        <v>210</v>
      </c>
      <c r="AE9" s="34"/>
      <c r="AF9" s="34"/>
    </row>
    <row r="10" spans="1:32">
      <c r="B10" s="905" t="str">
        <f>TEXT(C5,"m월 d일 aaaa")</f>
        <v>3월 16일 일요일</v>
      </c>
      <c r="C10" s="867" t="s">
        <v>960</v>
      </c>
      <c r="D10" s="916"/>
      <c r="E10" s="499">
        <f>상품리스트!F8</f>
        <v>0.89583333333333337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280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430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tr">
        <f>'25메인호텔'!F8</f>
        <v>Orchid Hotel</v>
      </c>
      <c r="AC10" s="35">
        <f>'25메인호텔'!G8</f>
        <v>220</v>
      </c>
      <c r="AD10" s="35">
        <f>'25메인호텔'!H8</f>
        <v>220</v>
      </c>
      <c r="AE10" s="34"/>
      <c r="AF10" s="34"/>
    </row>
    <row r="11" spans="1:32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3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tr">
        <f>'25메인호텔'!F9</f>
        <v>Amara Singapore</v>
      </c>
      <c r="AC11" s="35">
        <f>'25메인호텔'!G9</f>
        <v>230</v>
      </c>
      <c r="AD11" s="35">
        <f>'25메인호텔'!H9</f>
        <v>230</v>
      </c>
      <c r="AE11" s="34"/>
      <c r="AF11" s="34"/>
    </row>
    <row r="12" spans="1:32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tr">
        <f>'25메인호텔'!F10</f>
        <v>Orchard Hotel</v>
      </c>
      <c r="AC12" s="35">
        <f>'25메인호텔'!G10</f>
        <v>240</v>
      </c>
      <c r="AD12" s="35">
        <f>'25메인호텔'!H10</f>
        <v>240</v>
      </c>
      <c r="AE12" s="34"/>
      <c r="AF12" s="34"/>
    </row>
    <row r="13" spans="1:32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630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1005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tr">
        <f>'25메인호텔'!F11</f>
        <v>Grand Copthorne</v>
      </c>
      <c r="AC13" s="35">
        <f>'25메인호텔'!G11</f>
        <v>240</v>
      </c>
      <c r="AD13" s="35">
        <f>'25메인호텔'!H11</f>
        <v>240</v>
      </c>
      <c r="AE13" s="34"/>
      <c r="AF13" s="34"/>
    </row>
    <row r="14" spans="1:32">
      <c r="B14" s="865"/>
      <c r="C14" s="907" t="s">
        <v>322</v>
      </c>
      <c r="D14" s="900"/>
      <c r="E14" s="901"/>
      <c r="F14" s="72"/>
      <c r="G14" s="102"/>
      <c r="H14" s="115"/>
      <c r="I14" s="120"/>
      <c r="J14" s="110"/>
      <c r="K14" s="123"/>
      <c r="L14" s="91"/>
      <c r="M14" s="123"/>
      <c r="N14" s="91"/>
      <c r="O14" s="144">
        <f t="shared" si="0"/>
        <v>0</v>
      </c>
      <c r="Q14" s="7"/>
      <c r="V14" s="190"/>
      <c r="W14" s="189"/>
      <c r="X14" s="189"/>
      <c r="Y14" s="188"/>
      <c r="AB14" s="496" t="str">
        <f>'25메인호텔'!F12</f>
        <v>Mercure Tyrwhitt</v>
      </c>
      <c r="AC14" s="35">
        <f>'25메인호텔'!G12</f>
        <v>170</v>
      </c>
      <c r="AD14" s="35">
        <f>'25메인호텔'!H12</f>
        <v>170</v>
      </c>
      <c r="AE14" s="34"/>
      <c r="AF14" s="34"/>
    </row>
    <row r="15" spans="1:32">
      <c r="B15" s="865"/>
      <c r="C15" s="876" t="s">
        <v>323</v>
      </c>
      <c r="D15" s="877"/>
      <c r="E15" s="878"/>
      <c r="F15" s="72"/>
      <c r="G15" s="99"/>
      <c r="H15" s="110"/>
      <c r="I15" s="122">
        <v>45</v>
      </c>
      <c r="J15" s="113">
        <f>$C$4+$E$4</f>
        <v>16</v>
      </c>
      <c r="K15" s="120"/>
      <c r="L15" s="91"/>
      <c r="M15" s="120"/>
      <c r="N15" s="91"/>
      <c r="O15" s="144">
        <f t="shared" si="0"/>
        <v>720</v>
      </c>
      <c r="Q15" s="7"/>
      <c r="V15" s="190"/>
      <c r="W15" s="189"/>
      <c r="X15" s="189"/>
      <c r="Y15" s="188"/>
      <c r="AB15" s="496" t="str">
        <f>'25메인호텔'!F13</f>
        <v>Hotel Boss</v>
      </c>
      <c r="AC15" s="35">
        <f>'25메인호텔'!G13</f>
        <v>185</v>
      </c>
      <c r="AD15" s="35">
        <f>'25메인호텔'!H13</f>
        <v>185</v>
      </c>
      <c r="AE15" s="34"/>
      <c r="AF15" s="34"/>
    </row>
    <row r="16" spans="1:32">
      <c r="B16" s="865"/>
      <c r="C16" s="879" t="s">
        <v>783</v>
      </c>
      <c r="D16" s="891"/>
      <c r="E16" s="892"/>
      <c r="F16" s="72"/>
      <c r="G16" s="101">
        <f>일정!E38</f>
        <v>23.5</v>
      </c>
      <c r="H16" s="113">
        <f>$C$4+$E$4</f>
        <v>16</v>
      </c>
      <c r="I16" s="123"/>
      <c r="J16" s="110"/>
      <c r="K16" s="123"/>
      <c r="L16" s="91"/>
      <c r="M16" s="123"/>
      <c r="N16" s="91"/>
      <c r="O16" s="144">
        <f t="shared" si="0"/>
        <v>376</v>
      </c>
      <c r="Q16" s="7"/>
      <c r="V16" s="190" t="str">
        <f>서차지!B15</f>
        <v>National Day</v>
      </c>
      <c r="W16" s="189">
        <f>서차지!C15</f>
        <v>0</v>
      </c>
      <c r="X16" s="189">
        <f>서차지!D15</f>
        <v>0</v>
      </c>
      <c r="Y16" s="188">
        <f>서차지!E15</f>
        <v>0</v>
      </c>
      <c r="AB16" s="496" t="str">
        <f>'25메인호텔'!F14</f>
        <v>V Hotel Lavender</v>
      </c>
      <c r="AC16" s="35">
        <f>'25메인호텔'!G14</f>
        <v>185</v>
      </c>
      <c r="AD16" s="35">
        <f>'25메인호텔'!H14</f>
        <v>185</v>
      </c>
      <c r="AE16" s="34"/>
      <c r="AF16" s="34"/>
    </row>
    <row r="17" spans="2:32">
      <c r="B17" s="865"/>
      <c r="C17" s="879" t="str">
        <f>일정!C27</f>
        <v>가든스바이더베이 2돔 ( 쥬랴기 )</v>
      </c>
      <c r="D17" s="880"/>
      <c r="E17" s="881"/>
      <c r="F17" s="72"/>
      <c r="G17" s="101">
        <f>일정!E27</f>
        <v>28.3</v>
      </c>
      <c r="H17" s="113">
        <f>$C$4+$E$4</f>
        <v>16</v>
      </c>
      <c r="I17" s="123"/>
      <c r="J17" s="110"/>
      <c r="K17" s="123"/>
      <c r="L17" s="91"/>
      <c r="M17" s="123"/>
      <c r="N17" s="91"/>
      <c r="O17" s="144">
        <f t="shared" si="0"/>
        <v>452.8</v>
      </c>
      <c r="Q17" s="7"/>
      <c r="AB17" s="496" t="str">
        <f>'25메인호텔'!F16</f>
        <v xml:space="preserve">IbIs bencoolen </v>
      </c>
      <c r="AC17" s="35">
        <f>'25메인호텔'!G16</f>
        <v>185</v>
      </c>
      <c r="AD17" s="35">
        <f>'25메인호텔'!H16</f>
        <v>185</v>
      </c>
      <c r="AE17" s="34"/>
      <c r="AF17" s="34"/>
    </row>
    <row r="18" spans="2:32">
      <c r="B18" s="865"/>
      <c r="C18" s="902" t="s">
        <v>298</v>
      </c>
      <c r="D18" s="903"/>
      <c r="E18" s="904"/>
      <c r="F18" s="72"/>
      <c r="G18" s="123"/>
      <c r="H18" s="110"/>
      <c r="I18" s="122">
        <v>25</v>
      </c>
      <c r="J18" s="113">
        <f>$C$4+$E$4</f>
        <v>16</v>
      </c>
      <c r="K18" s="120"/>
      <c r="L18" s="91"/>
      <c r="M18" s="120"/>
      <c r="N18" s="91"/>
      <c r="O18" s="144">
        <f t="shared" si="0"/>
        <v>400</v>
      </c>
      <c r="Q18" s="7"/>
      <c r="AB18" s="497" t="str">
        <f>'25메인호텔'!F17</f>
        <v>Oasia Sentosa</v>
      </c>
      <c r="AC18" s="35">
        <f>'25메인호텔'!G17</f>
        <v>240</v>
      </c>
      <c r="AD18" s="35">
        <f>'25메인호텔'!H17</f>
        <v>240</v>
      </c>
      <c r="AE18" s="34"/>
      <c r="AF18" s="34"/>
    </row>
    <row r="19" spans="2:32">
      <c r="B19" s="865"/>
      <c r="C19" s="941" t="s">
        <v>325</v>
      </c>
      <c r="D19" s="911"/>
      <c r="E19" s="912"/>
      <c r="F19" s="72"/>
      <c r="G19" s="205"/>
      <c r="H19" s="115"/>
      <c r="I19" s="102"/>
      <c r="J19" s="115"/>
      <c r="K19" s="120"/>
      <c r="L19" s="91"/>
      <c r="M19" s="120"/>
      <c r="N19" s="91"/>
      <c r="O19" s="144">
        <f t="shared" si="0"/>
        <v>0</v>
      </c>
      <c r="Q19" s="7"/>
      <c r="AB19" s="497" t="str">
        <f>'25메인호텔'!F18</f>
        <v>Swissotel The stamford</v>
      </c>
      <c r="AC19" s="35">
        <f>'25메인호텔'!G18</f>
        <v>540</v>
      </c>
      <c r="AD19" s="35">
        <f>'25메인호텔'!H18</f>
        <v>540</v>
      </c>
      <c r="AE19" s="34" t="e">
        <f>'25메인호텔'!#REF!</f>
        <v>#REF!</v>
      </c>
      <c r="AF19" s="34" t="e">
        <f>'25메인호텔'!#REF!</f>
        <v>#REF!</v>
      </c>
    </row>
    <row r="20" spans="2:32" ht="18" thickBot="1">
      <c r="B20" s="906"/>
      <c r="C20" s="893" t="s">
        <v>1005</v>
      </c>
      <c r="D20" s="894"/>
      <c r="E20" s="895"/>
      <c r="F20" s="72"/>
      <c r="G20" s="102"/>
      <c r="H20" s="115"/>
      <c r="I20" s="123"/>
      <c r="J20" s="110"/>
      <c r="K20" s="123"/>
      <c r="L20" s="91"/>
      <c r="M20" s="123"/>
      <c r="N20" s="91"/>
      <c r="O20" s="144">
        <f t="shared" si="0"/>
        <v>0</v>
      </c>
      <c r="Q20" s="7"/>
    </row>
    <row r="21" spans="2:32">
      <c r="B21" s="864" t="str">
        <f>TEXT(C5+2,"m월 d일 aaaa")</f>
        <v>3월 18일 화요일</v>
      </c>
      <c r="C21" s="896" t="s">
        <v>240</v>
      </c>
      <c r="D21" s="897"/>
      <c r="E21" s="898"/>
      <c r="F21" s="72"/>
      <c r="G21" s="353"/>
      <c r="H21" s="109"/>
      <c r="I21" s="119"/>
      <c r="J21" s="109"/>
      <c r="K21" s="128">
        <f>IF(C4+E4&lt;8,'가이드&amp;차량'!C47, IF(C4+E4&lt;=14,'가이드&amp;차량'!C39,'가이드&amp;차량'!C23))</f>
        <v>630</v>
      </c>
      <c r="L21" s="90">
        <f>L10</f>
        <v>1</v>
      </c>
      <c r="M21" s="128">
        <f>'가이드&amp;차량'!C6</f>
        <v>375</v>
      </c>
      <c r="N21" s="90">
        <f>N10</f>
        <v>1</v>
      </c>
      <c r="O21" s="143">
        <f t="shared" si="0"/>
        <v>1005</v>
      </c>
      <c r="Q21" s="159" t="s">
        <v>277</v>
      </c>
    </row>
    <row r="22" spans="2:32">
      <c r="B22" s="888"/>
      <c r="C22" s="899" t="s">
        <v>329</v>
      </c>
      <c r="D22" s="883"/>
      <c r="E22" s="884"/>
      <c r="F22" s="72"/>
      <c r="G22" s="101">
        <f>일정!E40</f>
        <v>24.5</v>
      </c>
      <c r="H22" s="113">
        <f>$C$4+$E$4</f>
        <v>16</v>
      </c>
      <c r="I22" s="123"/>
      <c r="J22" s="110"/>
      <c r="K22" s="123"/>
      <c r="L22" s="91"/>
      <c r="M22" s="123"/>
      <c r="N22" s="91"/>
      <c r="O22" s="144">
        <f t="shared" si="0"/>
        <v>392</v>
      </c>
      <c r="Q22" s="7"/>
    </row>
    <row r="23" spans="2:32">
      <c r="B23" s="888"/>
      <c r="C23" s="902" t="s">
        <v>326</v>
      </c>
      <c r="D23" s="903"/>
      <c r="E23" s="904"/>
      <c r="F23" s="72"/>
      <c r="G23" s="123"/>
      <c r="H23" s="110"/>
      <c r="I23" s="122">
        <f>식사!E36</f>
        <v>20</v>
      </c>
      <c r="J23" s="113">
        <f>$C$4+$E$4</f>
        <v>16</v>
      </c>
      <c r="K23" s="123"/>
      <c r="L23" s="91"/>
      <c r="M23" s="102"/>
      <c r="N23" s="91"/>
      <c r="O23" s="146">
        <f t="shared" si="0"/>
        <v>320</v>
      </c>
      <c r="Q23" s="7"/>
    </row>
    <row r="24" spans="2:32">
      <c r="B24" s="888"/>
      <c r="C24" s="1016" t="s">
        <v>785</v>
      </c>
      <c r="D24" s="1017"/>
      <c r="E24" s="1018"/>
      <c r="F24" s="72"/>
      <c r="G24" s="102"/>
      <c r="H24" s="115"/>
      <c r="I24" s="102"/>
      <c r="J24" s="115"/>
      <c r="K24" s="123"/>
      <c r="L24" s="91"/>
      <c r="M24" s="102"/>
      <c r="N24" s="91"/>
      <c r="O24" s="146">
        <f t="shared" si="0"/>
        <v>0</v>
      </c>
      <c r="Q24" s="7"/>
    </row>
    <row r="25" spans="2:32">
      <c r="B25" s="888"/>
      <c r="C25" s="902" t="s">
        <v>328</v>
      </c>
      <c r="D25" s="903"/>
      <c r="E25" s="904"/>
      <c r="F25" s="72"/>
      <c r="G25" s="123"/>
      <c r="H25" s="110"/>
      <c r="I25" s="122">
        <v>20</v>
      </c>
      <c r="J25" s="113">
        <f>$C$4+$E$4</f>
        <v>16</v>
      </c>
      <c r="K25" s="123"/>
      <c r="L25" s="91"/>
      <c r="M25" s="123"/>
      <c r="N25" s="91"/>
      <c r="O25" s="146">
        <f t="shared" si="0"/>
        <v>320</v>
      </c>
      <c r="Q25" s="7"/>
    </row>
    <row r="26" spans="2:32" ht="18" thickBot="1">
      <c r="B26" s="866"/>
      <c r="C26" s="917" t="s">
        <v>248</v>
      </c>
      <c r="D26" s="918"/>
      <c r="E26" s="919"/>
      <c r="F26" s="72"/>
      <c r="G26" s="129"/>
      <c r="H26" s="111"/>
      <c r="I26" s="124"/>
      <c r="J26" s="126"/>
      <c r="K26" s="129"/>
      <c r="L26" s="137"/>
      <c r="M26" s="124"/>
      <c r="N26" s="137"/>
      <c r="O26" s="147">
        <f t="shared" si="0"/>
        <v>0</v>
      </c>
      <c r="Q26" s="7"/>
    </row>
    <row r="27" spans="2:32">
      <c r="B27" s="864" t="str">
        <f>TEXT(C5+3,"m월 d일 aaaa")</f>
        <v>3월 19일 수요일</v>
      </c>
      <c r="C27" s="896" t="s">
        <v>330</v>
      </c>
      <c r="D27" s="897"/>
      <c r="E27" s="898"/>
      <c r="F27" s="72"/>
      <c r="G27" s="353"/>
      <c r="H27" s="109"/>
      <c r="I27" s="119"/>
      <c r="J27" s="109"/>
      <c r="K27" s="128">
        <f>IF(C4+E4&lt;8,'가이드&amp;차량'!C47, IF(C4+E4&lt;=14,'가이드&amp;차량'!C39,'가이드&amp;차량'!C23))</f>
        <v>630</v>
      </c>
      <c r="L27" s="90">
        <f>L10</f>
        <v>1</v>
      </c>
      <c r="M27" s="128">
        <f>'가이드&amp;차량'!C6+'가이드&amp;차량'!C3</f>
        <v>525</v>
      </c>
      <c r="N27" s="90">
        <f>N10</f>
        <v>1</v>
      </c>
      <c r="O27" s="143">
        <f t="shared" si="0"/>
        <v>1155</v>
      </c>
      <c r="Q27" s="159" t="s">
        <v>278</v>
      </c>
    </row>
    <row r="28" spans="2:32">
      <c r="B28" s="888"/>
      <c r="C28" s="902" t="s">
        <v>559</v>
      </c>
      <c r="D28" s="903"/>
      <c r="E28" s="904"/>
      <c r="F28" s="72"/>
      <c r="G28" s="123"/>
      <c r="H28" s="110"/>
      <c r="I28" s="122">
        <f>식사!E19</f>
        <v>17</v>
      </c>
      <c r="J28" s="113">
        <f>$C$4+$E$4</f>
        <v>16</v>
      </c>
      <c r="K28" s="120"/>
      <c r="L28" s="91"/>
      <c r="M28" s="120"/>
      <c r="N28" s="91"/>
      <c r="O28" s="144">
        <f t="shared" si="0"/>
        <v>272</v>
      </c>
    </row>
    <row r="29" spans="2:32">
      <c r="B29" s="888"/>
      <c r="C29" s="882" t="s">
        <v>817</v>
      </c>
      <c r="D29" s="883"/>
      <c r="E29" s="884"/>
      <c r="F29" s="72"/>
      <c r="G29" s="101">
        <f>일정!E10+일정!E19+일정!E20</f>
        <v>76.3</v>
      </c>
      <c r="H29" s="113">
        <f>$C$4+$E$4</f>
        <v>16</v>
      </c>
      <c r="I29" s="123"/>
      <c r="J29" s="110"/>
      <c r="K29" s="123"/>
      <c r="L29" s="91"/>
      <c r="M29" s="123"/>
      <c r="N29" s="91"/>
      <c r="O29" s="144">
        <f t="shared" si="0"/>
        <v>1220.8</v>
      </c>
      <c r="V29" s="498"/>
    </row>
    <row r="30" spans="2:32">
      <c r="B30" s="888"/>
      <c r="C30" s="1013" t="s">
        <v>333</v>
      </c>
      <c r="D30" s="1014"/>
      <c r="E30" s="1015"/>
      <c r="F30" s="72"/>
      <c r="G30" s="206"/>
      <c r="H30" s="164"/>
      <c r="I30" s="122">
        <f>식사!E33</f>
        <v>10</v>
      </c>
      <c r="J30" s="113">
        <f>$C$4+$E$4</f>
        <v>16</v>
      </c>
      <c r="K30" s="161"/>
      <c r="L30" s="138"/>
      <c r="M30" s="161"/>
      <c r="N30" s="138"/>
      <c r="O30" s="148">
        <f t="shared" si="0"/>
        <v>160</v>
      </c>
    </row>
    <row r="31" spans="2:32">
      <c r="B31" s="888"/>
      <c r="C31" s="907" t="s">
        <v>786</v>
      </c>
      <c r="D31" s="908"/>
      <c r="E31" s="909"/>
      <c r="F31" s="72"/>
      <c r="G31" s="206"/>
      <c r="H31" s="164"/>
      <c r="I31" s="123"/>
      <c r="J31" s="110"/>
      <c r="K31" s="161"/>
      <c r="L31" s="138"/>
      <c r="M31" s="161"/>
      <c r="N31" s="138"/>
      <c r="O31" s="148">
        <f t="shared" si="0"/>
        <v>0</v>
      </c>
    </row>
    <row r="32" spans="2:32">
      <c r="B32" s="888"/>
      <c r="C32" s="902" t="s">
        <v>1211</v>
      </c>
      <c r="D32" s="903"/>
      <c r="E32" s="904"/>
      <c r="F32" s="72"/>
      <c r="G32" s="104"/>
      <c r="H32" s="116"/>
      <c r="I32" s="122">
        <v>38</v>
      </c>
      <c r="J32" s="113">
        <f>$C$4+$E$4</f>
        <v>16</v>
      </c>
      <c r="K32" s="130"/>
      <c r="L32" s="138"/>
      <c r="M32" s="130"/>
      <c r="N32" s="138"/>
      <c r="O32" s="148">
        <f t="shared" si="0"/>
        <v>608</v>
      </c>
    </row>
    <row r="33" spans="2:22" ht="18" thickBot="1">
      <c r="B33" s="866"/>
      <c r="C33" s="870" t="s">
        <v>1206</v>
      </c>
      <c r="D33" s="871"/>
      <c r="E33" s="500">
        <f>상품리스트!I8</f>
        <v>0.95138888888888884</v>
      </c>
      <c r="F33" s="34"/>
      <c r="G33" s="105"/>
      <c r="H33" s="117"/>
      <c r="I33" s="124"/>
      <c r="J33" s="126"/>
      <c r="K33" s="131"/>
      <c r="L33" s="139"/>
      <c r="M33" s="131"/>
      <c r="N33" s="139"/>
      <c r="O33" s="149">
        <f t="shared" si="0"/>
        <v>0</v>
      </c>
      <c r="P33" s="34"/>
      <c r="Q33" s="34"/>
      <c r="R33" s="34"/>
      <c r="S33" s="34"/>
      <c r="T33" s="34"/>
      <c r="U33" s="34"/>
      <c r="V33" s="493"/>
    </row>
    <row r="34" spans="2:22">
      <c r="B34" s="72"/>
      <c r="C34" s="72"/>
      <c r="D34" s="72"/>
      <c r="E34" s="72"/>
      <c r="F34" s="72"/>
      <c r="G34" s="72"/>
      <c r="H34" s="72"/>
      <c r="K34" s="132">
        <f>SUM(K10:K33)</f>
        <v>2170</v>
      </c>
      <c r="L34" s="72"/>
      <c r="M34" s="132">
        <f>SUM(M10:M33)</f>
        <v>1425</v>
      </c>
      <c r="N34" s="72"/>
      <c r="O34" s="150"/>
      <c r="P34" s="156"/>
      <c r="V34" s="493"/>
    </row>
    <row r="35" spans="2:22">
      <c r="O35" s="150"/>
      <c r="V35" s="493"/>
    </row>
    <row r="36" spans="2:22">
      <c r="B36" s="993" t="s">
        <v>246</v>
      </c>
      <c r="C36" s="995" t="s">
        <v>288</v>
      </c>
      <c r="D36" s="996"/>
      <c r="E36" s="997"/>
      <c r="F36" s="34"/>
      <c r="G36" s="998">
        <f>$C$4+$E$4</f>
        <v>16</v>
      </c>
      <c r="H36" s="999"/>
      <c r="I36" s="1000">
        <v>3</v>
      </c>
      <c r="J36" s="1001"/>
      <c r="K36" s="1002">
        <v>1</v>
      </c>
      <c r="L36" s="1003"/>
      <c r="M36" s="1003"/>
      <c r="N36" s="830"/>
      <c r="O36" s="151">
        <f>G36*I36*K36</f>
        <v>48</v>
      </c>
      <c r="V36" s="493"/>
    </row>
    <row r="37" spans="2:22" ht="18" thickBot="1">
      <c r="B37" s="994"/>
      <c r="C37" s="1004" t="s">
        <v>451</v>
      </c>
      <c r="D37" s="1005"/>
      <c r="E37" s="1006"/>
      <c r="F37" s="34"/>
      <c r="G37" s="1007">
        <v>50</v>
      </c>
      <c r="H37" s="1008"/>
      <c r="I37" s="1008"/>
      <c r="J37" s="1009"/>
      <c r="K37" s="1010">
        <f>C4</f>
        <v>16</v>
      </c>
      <c r="L37" s="1011"/>
      <c r="M37" s="1011"/>
      <c r="N37" s="1012"/>
      <c r="O37" s="152">
        <f>G37*K37</f>
        <v>800</v>
      </c>
      <c r="V37" s="493"/>
    </row>
    <row r="38" spans="2:22" ht="18" thickBot="1">
      <c r="O38" s="150"/>
      <c r="V38" s="493"/>
    </row>
    <row r="39" spans="2:22" ht="16.5" customHeight="1">
      <c r="B39" s="961" t="s">
        <v>337</v>
      </c>
      <c r="C39" s="964" t="s">
        <v>251</v>
      </c>
      <c r="D39" s="965"/>
      <c r="E39" s="966"/>
      <c r="F39" s="165"/>
      <c r="G39" s="967">
        <v>0</v>
      </c>
      <c r="H39" s="968"/>
      <c r="I39" s="969">
        <f>일정!G24</f>
        <v>30</v>
      </c>
      <c r="J39" s="970"/>
      <c r="K39" s="971">
        <f>C4</f>
        <v>16</v>
      </c>
      <c r="L39" s="972"/>
      <c r="M39" s="972"/>
      <c r="N39" s="973"/>
      <c r="O39" s="153">
        <f>G39*I39*K39</f>
        <v>0</v>
      </c>
    </row>
    <row r="40" spans="2:22">
      <c r="B40" s="962"/>
      <c r="C40" s="974" t="s">
        <v>250</v>
      </c>
      <c r="D40" s="975"/>
      <c r="E40" s="976"/>
      <c r="F40" s="165"/>
      <c r="G40" s="977">
        <v>0</v>
      </c>
      <c r="H40" s="978"/>
      <c r="I40" s="979">
        <f>일정!G30</f>
        <v>28</v>
      </c>
      <c r="J40" s="980"/>
      <c r="K40" s="981">
        <f>C4</f>
        <v>16</v>
      </c>
      <c r="L40" s="982"/>
      <c r="M40" s="982"/>
      <c r="N40" s="983"/>
      <c r="O40" s="154">
        <f>G40*I40*K40</f>
        <v>0</v>
      </c>
    </row>
    <row r="41" spans="2:22">
      <c r="B41" s="962"/>
      <c r="C41" s="974" t="s">
        <v>249</v>
      </c>
      <c r="D41" s="975"/>
      <c r="E41" s="976"/>
      <c r="F41" s="165"/>
      <c r="G41" s="984">
        <v>0</v>
      </c>
      <c r="H41" s="985"/>
      <c r="I41" s="979">
        <f>일정!G35</f>
        <v>36</v>
      </c>
      <c r="J41" s="980"/>
      <c r="K41" s="981">
        <f>C4</f>
        <v>16</v>
      </c>
      <c r="L41" s="982"/>
      <c r="M41" s="982"/>
      <c r="N41" s="983"/>
      <c r="O41" s="154">
        <f>G41*I41*K41</f>
        <v>0</v>
      </c>
    </row>
    <row r="42" spans="2:22" ht="18" thickBot="1">
      <c r="B42" s="963"/>
      <c r="C42" s="986" t="s">
        <v>252</v>
      </c>
      <c r="D42" s="987"/>
      <c r="E42" s="988"/>
      <c r="F42" s="165"/>
      <c r="G42" s="989"/>
      <c r="H42" s="990"/>
      <c r="I42" s="991">
        <f>일정!G29</f>
        <v>40</v>
      </c>
      <c r="J42" s="992"/>
      <c r="K42" s="958">
        <f>C4</f>
        <v>16</v>
      </c>
      <c r="L42" s="959"/>
      <c r="M42" s="959"/>
      <c r="N42" s="960"/>
      <c r="O42" s="215">
        <f>G42*I42*K42</f>
        <v>0</v>
      </c>
    </row>
  </sheetData>
  <mergeCells count="73"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  <mergeCell ref="H7:K7"/>
    <mergeCell ref="M8:N8"/>
    <mergeCell ref="O8:O9"/>
    <mergeCell ref="B10:B12"/>
    <mergeCell ref="C11:E11"/>
    <mergeCell ref="C12:E12"/>
    <mergeCell ref="G8:H8"/>
    <mergeCell ref="I8:J8"/>
    <mergeCell ref="K8:L8"/>
    <mergeCell ref="C10:D10"/>
    <mergeCell ref="B13:B20"/>
    <mergeCell ref="C13:E13"/>
    <mergeCell ref="C14:E14"/>
    <mergeCell ref="C15:E15"/>
    <mergeCell ref="C16:E16"/>
    <mergeCell ref="C18:E18"/>
    <mergeCell ref="C19:E19"/>
    <mergeCell ref="C20:E20"/>
    <mergeCell ref="C17:E17"/>
    <mergeCell ref="B21:B26"/>
    <mergeCell ref="C21:E21"/>
    <mergeCell ref="C22:E22"/>
    <mergeCell ref="C23:E23"/>
    <mergeCell ref="C24:E24"/>
    <mergeCell ref="C25:E25"/>
    <mergeCell ref="C26:E26"/>
    <mergeCell ref="K36:N36"/>
    <mergeCell ref="C37:E37"/>
    <mergeCell ref="G37:J37"/>
    <mergeCell ref="K37:N37"/>
    <mergeCell ref="B27:B33"/>
    <mergeCell ref="C27:E27"/>
    <mergeCell ref="C28:E28"/>
    <mergeCell ref="C29:E29"/>
    <mergeCell ref="C30:E30"/>
    <mergeCell ref="C31:E31"/>
    <mergeCell ref="C32:E32"/>
    <mergeCell ref="C33:D33"/>
    <mergeCell ref="I42:J42"/>
    <mergeCell ref="B36:B37"/>
    <mergeCell ref="C36:E36"/>
    <mergeCell ref="G36:H36"/>
    <mergeCell ref="I36:J36"/>
    <mergeCell ref="K42:N42"/>
    <mergeCell ref="B39:B42"/>
    <mergeCell ref="C39:E39"/>
    <mergeCell ref="G39:H39"/>
    <mergeCell ref="I39:J39"/>
    <mergeCell ref="K39:N39"/>
    <mergeCell ref="C40:E40"/>
    <mergeCell ref="G40:H40"/>
    <mergeCell ref="I40:J40"/>
    <mergeCell ref="K40:N40"/>
    <mergeCell ref="C41:E41"/>
    <mergeCell ref="G41:H41"/>
    <mergeCell ref="I41:J41"/>
    <mergeCell ref="K41:N41"/>
    <mergeCell ref="C42:E42"/>
    <mergeCell ref="G42:H42"/>
  </mergeCells>
  <phoneticPr fontId="1" type="noConversion"/>
  <hyperlinks>
    <hyperlink ref="A1" location="상품리스트!A1" display="home" xr:uid="{9B0ED6F4-BC1F-43D8-B21D-2AD00DD85311}"/>
  </hyperlink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8C004-A858-4E7F-9309-1DA82C3265D8}">
  <dimension ref="A1:AD45"/>
  <sheetViews>
    <sheetView workbookViewId="0"/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9" width="7.6640625" customWidth="1"/>
    <col min="10" max="10" width="9.83203125" customWidth="1"/>
    <col min="11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6" max="26" width="7.6640625" customWidth="1"/>
    <col min="27" max="27" width="3.5" customWidth="1"/>
    <col min="28" max="28" width="19.33203125" bestFit="1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7.5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978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M Hotel City Centre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210</v>
      </c>
      <c r="M2" s="140">
        <f>$I$1+$K$1</f>
        <v>7.5</v>
      </c>
      <c r="N2" s="106">
        <f>L2*M2</f>
        <v>1575</v>
      </c>
      <c r="O2" s="929">
        <f>SUM(N2:N6)</f>
        <v>4725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924</v>
      </c>
      <c r="AC2" s="10">
        <v>210</v>
      </c>
      <c r="AD2" s="10">
        <v>210</v>
      </c>
    </row>
    <row r="3" spans="1:30" ht="28">
      <c r="B3" s="74" t="s">
        <v>239</v>
      </c>
      <c r="C3" s="938" t="s">
        <v>1044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M Hotel City Centre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210</v>
      </c>
      <c r="M3" s="140">
        <f>$I$1+$K$1</f>
        <v>7.5</v>
      </c>
      <c r="N3" s="106">
        <f>L3*M3</f>
        <v>1575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15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927" t="str">
        <f>J2</f>
        <v>M Hotel City Centre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210</v>
      </c>
      <c r="M4" s="141">
        <f>$I$1+$K$1</f>
        <v>7.5</v>
      </c>
      <c r="N4" s="106">
        <f>L4*M4</f>
        <v>1575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>
        <f>H4+1</f>
        <v>45735</v>
      </c>
      <c r="I5" s="926"/>
      <c r="J5" s="939"/>
      <c r="K5" s="940"/>
      <c r="L5" s="135"/>
      <c r="M5" s="140"/>
      <c r="N5" s="106">
        <f>L5*M5</f>
        <v>0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(SUM(O10:O45)+O2)/C4+R5+T6</f>
        <v>892.76666666666665</v>
      </c>
      <c r="D6" s="86" t="s">
        <v>254</v>
      </c>
      <c r="E6" s="94">
        <f>C6*$E$1</f>
        <v>982043.33333333337</v>
      </c>
      <c r="F6" s="72"/>
      <c r="G6" s="922"/>
      <c r="H6" s="925">
        <f>H5+1</f>
        <v>45736</v>
      </c>
      <c r="I6" s="926"/>
      <c r="J6" s="935"/>
      <c r="K6" s="935"/>
      <c r="L6" s="136"/>
      <c r="M6" s="89"/>
      <c r="N6" s="107">
        <f>L6*M6</f>
        <v>0</v>
      </c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2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67" t="s">
        <v>960</v>
      </c>
      <c r="D10" s="916"/>
      <c r="E10" s="499">
        <f>상품리스트!F9</f>
        <v>0.98611111111111116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280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430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6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630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1005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865"/>
      <c r="C14" s="907" t="s">
        <v>322</v>
      </c>
      <c r="D14" s="900"/>
      <c r="E14" s="901"/>
      <c r="F14" s="72"/>
      <c r="G14" s="102"/>
      <c r="H14" s="115"/>
      <c r="I14" s="120"/>
      <c r="J14" s="110"/>
      <c r="K14" s="123"/>
      <c r="L14" s="91"/>
      <c r="M14" s="123"/>
      <c r="N14" s="91"/>
      <c r="O14" s="144">
        <f t="shared" si="0"/>
        <v>0</v>
      </c>
      <c r="Q14" s="7"/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865"/>
      <c r="C15" s="876" t="s">
        <v>632</v>
      </c>
      <c r="D15" s="877"/>
      <c r="E15" s="878"/>
      <c r="F15" s="72"/>
      <c r="G15" s="99"/>
      <c r="H15" s="110"/>
      <c r="I15" s="122">
        <f>IF(C4+E4&lt;10,식사!E27,식사!E28)</f>
        <v>35</v>
      </c>
      <c r="J15" s="113">
        <f>$C$4+$E$4</f>
        <v>15</v>
      </c>
      <c r="K15" s="120"/>
      <c r="L15" s="91"/>
      <c r="M15" s="120"/>
      <c r="N15" s="91"/>
      <c r="O15" s="144">
        <f t="shared" si="0"/>
        <v>525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922</v>
      </c>
      <c r="AC15" s="10">
        <v>185</v>
      </c>
      <c r="AD15" s="10">
        <v>185</v>
      </c>
    </row>
    <row r="16" spans="1:30">
      <c r="B16" s="865"/>
      <c r="C16" s="879" t="str">
        <f>일정!C27</f>
        <v>가든스바이더베이 2돔 ( 쥬랴기 )</v>
      </c>
      <c r="D16" s="880"/>
      <c r="E16" s="881"/>
      <c r="F16" s="72"/>
      <c r="G16" s="101">
        <f>일정!E27</f>
        <v>28.3</v>
      </c>
      <c r="H16" s="113">
        <f>$C$4+$E$4</f>
        <v>15</v>
      </c>
      <c r="I16" s="123"/>
      <c r="J16" s="110"/>
      <c r="K16" s="123"/>
      <c r="L16" s="91"/>
      <c r="M16" s="123"/>
      <c r="N16" s="91"/>
      <c r="O16" s="144">
        <f>(G16*H16)+(I16*J16)+(K16*L16)+(M16*N16)</f>
        <v>424.5</v>
      </c>
      <c r="Q16" s="7"/>
      <c r="AB16" s="496" t="s">
        <v>923</v>
      </c>
      <c r="AC16" s="10">
        <v>185</v>
      </c>
      <c r="AD16" s="10">
        <v>185</v>
      </c>
    </row>
    <row r="17" spans="2:30">
      <c r="B17" s="865"/>
      <c r="C17" s="890" t="s">
        <v>338</v>
      </c>
      <c r="D17" s="891"/>
      <c r="E17" s="892"/>
      <c r="F17" s="72"/>
      <c r="G17" s="102"/>
      <c r="H17" s="115"/>
      <c r="I17" s="123"/>
      <c r="J17" s="110"/>
      <c r="K17" s="123"/>
      <c r="L17" s="91"/>
      <c r="M17" s="123"/>
      <c r="N17" s="91"/>
      <c r="O17" s="144">
        <f t="shared" si="0"/>
        <v>0</v>
      </c>
      <c r="Q17" s="7"/>
      <c r="AB17" s="496" t="s">
        <v>931</v>
      </c>
      <c r="AC17" s="10">
        <v>155</v>
      </c>
      <c r="AD17" s="10">
        <v>155</v>
      </c>
    </row>
    <row r="18" spans="2:30">
      <c r="B18" s="865"/>
      <c r="C18" s="876" t="s">
        <v>1060</v>
      </c>
      <c r="D18" s="877"/>
      <c r="E18" s="878"/>
      <c r="F18" s="72"/>
      <c r="G18" s="123"/>
      <c r="H18" s="110"/>
      <c r="I18" s="122">
        <f>식사!E20</f>
        <v>20</v>
      </c>
      <c r="J18" s="113">
        <f>$C$4+$E$4</f>
        <v>15</v>
      </c>
      <c r="K18" s="120"/>
      <c r="L18" s="91"/>
      <c r="M18" s="120"/>
      <c r="N18" s="91"/>
      <c r="O18" s="144">
        <f t="shared" si="0"/>
        <v>300</v>
      </c>
      <c r="Q18" s="7"/>
      <c r="AB18" s="497" t="s">
        <v>928</v>
      </c>
      <c r="AC18" s="10">
        <v>280</v>
      </c>
      <c r="AD18" s="10">
        <v>280</v>
      </c>
    </row>
    <row r="19" spans="2:30">
      <c r="B19" s="865"/>
      <c r="C19" s="941" t="s">
        <v>325</v>
      </c>
      <c r="D19" s="911"/>
      <c r="E19" s="912"/>
      <c r="F19" s="72"/>
      <c r="G19" s="205"/>
      <c r="H19" s="115"/>
      <c r="I19" s="102"/>
      <c r="J19" s="115"/>
      <c r="K19" s="120"/>
      <c r="L19" s="91"/>
      <c r="M19" s="120"/>
      <c r="N19" s="91"/>
      <c r="O19" s="144">
        <f t="shared" si="0"/>
        <v>0</v>
      </c>
      <c r="Q19" s="7"/>
      <c r="AB19" s="497" t="s">
        <v>442</v>
      </c>
      <c r="AC19" s="10">
        <v>366</v>
      </c>
      <c r="AD19" s="10">
        <v>366</v>
      </c>
    </row>
    <row r="20" spans="2:30" ht="18" thickBot="1">
      <c r="B20" s="906"/>
      <c r="C20" s="893" t="s">
        <v>1005</v>
      </c>
      <c r="D20" s="894"/>
      <c r="E20" s="895"/>
      <c r="F20" s="72"/>
      <c r="G20" s="102"/>
      <c r="H20" s="115"/>
      <c r="I20" s="123"/>
      <c r="J20" s="110"/>
      <c r="K20" s="123"/>
      <c r="L20" s="91"/>
      <c r="M20" s="123"/>
      <c r="N20" s="91"/>
      <c r="O20" s="144">
        <f t="shared" si="0"/>
        <v>0</v>
      </c>
      <c r="Q20" s="7"/>
    </row>
    <row r="21" spans="2:30">
      <c r="B21" s="864" t="str">
        <f>TEXT(C5+2,"m월 d일 aaaa")</f>
        <v>3월 18일 화요일</v>
      </c>
      <c r="C21" s="896" t="s">
        <v>240</v>
      </c>
      <c r="D21" s="897"/>
      <c r="E21" s="898"/>
      <c r="F21" s="72"/>
      <c r="G21" s="353"/>
      <c r="H21" s="109"/>
      <c r="I21" s="119"/>
      <c r="J21" s="109"/>
      <c r="K21" s="128">
        <f>IF(C4+E4&lt;8,'가이드&amp;차량'!C47, IF(C4+E4&lt;=14,'가이드&amp;차량'!C39,'가이드&amp;차량'!C23))</f>
        <v>630</v>
      </c>
      <c r="L21" s="90">
        <f>L10</f>
        <v>1</v>
      </c>
      <c r="M21" s="128">
        <f>'가이드&amp;차량'!C6</f>
        <v>375</v>
      </c>
      <c r="N21" s="90">
        <f>N10</f>
        <v>1</v>
      </c>
      <c r="O21" s="143">
        <f t="shared" si="0"/>
        <v>1005</v>
      </c>
      <c r="Q21" s="159" t="s">
        <v>277</v>
      </c>
    </row>
    <row r="22" spans="2:30">
      <c r="B22" s="944"/>
      <c r="C22" s="882" t="s">
        <v>981</v>
      </c>
      <c r="D22" s="883"/>
      <c r="E22" s="884"/>
      <c r="F22" s="72"/>
      <c r="G22" s="101">
        <f>일정!E10</f>
        <v>22</v>
      </c>
      <c r="H22" s="113">
        <f>$C$4+$E$4</f>
        <v>15</v>
      </c>
      <c r="I22" s="123"/>
      <c r="J22" s="110"/>
      <c r="K22" s="123"/>
      <c r="L22" s="91"/>
      <c r="M22" s="123"/>
      <c r="N22" s="91"/>
      <c r="O22" s="144">
        <f>(G22*H22)+(I22*J22)+(K22*L22)+(M22*N22)</f>
        <v>330</v>
      </c>
      <c r="V22" s="498"/>
    </row>
    <row r="23" spans="2:30">
      <c r="B23" s="888"/>
      <c r="C23" s="899" t="s">
        <v>984</v>
      </c>
      <c r="D23" s="883"/>
      <c r="E23" s="884"/>
      <c r="F23" s="72"/>
      <c r="G23" s="101">
        <f>일정!E3</f>
        <v>75.3</v>
      </c>
      <c r="H23" s="113">
        <f>$C$4+$E$4</f>
        <v>15</v>
      </c>
      <c r="I23" s="123"/>
      <c r="J23" s="110"/>
      <c r="K23" s="123"/>
      <c r="L23" s="91"/>
      <c r="M23" s="123"/>
      <c r="N23" s="91"/>
      <c r="O23" s="144">
        <f t="shared" si="0"/>
        <v>1129.5</v>
      </c>
      <c r="Q23" s="7"/>
    </row>
    <row r="24" spans="2:30">
      <c r="B24" s="888"/>
      <c r="C24" s="902" t="s">
        <v>983</v>
      </c>
      <c r="D24" s="903"/>
      <c r="E24" s="904"/>
      <c r="F24" s="72"/>
      <c r="G24" s="123"/>
      <c r="H24" s="110"/>
      <c r="I24" s="123"/>
      <c r="J24" s="110"/>
      <c r="K24" s="123"/>
      <c r="L24" s="91"/>
      <c r="M24" s="102"/>
      <c r="N24" s="91"/>
      <c r="O24" s="146">
        <f t="shared" si="0"/>
        <v>0</v>
      </c>
      <c r="Q24" s="7"/>
    </row>
    <row r="25" spans="2:30">
      <c r="B25" s="888"/>
      <c r="C25" s="1016" t="s">
        <v>785</v>
      </c>
      <c r="D25" s="1017"/>
      <c r="E25" s="1018"/>
      <c r="F25" s="72"/>
      <c r="G25" s="102"/>
      <c r="H25" s="115"/>
      <c r="I25" s="123"/>
      <c r="J25" s="110"/>
      <c r="K25" s="123"/>
      <c r="L25" s="91"/>
      <c r="M25" s="102"/>
      <c r="N25" s="91"/>
      <c r="O25" s="146">
        <f t="shared" si="0"/>
        <v>0</v>
      </c>
      <c r="Q25" s="7"/>
    </row>
    <row r="26" spans="2:30">
      <c r="B26" s="888"/>
      <c r="C26" s="902" t="s">
        <v>982</v>
      </c>
      <c r="D26" s="903"/>
      <c r="E26" s="904"/>
      <c r="F26" s="72"/>
      <c r="G26" s="123"/>
      <c r="H26" s="110"/>
      <c r="I26" s="122">
        <v>20</v>
      </c>
      <c r="J26" s="113">
        <f>$C$4+$E$4</f>
        <v>15</v>
      </c>
      <c r="K26" s="123"/>
      <c r="L26" s="91"/>
      <c r="M26" s="123"/>
      <c r="N26" s="91"/>
      <c r="O26" s="146">
        <f t="shared" si="0"/>
        <v>300</v>
      </c>
      <c r="Q26" s="7"/>
    </row>
    <row r="27" spans="2:30">
      <c r="B27" s="889"/>
      <c r="C27" s="899" t="s">
        <v>985</v>
      </c>
      <c r="D27" s="883"/>
      <c r="E27" s="884"/>
      <c r="F27" s="72"/>
      <c r="G27" s="167" t="str">
        <f>일정!E13</f>
        <v>11</v>
      </c>
      <c r="H27" s="113">
        <f>$C$4+$E$4</f>
        <v>15</v>
      </c>
      <c r="I27" s="505"/>
      <c r="J27" s="164"/>
      <c r="K27" s="161"/>
      <c r="L27" s="138"/>
      <c r="M27" s="161"/>
      <c r="N27" s="138"/>
      <c r="O27" s="162"/>
      <c r="Q27" s="7"/>
    </row>
    <row r="28" spans="2:30" ht="18" thickBot="1">
      <c r="B28" s="866"/>
      <c r="C28" s="917" t="s">
        <v>248</v>
      </c>
      <c r="D28" s="918"/>
      <c r="E28" s="919"/>
      <c r="F28" s="72"/>
      <c r="G28" s="129"/>
      <c r="H28" s="111"/>
      <c r="I28" s="124"/>
      <c r="J28" s="126"/>
      <c r="K28" s="129"/>
      <c r="L28" s="137"/>
      <c r="M28" s="124"/>
      <c r="N28" s="137"/>
      <c r="O28" s="147">
        <f t="shared" si="0"/>
        <v>0</v>
      </c>
      <c r="Q28" s="7"/>
    </row>
    <row r="29" spans="2:30">
      <c r="B29" s="864" t="str">
        <f>TEXT(C5+3,"m월 d일 aaaa")</f>
        <v>3월 19일 수요일</v>
      </c>
      <c r="C29" s="896" t="s">
        <v>330</v>
      </c>
      <c r="D29" s="897"/>
      <c r="E29" s="898"/>
      <c r="F29" s="72"/>
      <c r="G29" s="353"/>
      <c r="H29" s="109"/>
      <c r="I29" s="119"/>
      <c r="J29" s="109"/>
      <c r="K29" s="128">
        <f>IF(C4+E4&lt;8,'가이드&amp;차량'!C47, IF(C4+E4&lt;=14,'가이드&amp;차량'!C39,'가이드&amp;차량'!C23))</f>
        <v>630</v>
      </c>
      <c r="L29" s="90">
        <f>L10</f>
        <v>1</v>
      </c>
      <c r="M29" s="128">
        <f>'가이드&amp;차량'!C6+'가이드&amp;차량'!C3</f>
        <v>525</v>
      </c>
      <c r="N29" s="90">
        <f>N10</f>
        <v>1</v>
      </c>
      <c r="O29" s="143">
        <f t="shared" si="0"/>
        <v>1155</v>
      </c>
      <c r="Q29" s="159" t="s">
        <v>278</v>
      </c>
    </row>
    <row r="30" spans="2:30">
      <c r="B30" s="944"/>
      <c r="C30" s="899" t="s">
        <v>329</v>
      </c>
      <c r="D30" s="883"/>
      <c r="E30" s="884"/>
      <c r="F30" s="72"/>
      <c r="G30" s="101">
        <f>일정!E40</f>
        <v>24.5</v>
      </c>
      <c r="H30" s="113">
        <f>$C$4+$E$4</f>
        <v>15</v>
      </c>
      <c r="I30" s="123"/>
      <c r="J30" s="110"/>
      <c r="K30" s="123"/>
      <c r="L30" s="91"/>
      <c r="M30" s="123"/>
      <c r="N30" s="91"/>
      <c r="O30" s="144">
        <f>(G30*H30)+(I30*J30)+(K30*L30)+(M30*N30)</f>
        <v>367.5</v>
      </c>
      <c r="V30" s="498"/>
    </row>
    <row r="31" spans="2:30">
      <c r="B31" s="888"/>
      <c r="C31" s="902" t="s">
        <v>986</v>
      </c>
      <c r="D31" s="903"/>
      <c r="E31" s="904"/>
      <c r="F31" s="72"/>
      <c r="G31" s="123"/>
      <c r="H31" s="110"/>
      <c r="I31" s="122">
        <f>식사!E36</f>
        <v>20</v>
      </c>
      <c r="J31" s="113">
        <f>$C$4+$E$4</f>
        <v>15</v>
      </c>
      <c r="K31" s="120"/>
      <c r="L31" s="91"/>
      <c r="M31" s="120"/>
      <c r="N31" s="91"/>
      <c r="O31" s="144">
        <f t="shared" si="0"/>
        <v>300</v>
      </c>
    </row>
    <row r="32" spans="2:30">
      <c r="B32" s="888"/>
      <c r="C32" s="941" t="s">
        <v>987</v>
      </c>
      <c r="D32" s="911"/>
      <c r="E32" s="912"/>
      <c r="F32" s="72"/>
      <c r="G32" s="102"/>
      <c r="H32" s="115"/>
      <c r="I32" s="123"/>
      <c r="J32" s="110"/>
      <c r="K32" s="123"/>
      <c r="L32" s="91"/>
      <c r="M32" s="123"/>
      <c r="N32" s="91"/>
      <c r="O32" s="144">
        <f t="shared" si="0"/>
        <v>0</v>
      </c>
      <c r="V32" s="498"/>
    </row>
    <row r="33" spans="2:22">
      <c r="B33" s="888"/>
      <c r="C33" s="1013" t="s">
        <v>333</v>
      </c>
      <c r="D33" s="1014"/>
      <c r="E33" s="1015"/>
      <c r="F33" s="72"/>
      <c r="G33" s="206"/>
      <c r="H33" s="164"/>
      <c r="I33" s="122">
        <f>식사!E33</f>
        <v>10</v>
      </c>
      <c r="J33" s="113">
        <f>$C$4+$E$4</f>
        <v>15</v>
      </c>
      <c r="K33" s="161"/>
      <c r="L33" s="138"/>
      <c r="M33" s="161"/>
      <c r="N33" s="138"/>
      <c r="O33" s="148">
        <f t="shared" si="0"/>
        <v>150</v>
      </c>
    </row>
    <row r="34" spans="2:22">
      <c r="B34" s="888"/>
      <c r="C34" s="907" t="s">
        <v>653</v>
      </c>
      <c r="D34" s="908"/>
      <c r="E34" s="909"/>
      <c r="F34" s="72"/>
      <c r="G34" s="206"/>
      <c r="H34" s="164"/>
      <c r="I34" s="123"/>
      <c r="J34" s="110"/>
      <c r="K34" s="161"/>
      <c r="L34" s="138"/>
      <c r="M34" s="161"/>
      <c r="N34" s="138"/>
      <c r="O34" s="148">
        <f t="shared" si="0"/>
        <v>0</v>
      </c>
    </row>
    <row r="35" spans="2:22">
      <c r="B35" s="888"/>
      <c r="C35" s="902" t="s">
        <v>298</v>
      </c>
      <c r="D35" s="903"/>
      <c r="E35" s="904"/>
      <c r="F35" s="72"/>
      <c r="G35" s="104"/>
      <c r="H35" s="116"/>
      <c r="I35" s="122">
        <f>식사!E3</f>
        <v>25</v>
      </c>
      <c r="J35" s="113">
        <f>$C$4+$E$4</f>
        <v>15</v>
      </c>
      <c r="K35" s="130"/>
      <c r="L35" s="138"/>
      <c r="M35" s="130"/>
      <c r="N35" s="138"/>
      <c r="O35" s="148">
        <f t="shared" si="0"/>
        <v>375</v>
      </c>
    </row>
    <row r="36" spans="2:22" ht="18" thickBot="1">
      <c r="B36" s="866"/>
      <c r="C36" s="870" t="s">
        <v>1207</v>
      </c>
      <c r="D36" s="871"/>
      <c r="E36" s="500">
        <f>상품리스트!I5</f>
        <v>0</v>
      </c>
      <c r="F36" s="34"/>
      <c r="G36" s="105"/>
      <c r="H36" s="117"/>
      <c r="I36" s="124"/>
      <c r="J36" s="126"/>
      <c r="K36" s="131"/>
      <c r="L36" s="139"/>
      <c r="M36" s="131"/>
      <c r="N36" s="139"/>
      <c r="O36" s="149">
        <f t="shared" si="0"/>
        <v>0</v>
      </c>
      <c r="P36" s="34"/>
      <c r="Q36" s="34"/>
      <c r="R36" s="34"/>
      <c r="S36" s="34"/>
      <c r="T36" s="34"/>
      <c r="U36" s="34"/>
      <c r="V36" s="493"/>
    </row>
    <row r="37" spans="2:22">
      <c r="B37" s="72"/>
      <c r="C37" s="72"/>
      <c r="D37" s="72"/>
      <c r="E37" s="72"/>
      <c r="F37" s="72"/>
      <c r="G37" s="72"/>
      <c r="H37" s="72"/>
      <c r="K37" s="132">
        <f>SUM(K10:K36)</f>
        <v>2170</v>
      </c>
      <c r="L37" s="72"/>
      <c r="M37" s="132">
        <f>SUM(M10:M36)</f>
        <v>1425</v>
      </c>
      <c r="N37" s="72"/>
      <c r="O37" s="150"/>
      <c r="P37" s="156"/>
      <c r="V37" s="493"/>
    </row>
    <row r="38" spans="2:22" ht="18" thickBot="1">
      <c r="O38" s="150"/>
      <c r="V38" s="493"/>
    </row>
    <row r="39" spans="2:22">
      <c r="B39" s="993" t="s">
        <v>246</v>
      </c>
      <c r="C39" s="995" t="s">
        <v>288</v>
      </c>
      <c r="D39" s="996"/>
      <c r="E39" s="997"/>
      <c r="F39" s="34"/>
      <c r="G39" s="998">
        <f>$C$4+$E$4</f>
        <v>15</v>
      </c>
      <c r="H39" s="999"/>
      <c r="I39" s="1000">
        <v>3</v>
      </c>
      <c r="J39" s="1001"/>
      <c r="K39" s="1002">
        <v>1</v>
      </c>
      <c r="L39" s="1003"/>
      <c r="M39" s="1003"/>
      <c r="N39" s="830"/>
      <c r="O39" s="151">
        <f>G39*I39*K39</f>
        <v>45</v>
      </c>
      <c r="V39" s="493"/>
    </row>
    <row r="40" spans="2:22" ht="18" thickBot="1">
      <c r="B40" s="994"/>
      <c r="C40" s="1004" t="s">
        <v>451</v>
      </c>
      <c r="D40" s="1005"/>
      <c r="E40" s="1006"/>
      <c r="F40" s="34"/>
      <c r="G40" s="1007">
        <v>50</v>
      </c>
      <c r="H40" s="1008"/>
      <c r="I40" s="1008"/>
      <c r="J40" s="1009"/>
      <c r="K40" s="1010">
        <f>C4</f>
        <v>15</v>
      </c>
      <c r="L40" s="1011"/>
      <c r="M40" s="1011"/>
      <c r="N40" s="1012"/>
      <c r="O40" s="152">
        <f>G40*K40</f>
        <v>750</v>
      </c>
      <c r="V40" s="493"/>
    </row>
    <row r="41" spans="2:22" ht="18" thickBot="1">
      <c r="O41" s="150"/>
      <c r="V41" s="493"/>
    </row>
    <row r="42" spans="2:22">
      <c r="B42" s="961" t="s">
        <v>337</v>
      </c>
      <c r="C42" s="1021" t="s">
        <v>251</v>
      </c>
      <c r="D42" s="1022"/>
      <c r="E42" s="1023"/>
      <c r="F42" s="165"/>
      <c r="G42" s="967">
        <v>0</v>
      </c>
      <c r="H42" s="1024"/>
      <c r="I42" s="969">
        <f>일정!G24</f>
        <v>30</v>
      </c>
      <c r="J42" s="970"/>
      <c r="K42" s="972">
        <f>C4</f>
        <v>15</v>
      </c>
      <c r="L42" s="972"/>
      <c r="M42" s="972"/>
      <c r="N42" s="973"/>
      <c r="O42" s="153">
        <f>G42*I42*K42</f>
        <v>0</v>
      </c>
    </row>
    <row r="43" spans="2:22">
      <c r="B43" s="1019"/>
      <c r="C43" s="1025" t="s">
        <v>250</v>
      </c>
      <c r="D43" s="1026"/>
      <c r="E43" s="1027"/>
      <c r="F43" s="165"/>
      <c r="G43" s="977">
        <v>0</v>
      </c>
      <c r="H43" s="1028"/>
      <c r="I43" s="979">
        <f>일정!G30</f>
        <v>28</v>
      </c>
      <c r="J43" s="980"/>
      <c r="K43" s="982">
        <f>C4</f>
        <v>15</v>
      </c>
      <c r="L43" s="982"/>
      <c r="M43" s="982"/>
      <c r="N43" s="983"/>
      <c r="O43" s="154">
        <f>G43*I43*K43</f>
        <v>0</v>
      </c>
    </row>
    <row r="44" spans="2:22">
      <c r="B44" s="1019"/>
      <c r="C44" s="1025" t="s">
        <v>249</v>
      </c>
      <c r="D44" s="1026"/>
      <c r="E44" s="1027"/>
      <c r="F44" s="165"/>
      <c r="G44" s="984">
        <v>0</v>
      </c>
      <c r="H44" s="1029"/>
      <c r="I44" s="979">
        <f>일정!G35</f>
        <v>36</v>
      </c>
      <c r="J44" s="980"/>
      <c r="K44" s="982">
        <f>C4</f>
        <v>15</v>
      </c>
      <c r="L44" s="982"/>
      <c r="M44" s="982"/>
      <c r="N44" s="983"/>
      <c r="O44" s="154">
        <f>G44*I44*K44</f>
        <v>0</v>
      </c>
    </row>
    <row r="45" spans="2:22" ht="18" thickBot="1">
      <c r="B45" s="1020"/>
      <c r="C45" s="1030" t="s">
        <v>252</v>
      </c>
      <c r="D45" s="1031"/>
      <c r="E45" s="1032"/>
      <c r="F45" s="165"/>
      <c r="G45" s="989"/>
      <c r="H45" s="1033"/>
      <c r="I45" s="991">
        <f>일정!G29</f>
        <v>40</v>
      </c>
      <c r="J45" s="992"/>
      <c r="K45" s="959">
        <f>C4</f>
        <v>15</v>
      </c>
      <c r="L45" s="959"/>
      <c r="M45" s="959"/>
      <c r="N45" s="960"/>
      <c r="O45" s="215">
        <f>G45*I45*K45</f>
        <v>0</v>
      </c>
    </row>
  </sheetData>
  <mergeCells count="76">
    <mergeCell ref="K45:N45"/>
    <mergeCell ref="B42:B45"/>
    <mergeCell ref="C42:E42"/>
    <mergeCell ref="G42:H42"/>
    <mergeCell ref="I42:J42"/>
    <mergeCell ref="K42:N42"/>
    <mergeCell ref="C43:E43"/>
    <mergeCell ref="G43:H43"/>
    <mergeCell ref="I43:J43"/>
    <mergeCell ref="K43:N43"/>
    <mergeCell ref="C44:E44"/>
    <mergeCell ref="G44:H44"/>
    <mergeCell ref="I44:J44"/>
    <mergeCell ref="K44:N44"/>
    <mergeCell ref="C45:E45"/>
    <mergeCell ref="G45:H45"/>
    <mergeCell ref="I45:J45"/>
    <mergeCell ref="B39:B40"/>
    <mergeCell ref="C39:E39"/>
    <mergeCell ref="G39:H39"/>
    <mergeCell ref="I39:J39"/>
    <mergeCell ref="K39:N39"/>
    <mergeCell ref="C40:E40"/>
    <mergeCell ref="G40:J40"/>
    <mergeCell ref="K40:N40"/>
    <mergeCell ref="B29:B36"/>
    <mergeCell ref="C29:E29"/>
    <mergeCell ref="C31:E31"/>
    <mergeCell ref="C32:E32"/>
    <mergeCell ref="C33:E33"/>
    <mergeCell ref="C34:E34"/>
    <mergeCell ref="C35:E35"/>
    <mergeCell ref="C36:D36"/>
    <mergeCell ref="C30:E30"/>
    <mergeCell ref="B21:B28"/>
    <mergeCell ref="C21:E21"/>
    <mergeCell ref="C23:E23"/>
    <mergeCell ref="C24:E24"/>
    <mergeCell ref="C25:E25"/>
    <mergeCell ref="C26:E26"/>
    <mergeCell ref="C28:E28"/>
    <mergeCell ref="C22:E22"/>
    <mergeCell ref="C27:E27"/>
    <mergeCell ref="B13:B20"/>
    <mergeCell ref="C13:E13"/>
    <mergeCell ref="C14:E14"/>
    <mergeCell ref="C15:E15"/>
    <mergeCell ref="C16:E16"/>
    <mergeCell ref="C17:E17"/>
    <mergeCell ref="C18:E18"/>
    <mergeCell ref="C19:E19"/>
    <mergeCell ref="C20:E20"/>
    <mergeCell ref="H7:K7"/>
    <mergeCell ref="M8:N8"/>
    <mergeCell ref="O8:O9"/>
    <mergeCell ref="B10:B12"/>
    <mergeCell ref="C10:D10"/>
    <mergeCell ref="C11:E11"/>
    <mergeCell ref="C12:E12"/>
    <mergeCell ref="G8:H8"/>
    <mergeCell ref="I8:J8"/>
    <mergeCell ref="K8:L8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BBE64E5F-A78A-4E7F-B09B-BAECA4ECCE45}"/>
  </hyperlink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3DB-CF96-4EA9-BAE7-6878B3353C4F}">
  <dimension ref="A1:AF43"/>
  <sheetViews>
    <sheetView zoomScale="150" workbookViewId="0">
      <selection activeCell="C18" sqref="C18:E18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83203125" bestFit="1" customWidth="1"/>
    <col min="5" max="5" width="15.5" customWidth="1"/>
    <col min="6" max="6" width="4.6640625" customWidth="1"/>
    <col min="7" max="9" width="7.6640625" customWidth="1"/>
    <col min="10" max="10" width="9.83203125" customWidth="1"/>
    <col min="11" max="15" width="7.6640625" customWidth="1"/>
    <col min="16" max="16" width="2.83203125" customWidth="1"/>
    <col min="18" max="18" width="3.33203125" customWidth="1"/>
    <col min="20" max="20" width="4" bestFit="1" customWidth="1"/>
    <col min="21" max="21" width="1.6640625" customWidth="1"/>
    <col min="22" max="22" width="17.83203125" bestFit="1" customWidth="1"/>
    <col min="23" max="24" width="8.83203125" bestFit="1" customWidth="1"/>
    <col min="25" max="25" width="20.1640625" bestFit="1" customWidth="1"/>
    <col min="26" max="26" width="7.6640625" customWidth="1"/>
    <col min="27" max="27" width="3.5" customWidth="1"/>
    <col min="28" max="28" width="19.33203125" bestFit="1" customWidth="1"/>
    <col min="29" max="30" width="5" bestFit="1" customWidth="1"/>
    <col min="31" max="31" width="5.5" customWidth="1"/>
    <col min="32" max="32" width="6.1640625" bestFit="1" customWidth="1"/>
  </cols>
  <sheetData>
    <row r="1" spans="1:32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5.5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2">
      <c r="B2" s="73" t="s">
        <v>238</v>
      </c>
      <c r="C2" s="923" t="s">
        <v>1239</v>
      </c>
      <c r="D2" s="923"/>
      <c r="E2" s="924"/>
      <c r="F2" s="72"/>
      <c r="G2" s="921"/>
      <c r="H2" s="925">
        <f>C5</f>
        <v>45897</v>
      </c>
      <c r="I2" s="926"/>
      <c r="J2" s="927" t="str">
        <f>AB2</f>
        <v>Oasia Novena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210</v>
      </c>
      <c r="M2" s="140">
        <f>$I$1+$K$1</f>
        <v>5.5</v>
      </c>
      <c r="N2" s="106">
        <f>L2*M2</f>
        <v>1155</v>
      </c>
      <c r="O2" s="929">
        <f>SUM(N2:N6)</f>
        <v>3465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927</v>
      </c>
      <c r="AC2" s="10">
        <v>210</v>
      </c>
      <c r="AD2" s="10">
        <v>210</v>
      </c>
    </row>
    <row r="3" spans="1:32" ht="28">
      <c r="B3" s="74" t="s">
        <v>239</v>
      </c>
      <c r="C3" s="938"/>
      <c r="D3" s="938"/>
      <c r="E3" s="770"/>
      <c r="F3" s="72"/>
      <c r="G3" s="921"/>
      <c r="H3" s="925">
        <f>H2+1</f>
        <v>45898</v>
      </c>
      <c r="I3" s="926"/>
      <c r="J3" s="927" t="str">
        <f>J2</f>
        <v>Oasia Novena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210</v>
      </c>
      <c r="M3" s="140">
        <f>$I$1+$K$1</f>
        <v>5.5</v>
      </c>
      <c r="N3" s="106">
        <f>L3*M3</f>
        <v>1155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2" ht="18" thickBot="1">
      <c r="B4" s="75" t="s">
        <v>241</v>
      </c>
      <c r="C4" s="81">
        <v>11</v>
      </c>
      <c r="D4" s="84" t="s">
        <v>253</v>
      </c>
      <c r="E4" s="92">
        <v>0</v>
      </c>
      <c r="F4" s="72"/>
      <c r="G4" s="921"/>
      <c r="H4" s="925">
        <f>H3+1</f>
        <v>45899</v>
      </c>
      <c r="I4" s="926"/>
      <c r="J4" s="927" t="str">
        <f>J3</f>
        <v>Oasia Novena</v>
      </c>
      <c r="K4" s="928"/>
      <c r="L4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210</v>
      </c>
      <c r="M4" s="140">
        <f>$I$1+$K$1</f>
        <v>5.5</v>
      </c>
      <c r="N4" s="106">
        <f>L4*M4</f>
        <v>1155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tr">
        <f>'25메인호텔'!F2</f>
        <v>Momentus</v>
      </c>
      <c r="AC4" s="35">
        <f>'25메인호텔'!G2</f>
        <v>190</v>
      </c>
      <c r="AD4" s="35">
        <f>'25메인호텔'!H2</f>
        <v>180</v>
      </c>
      <c r="AE4" s="34"/>
      <c r="AF4" s="34"/>
    </row>
    <row r="5" spans="1:32" ht="18" thickBot="1">
      <c r="B5" s="76" t="s">
        <v>242</v>
      </c>
      <c r="C5" s="82">
        <v>45897</v>
      </c>
      <c r="D5" s="85">
        <v>3</v>
      </c>
      <c r="E5" s="93">
        <f>C5+D5</f>
        <v>45900</v>
      </c>
      <c r="F5" s="72"/>
      <c r="G5" s="921"/>
      <c r="H5" s="925">
        <f>H4+1</f>
        <v>45900</v>
      </c>
      <c r="I5" s="926"/>
      <c r="J5" s="939"/>
      <c r="K5" s="940"/>
      <c r="L5" s="135"/>
      <c r="M5" s="140"/>
      <c r="N5" s="106">
        <f>L5*M5</f>
        <v>0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tr">
        <f>'25메인호텔'!F3</f>
        <v>Aloft Novena</v>
      </c>
      <c r="AC5" s="35">
        <f>'25메인호텔'!G3</f>
        <v>180</v>
      </c>
      <c r="AD5" s="35">
        <f>'25메인호텔'!H3</f>
        <v>180</v>
      </c>
      <c r="AE5" s="34"/>
      <c r="AF5" s="34"/>
    </row>
    <row r="6" spans="1:32" ht="17.25" customHeight="1" thickBot="1">
      <c r="B6" s="77" t="s">
        <v>243</v>
      </c>
      <c r="C6" s="83">
        <f>(SUM(O10:O43)+O2)/C4+R6+T6</f>
        <v>1001.8727272727273</v>
      </c>
      <c r="D6" s="86" t="s">
        <v>254</v>
      </c>
      <c r="E6" s="94">
        <f>C6*$E$1</f>
        <v>1102060</v>
      </c>
      <c r="F6" s="72"/>
      <c r="G6" s="922"/>
      <c r="H6" s="925">
        <f>H5+1</f>
        <v>45901</v>
      </c>
      <c r="I6" s="926"/>
      <c r="J6" s="935"/>
      <c r="K6" s="935"/>
      <c r="L6" s="136"/>
      <c r="M6" s="89"/>
      <c r="N6" s="107">
        <f>L6*M6</f>
        <v>0</v>
      </c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tr">
        <f>'25메인호텔'!F4</f>
        <v>Mercure Stevens</v>
      </c>
      <c r="AC6" s="35">
        <f>'25메인호텔'!G4</f>
        <v>180</v>
      </c>
      <c r="AD6" s="35">
        <f>'25메인호텔'!H4</f>
        <v>180</v>
      </c>
      <c r="AE6" s="34"/>
      <c r="AF6" s="34"/>
    </row>
    <row r="7" spans="1:32" ht="18" thickBot="1">
      <c r="B7" s="78" t="s">
        <v>244</v>
      </c>
      <c r="C7" s="183">
        <v>5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tr">
        <f>'25메인호텔'!F5</f>
        <v>M Hotel City Centre</v>
      </c>
      <c r="AC7" s="35">
        <f>'25메인호텔'!G5</f>
        <v>230</v>
      </c>
      <c r="AD7" s="35">
        <f>'25메인호텔'!H5</f>
        <v>230</v>
      </c>
      <c r="AE7" s="34"/>
      <c r="AF7" s="34"/>
    </row>
    <row r="8" spans="1:32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tr">
        <f>'25메인호텔'!F6</f>
        <v>Concorde Hotel</v>
      </c>
      <c r="AC8" s="35">
        <f>'25메인호텔'!G6</f>
        <v>230</v>
      </c>
      <c r="AD8" s="35">
        <f>'25메인호텔'!H6</f>
        <v>230</v>
      </c>
      <c r="AE8" s="34"/>
      <c r="AF8" s="34"/>
    </row>
    <row r="9" spans="1:32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tr">
        <f>'25메인호텔'!F7</f>
        <v>Oasia Novena</v>
      </c>
      <c r="AC9" s="35">
        <f>'25메인호텔'!G7</f>
        <v>210</v>
      </c>
      <c r="AD9" s="35">
        <f>'25메인호텔'!H7</f>
        <v>210</v>
      </c>
      <c r="AE9" s="34"/>
      <c r="AF9" s="34"/>
    </row>
    <row r="10" spans="1:32">
      <c r="B10" s="905" t="str">
        <f>TEXT(C5,"m월 d일 aaaa")</f>
        <v>8월 28일 목요일</v>
      </c>
      <c r="C10" s="867" t="s">
        <v>960</v>
      </c>
      <c r="D10" s="916"/>
      <c r="E10" s="499">
        <f>상품리스트!F10</f>
        <v>0.98611111111111116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200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350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tr">
        <f>'25메인호텔'!F8</f>
        <v>Orchid Hotel</v>
      </c>
      <c r="AC10" s="35">
        <f>'25메인호텔'!G8</f>
        <v>220</v>
      </c>
      <c r="AD10" s="35">
        <f>'25메인호텔'!H8</f>
        <v>220</v>
      </c>
      <c r="AE10" s="34"/>
      <c r="AF10" s="34"/>
    </row>
    <row r="11" spans="1:32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4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tr">
        <f>'25메인호텔'!F9</f>
        <v>Amara Singapore</v>
      </c>
      <c r="AC11" s="35">
        <f>'25메인호텔'!G9</f>
        <v>230</v>
      </c>
      <c r="AD11" s="35">
        <f>'25메인호텔'!H9</f>
        <v>230</v>
      </c>
      <c r="AE11" s="34"/>
      <c r="AF11" s="34"/>
    </row>
    <row r="12" spans="1:32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서차지!B13</f>
        <v xml:space="preserve">Food &amp; Hotel Beverage </v>
      </c>
      <c r="W12" s="189">
        <f>서차지!C13</f>
        <v>0</v>
      </c>
      <c r="X12" s="189">
        <f>서차지!D13</f>
        <v>0</v>
      </c>
      <c r="Y12" s="188">
        <f>서차지!E13</f>
        <v>0</v>
      </c>
      <c r="AB12" s="495" t="str">
        <f>'25메인호텔'!F10</f>
        <v>Orchard Hotel</v>
      </c>
      <c r="AC12" s="35">
        <f>'25메인호텔'!G10</f>
        <v>240</v>
      </c>
      <c r="AD12" s="35">
        <f>'25메인호텔'!H10</f>
        <v>240</v>
      </c>
      <c r="AE12" s="34"/>
      <c r="AF12" s="34"/>
    </row>
    <row r="13" spans="1:32">
      <c r="B13" s="905" t="str">
        <f>TEXT(C5+1,"m월 d일 aaaa")</f>
        <v>8월 29일 금요일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530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905</v>
      </c>
      <c r="Q13" s="159" t="s">
        <v>277</v>
      </c>
      <c r="V13" s="190" t="str">
        <f>서차지!B14</f>
        <v>CommunicAsia</v>
      </c>
      <c r="W13" s="189">
        <f>서차지!C14</f>
        <v>0</v>
      </c>
      <c r="X13" s="189">
        <f>서차지!D14</f>
        <v>0</v>
      </c>
      <c r="Y13" s="188">
        <f>서차지!E14</f>
        <v>0</v>
      </c>
      <c r="AB13" s="495" t="str">
        <f>'25메인호텔'!F11</f>
        <v>Grand Copthorne</v>
      </c>
      <c r="AC13" s="35">
        <f>'25메인호텔'!G11</f>
        <v>240</v>
      </c>
      <c r="AD13" s="35">
        <f>'25메인호텔'!H11</f>
        <v>240</v>
      </c>
      <c r="AE13" s="34"/>
      <c r="AF13" s="34"/>
    </row>
    <row r="14" spans="1:32">
      <c r="B14" s="865"/>
      <c r="C14" s="907" t="s">
        <v>322</v>
      </c>
      <c r="D14" s="900"/>
      <c r="E14" s="901"/>
      <c r="F14" s="72"/>
      <c r="G14" s="102"/>
      <c r="H14" s="115"/>
      <c r="I14" s="120"/>
      <c r="J14" s="110"/>
      <c r="K14" s="123"/>
      <c r="L14" s="91"/>
      <c r="M14" s="123"/>
      <c r="N14" s="91"/>
      <c r="O14" s="144">
        <f t="shared" si="0"/>
        <v>0</v>
      </c>
      <c r="Q14" s="7"/>
      <c r="V14" s="190" t="str">
        <f>서차지!B15</f>
        <v>National Day</v>
      </c>
      <c r="W14" s="189">
        <f>서차지!C15</f>
        <v>0</v>
      </c>
      <c r="X14" s="189">
        <f>서차지!D15</f>
        <v>0</v>
      </c>
      <c r="Y14" s="188">
        <f>서차지!E15</f>
        <v>0</v>
      </c>
      <c r="AB14" s="496" t="str">
        <f>'25메인호텔'!F12</f>
        <v>Mercure Tyrwhitt</v>
      </c>
      <c r="AC14" s="35">
        <f>'25메인호텔'!G12</f>
        <v>170</v>
      </c>
      <c r="AD14" s="35">
        <f>'25메인호텔'!H12</f>
        <v>170</v>
      </c>
      <c r="AE14" s="34"/>
      <c r="AF14" s="34"/>
    </row>
    <row r="15" spans="1:32">
      <c r="B15" s="865"/>
      <c r="C15" s="876" t="s">
        <v>323</v>
      </c>
      <c r="D15" s="877"/>
      <c r="E15" s="878"/>
      <c r="F15" s="72"/>
      <c r="G15" s="99"/>
      <c r="H15" s="110"/>
      <c r="I15" s="122">
        <f>식사!E10</f>
        <v>45</v>
      </c>
      <c r="J15" s="115">
        <f>$C$4+$E$4</f>
        <v>11</v>
      </c>
      <c r="K15" s="120"/>
      <c r="L15" s="91"/>
      <c r="M15" s="120"/>
      <c r="N15" s="91"/>
      <c r="O15" s="144">
        <f t="shared" si="0"/>
        <v>495</v>
      </c>
      <c r="Q15" s="7"/>
      <c r="AB15" s="496" t="str">
        <f>'25메인호텔'!F13</f>
        <v>Hotel Boss</v>
      </c>
      <c r="AC15" s="35">
        <f>'25메인호텔'!G13</f>
        <v>185</v>
      </c>
      <c r="AD15" s="35">
        <f>'25메인호텔'!H13</f>
        <v>185</v>
      </c>
      <c r="AE15" s="34"/>
      <c r="AF15" s="34"/>
    </row>
    <row r="16" spans="1:32">
      <c r="B16" s="865"/>
      <c r="C16" s="879" t="s">
        <v>1123</v>
      </c>
      <c r="D16" s="880"/>
      <c r="E16" s="881"/>
      <c r="F16" s="72"/>
      <c r="G16" s="101">
        <f>일정!E38</f>
        <v>23.5</v>
      </c>
      <c r="H16" s="115">
        <f>$C$4+$E$4</f>
        <v>11</v>
      </c>
      <c r="I16" s="123"/>
      <c r="J16" s="110"/>
      <c r="K16" s="123"/>
      <c r="L16" s="91"/>
      <c r="M16" s="123"/>
      <c r="N16" s="91"/>
      <c r="O16" s="144">
        <f t="shared" si="0"/>
        <v>258.5</v>
      </c>
      <c r="Q16" s="7"/>
      <c r="AB16" s="496" t="str">
        <f>'25메인호텔'!F14</f>
        <v>V Hotel Lavender</v>
      </c>
      <c r="AC16" s="35">
        <f>'25메인호텔'!G14</f>
        <v>185</v>
      </c>
      <c r="AD16" s="35">
        <f>'25메인호텔'!H14</f>
        <v>185</v>
      </c>
      <c r="AE16" s="34"/>
      <c r="AF16" s="34"/>
    </row>
    <row r="17" spans="2:32">
      <c r="B17" s="865"/>
      <c r="C17" s="890" t="s">
        <v>550</v>
      </c>
      <c r="D17" s="891"/>
      <c r="E17" s="892"/>
      <c r="F17" s="72"/>
      <c r="G17" s="102"/>
      <c r="H17" s="115"/>
      <c r="I17" s="123"/>
      <c r="J17" s="110"/>
      <c r="K17" s="123"/>
      <c r="L17" s="91"/>
      <c r="M17" s="123"/>
      <c r="N17" s="91"/>
      <c r="O17" s="144">
        <f t="shared" si="0"/>
        <v>0</v>
      </c>
      <c r="Q17" s="7"/>
      <c r="AB17" s="496" t="str">
        <f>'25메인호텔'!F15</f>
        <v>IbIs Novena</v>
      </c>
      <c r="AC17" s="35">
        <f>'25메인호텔'!G15</f>
        <v>155</v>
      </c>
      <c r="AD17" s="35">
        <f>'25메인호텔'!H15</f>
        <v>155</v>
      </c>
      <c r="AE17" s="34"/>
      <c r="AF17" s="34"/>
    </row>
    <row r="18" spans="2:32">
      <c r="B18" s="865"/>
      <c r="C18" s="879" t="str">
        <f>일정!C27</f>
        <v>가든스바이더베이 2돔 ( 쥬랴기 )</v>
      </c>
      <c r="D18" s="880"/>
      <c r="E18" s="881"/>
      <c r="F18" s="72"/>
      <c r="G18" s="101">
        <f>일정!E27</f>
        <v>28.3</v>
      </c>
      <c r="H18" s="115">
        <f>$C$4+$E$4</f>
        <v>11</v>
      </c>
      <c r="I18" s="123"/>
      <c r="J18" s="110"/>
      <c r="K18" s="123"/>
      <c r="L18" s="91"/>
      <c r="M18" s="123"/>
      <c r="N18" s="91"/>
      <c r="O18" s="144">
        <f t="shared" si="0"/>
        <v>311.3</v>
      </c>
      <c r="Q18" s="7"/>
      <c r="AB18" s="496" t="str">
        <f>'25메인호텔'!F16</f>
        <v xml:space="preserve">IbIs bencoolen </v>
      </c>
      <c r="AC18" s="35">
        <f>'25메인호텔'!G16</f>
        <v>185</v>
      </c>
      <c r="AD18" s="35">
        <f>'25메인호텔'!H16</f>
        <v>185</v>
      </c>
      <c r="AE18" s="34"/>
      <c r="AF18" s="34"/>
    </row>
    <row r="19" spans="2:32">
      <c r="B19" s="865"/>
      <c r="C19" s="902" t="s">
        <v>298</v>
      </c>
      <c r="D19" s="903"/>
      <c r="E19" s="904"/>
      <c r="F19" s="72"/>
      <c r="G19" s="123"/>
      <c r="H19" s="110"/>
      <c r="I19" s="122">
        <f>식사!E3</f>
        <v>25</v>
      </c>
      <c r="J19" s="115">
        <f>$C$4+$E$4</f>
        <v>11</v>
      </c>
      <c r="K19" s="120"/>
      <c r="L19" s="91"/>
      <c r="M19" s="120"/>
      <c r="N19" s="91"/>
      <c r="O19" s="144">
        <f t="shared" si="0"/>
        <v>275</v>
      </c>
      <c r="Q19" s="7"/>
      <c r="AB19" s="497" t="str">
        <f>'25메인호텔'!F17</f>
        <v>Oasia Sentosa</v>
      </c>
      <c r="AC19" s="35">
        <f>'25메인호텔'!G17</f>
        <v>240</v>
      </c>
      <c r="AD19" s="35">
        <f>'25메인호텔'!H17</f>
        <v>240</v>
      </c>
      <c r="AE19" s="34"/>
      <c r="AF19" s="34"/>
    </row>
    <row r="20" spans="2:32">
      <c r="B20" s="865"/>
      <c r="C20" s="941" t="s">
        <v>325</v>
      </c>
      <c r="D20" s="911"/>
      <c r="E20" s="912"/>
      <c r="F20" s="72"/>
      <c r="G20" s="205"/>
      <c r="H20" s="115"/>
      <c r="I20" s="102"/>
      <c r="J20" s="115"/>
      <c r="K20" s="120"/>
      <c r="L20" s="91"/>
      <c r="M20" s="120"/>
      <c r="N20" s="91"/>
      <c r="O20" s="144">
        <f t="shared" si="0"/>
        <v>0</v>
      </c>
      <c r="Q20" s="7"/>
      <c r="AB20" s="497" t="str">
        <f>'25메인호텔'!F18</f>
        <v>Swissotel The stamford</v>
      </c>
      <c r="AC20" s="35">
        <f>'25메인호텔'!G18</f>
        <v>540</v>
      </c>
      <c r="AD20" s="35">
        <f>'25메인호텔'!H18</f>
        <v>540</v>
      </c>
      <c r="AE20" s="34" t="e">
        <f>'25메인호텔'!#REF!</f>
        <v>#REF!</v>
      </c>
      <c r="AF20" s="34" t="e">
        <f>'25메인호텔'!#REF!</f>
        <v>#REF!</v>
      </c>
    </row>
    <row r="21" spans="2:32" ht="18" thickBot="1">
      <c r="B21" s="906"/>
      <c r="C21" s="893" t="s">
        <v>1005</v>
      </c>
      <c r="D21" s="894"/>
      <c r="E21" s="895"/>
      <c r="F21" s="72"/>
      <c r="G21" s="102"/>
      <c r="H21" s="115"/>
      <c r="I21" s="123"/>
      <c r="J21" s="110"/>
      <c r="K21" s="123"/>
      <c r="L21" s="91"/>
      <c r="M21" s="123"/>
      <c r="N21" s="91"/>
      <c r="O21" s="144">
        <f t="shared" si="0"/>
        <v>0</v>
      </c>
      <c r="Q21" s="7"/>
    </row>
    <row r="22" spans="2:32">
      <c r="B22" s="864" t="str">
        <f>TEXT(C5+2,"m월 d일 aaaa")</f>
        <v>8월 30일 토요일</v>
      </c>
      <c r="C22" s="896" t="s">
        <v>240</v>
      </c>
      <c r="D22" s="897"/>
      <c r="E22" s="898"/>
      <c r="F22" s="72"/>
      <c r="G22" s="353"/>
      <c r="H22" s="109"/>
      <c r="I22" s="119"/>
      <c r="J22" s="109"/>
      <c r="K22" s="128">
        <f>IF(C4+E4&lt;8,'가이드&amp;차량'!C47, IF(C4+E4&lt;=14,'가이드&amp;차량'!C39,'가이드&amp;차량'!C23))</f>
        <v>530</v>
      </c>
      <c r="L22" s="90">
        <f>L10</f>
        <v>1</v>
      </c>
      <c r="M22" s="128">
        <f>'가이드&amp;차량'!C6</f>
        <v>375</v>
      </c>
      <c r="N22" s="90">
        <f>N10</f>
        <v>1</v>
      </c>
      <c r="O22" s="143">
        <f t="shared" si="0"/>
        <v>905</v>
      </c>
      <c r="Q22" s="159" t="s">
        <v>277</v>
      </c>
      <c r="V22">
        <f>850*2*1080</f>
        <v>1836000</v>
      </c>
    </row>
    <row r="23" spans="2:32">
      <c r="B23" s="944"/>
      <c r="C23" s="899" t="s">
        <v>329</v>
      </c>
      <c r="D23" s="883"/>
      <c r="E23" s="884"/>
      <c r="F23" s="72"/>
      <c r="G23" s="101">
        <f>일정!E40</f>
        <v>24.5</v>
      </c>
      <c r="H23" s="115">
        <f>$C$4+$E$4</f>
        <v>11</v>
      </c>
      <c r="I23" s="123"/>
      <c r="J23" s="110"/>
      <c r="K23" s="123"/>
      <c r="L23" s="91"/>
      <c r="M23" s="123"/>
      <c r="N23" s="91"/>
      <c r="O23" s="144">
        <f t="shared" si="0"/>
        <v>269.5</v>
      </c>
      <c r="V23" s="498"/>
    </row>
    <row r="24" spans="2:32">
      <c r="B24" s="944"/>
      <c r="C24" s="902" t="s">
        <v>986</v>
      </c>
      <c r="D24" s="903"/>
      <c r="E24" s="904"/>
      <c r="F24" s="72"/>
      <c r="G24" s="123"/>
      <c r="H24" s="110"/>
      <c r="I24" s="122">
        <f>식사!E36</f>
        <v>20</v>
      </c>
      <c r="J24" s="115">
        <f>$C$4+$E$4</f>
        <v>11</v>
      </c>
      <c r="K24" s="120"/>
      <c r="L24" s="91"/>
      <c r="M24" s="120"/>
      <c r="N24" s="91"/>
      <c r="O24" s="144">
        <f t="shared" si="0"/>
        <v>220</v>
      </c>
    </row>
    <row r="25" spans="2:32">
      <c r="B25" s="888"/>
      <c r="C25" s="1016" t="s">
        <v>785</v>
      </c>
      <c r="D25" s="1017"/>
      <c r="E25" s="1018"/>
      <c r="F25" s="72"/>
      <c r="G25" s="102"/>
      <c r="H25" s="115"/>
      <c r="I25" s="123"/>
      <c r="J25" s="110"/>
      <c r="K25" s="123"/>
      <c r="L25" s="91"/>
      <c r="M25" s="102"/>
      <c r="N25" s="91"/>
      <c r="O25" s="146">
        <f t="shared" si="0"/>
        <v>0</v>
      </c>
      <c r="Q25" s="7"/>
    </row>
    <row r="26" spans="2:32">
      <c r="B26" s="888"/>
      <c r="C26" s="902" t="s">
        <v>1125</v>
      </c>
      <c r="D26" s="903"/>
      <c r="E26" s="904"/>
      <c r="F26" s="72"/>
      <c r="G26" s="123"/>
      <c r="H26" s="110"/>
      <c r="I26" s="122">
        <v>20</v>
      </c>
      <c r="J26" s="115">
        <f>$C$4+$E$4</f>
        <v>11</v>
      </c>
      <c r="K26" s="123"/>
      <c r="L26" s="91"/>
      <c r="M26" s="123"/>
      <c r="N26" s="91"/>
      <c r="O26" s="146">
        <f t="shared" si="0"/>
        <v>220</v>
      </c>
      <c r="Q26" s="7"/>
    </row>
    <row r="27" spans="2:32" ht="18" thickBot="1">
      <c r="B27" s="866"/>
      <c r="C27" s="917" t="s">
        <v>248</v>
      </c>
      <c r="D27" s="918"/>
      <c r="E27" s="919"/>
      <c r="F27" s="72"/>
      <c r="G27" s="129"/>
      <c r="H27" s="111"/>
      <c r="I27" s="124"/>
      <c r="J27" s="126"/>
      <c r="K27" s="129"/>
      <c r="L27" s="137"/>
      <c r="M27" s="124"/>
      <c r="N27" s="137"/>
      <c r="O27" s="147">
        <f t="shared" si="0"/>
        <v>0</v>
      </c>
      <c r="Q27" s="7"/>
    </row>
    <row r="28" spans="2:32">
      <c r="B28" s="864" t="str">
        <f>TEXT(C5+3,"m월 d일 aaaa")</f>
        <v>8월 31일 일요일</v>
      </c>
      <c r="C28" s="896" t="s">
        <v>330</v>
      </c>
      <c r="D28" s="897"/>
      <c r="E28" s="898"/>
      <c r="F28" s="72"/>
      <c r="G28" s="353"/>
      <c r="H28" s="109"/>
      <c r="I28" s="119"/>
      <c r="J28" s="109"/>
      <c r="K28" s="128">
        <f>IF(C4+E4&lt;8,'가이드&amp;차량'!C47, IF(C4+E4&lt;=14,'가이드&amp;차량'!C39,'가이드&amp;차량'!C23))</f>
        <v>530</v>
      </c>
      <c r="L28" s="90">
        <f>L10</f>
        <v>1</v>
      </c>
      <c r="M28" s="128">
        <f>'가이드&amp;차량'!C6+'가이드&amp;차량'!C3</f>
        <v>525</v>
      </c>
      <c r="N28" s="90">
        <f>N10</f>
        <v>1</v>
      </c>
      <c r="O28" s="143">
        <f t="shared" si="0"/>
        <v>1055</v>
      </c>
      <c r="Q28" s="159" t="s">
        <v>278</v>
      </c>
    </row>
    <row r="29" spans="2:32">
      <c r="B29" s="888"/>
      <c r="C29" s="902" t="s">
        <v>559</v>
      </c>
      <c r="D29" s="903"/>
      <c r="E29" s="904"/>
      <c r="F29" s="72"/>
      <c r="G29" s="123"/>
      <c r="H29" s="110"/>
      <c r="I29" s="122">
        <f>식사!E19</f>
        <v>17</v>
      </c>
      <c r="J29" s="115">
        <f>$C$4+$E$4</f>
        <v>11</v>
      </c>
      <c r="K29" s="120"/>
      <c r="L29" s="91"/>
      <c r="M29" s="120"/>
      <c r="N29" s="91"/>
      <c r="O29" s="144">
        <f t="shared" si="0"/>
        <v>187</v>
      </c>
    </row>
    <row r="30" spans="2:32">
      <c r="B30" s="888"/>
      <c r="C30" s="882" t="s">
        <v>817</v>
      </c>
      <c r="D30" s="883"/>
      <c r="E30" s="884"/>
      <c r="F30" s="72"/>
      <c r="G30" s="101">
        <f>일정!E10+일정!E19+일정!E20</f>
        <v>76.3</v>
      </c>
      <c r="H30" s="115">
        <f>$C$4+$E$4</f>
        <v>11</v>
      </c>
      <c r="I30" s="123"/>
      <c r="J30" s="110"/>
      <c r="K30" s="123"/>
      <c r="L30" s="91"/>
      <c r="M30" s="123"/>
      <c r="N30" s="91"/>
      <c r="O30" s="144">
        <f t="shared" si="0"/>
        <v>839.3</v>
      </c>
      <c r="V30" s="498"/>
    </row>
    <row r="31" spans="2:32">
      <c r="B31" s="888"/>
      <c r="C31" s="1013" t="s">
        <v>333</v>
      </c>
      <c r="D31" s="1014"/>
      <c r="E31" s="1015"/>
      <c r="F31" s="72"/>
      <c r="G31" s="206"/>
      <c r="H31" s="164"/>
      <c r="I31" s="122">
        <f>식사!E33</f>
        <v>10</v>
      </c>
      <c r="J31" s="115">
        <f>$C$4+$E$4</f>
        <v>11</v>
      </c>
      <c r="K31" s="161"/>
      <c r="L31" s="138"/>
      <c r="M31" s="161"/>
      <c r="N31" s="138"/>
      <c r="O31" s="148">
        <f t="shared" si="0"/>
        <v>110</v>
      </c>
    </row>
    <row r="32" spans="2:32">
      <c r="B32" s="888"/>
      <c r="C32" s="907" t="s">
        <v>1126</v>
      </c>
      <c r="D32" s="908"/>
      <c r="E32" s="909"/>
      <c r="F32" s="72"/>
      <c r="G32" s="206"/>
      <c r="H32" s="164"/>
      <c r="I32" s="123"/>
      <c r="J32" s="110"/>
      <c r="K32" s="161"/>
      <c r="L32" s="138"/>
      <c r="M32" s="161"/>
      <c r="N32" s="138"/>
      <c r="O32" s="148">
        <f t="shared" si="0"/>
        <v>0</v>
      </c>
    </row>
    <row r="33" spans="2:22">
      <c r="B33" s="888"/>
      <c r="C33" s="902" t="s">
        <v>1209</v>
      </c>
      <c r="D33" s="903"/>
      <c r="E33" s="904"/>
      <c r="F33" s="72"/>
      <c r="G33" s="104"/>
      <c r="H33" s="116"/>
      <c r="I33" s="122">
        <f>식사!E41</f>
        <v>42</v>
      </c>
      <c r="J33" s="115">
        <f>$C$4+$E$4</f>
        <v>11</v>
      </c>
      <c r="K33" s="130"/>
      <c r="L33" s="138"/>
      <c r="M33" s="130"/>
      <c r="N33" s="138"/>
      <c r="O33" s="148">
        <f t="shared" si="0"/>
        <v>462</v>
      </c>
    </row>
    <row r="34" spans="2:22" ht="18" thickBot="1">
      <c r="B34" s="866"/>
      <c r="C34" s="870" t="s">
        <v>1207</v>
      </c>
      <c r="D34" s="871"/>
      <c r="E34" s="500">
        <f>상품리스트!I10</f>
        <v>4.8611111111111112E-2</v>
      </c>
      <c r="F34" s="34"/>
      <c r="G34" s="105"/>
      <c r="H34" s="117"/>
      <c r="I34" s="124"/>
      <c r="J34" s="126"/>
      <c r="K34" s="131"/>
      <c r="L34" s="139"/>
      <c r="M34" s="131"/>
      <c r="N34" s="139"/>
      <c r="O34" s="149">
        <f t="shared" si="0"/>
        <v>0</v>
      </c>
      <c r="P34" s="34"/>
      <c r="Q34" s="34"/>
      <c r="R34" s="34"/>
      <c r="S34" s="34"/>
      <c r="T34" s="34"/>
      <c r="U34" s="34"/>
      <c r="V34" s="493"/>
    </row>
    <row r="35" spans="2:22">
      <c r="B35" s="72"/>
      <c r="C35" s="72"/>
      <c r="D35" s="72"/>
      <c r="E35" s="72"/>
      <c r="F35" s="72"/>
      <c r="G35" s="72"/>
      <c r="H35" s="72"/>
      <c r="K35" s="132">
        <f>SUM(K10:K34)</f>
        <v>1790</v>
      </c>
      <c r="L35" s="72"/>
      <c r="M35" s="132">
        <f>SUM(M10:M34)</f>
        <v>1425</v>
      </c>
      <c r="N35" s="72"/>
      <c r="O35" s="150"/>
      <c r="P35" s="156"/>
      <c r="V35" s="493"/>
    </row>
    <row r="36" spans="2:22" ht="18" thickBot="1">
      <c r="O36" s="150"/>
      <c r="V36" s="493"/>
    </row>
    <row r="37" spans="2:22">
      <c r="B37" s="993" t="s">
        <v>246</v>
      </c>
      <c r="C37" s="995" t="s">
        <v>288</v>
      </c>
      <c r="D37" s="996"/>
      <c r="E37" s="997"/>
      <c r="F37" s="34"/>
      <c r="G37" s="998">
        <f>$C$4+$E$4</f>
        <v>11</v>
      </c>
      <c r="H37" s="999"/>
      <c r="I37" s="1000">
        <v>3</v>
      </c>
      <c r="J37" s="1001"/>
      <c r="K37" s="1002">
        <v>1</v>
      </c>
      <c r="L37" s="1003"/>
      <c r="M37" s="1003"/>
      <c r="N37" s="830"/>
      <c r="O37" s="151">
        <f>G37*I37*K37</f>
        <v>33</v>
      </c>
      <c r="V37" s="493"/>
    </row>
    <row r="38" spans="2:22" ht="18" thickBot="1">
      <c r="B38" s="994"/>
      <c r="C38" s="1004" t="s">
        <v>451</v>
      </c>
      <c r="D38" s="1005"/>
      <c r="E38" s="1006"/>
      <c r="F38" s="34"/>
      <c r="G38" s="1007">
        <v>50</v>
      </c>
      <c r="H38" s="1008"/>
      <c r="I38" s="1008"/>
      <c r="J38" s="1009"/>
      <c r="K38" s="1010">
        <f>C4</f>
        <v>11</v>
      </c>
      <c r="L38" s="1011"/>
      <c r="M38" s="1011"/>
      <c r="N38" s="1012"/>
      <c r="O38" s="152">
        <f>G38*K38</f>
        <v>550</v>
      </c>
      <c r="V38" s="493"/>
    </row>
    <row r="39" spans="2:22" ht="18" thickBot="1">
      <c r="O39" s="150"/>
      <c r="V39" s="493"/>
    </row>
    <row r="40" spans="2:22">
      <c r="B40" s="961" t="s">
        <v>337</v>
      </c>
      <c r="C40" s="1021" t="s">
        <v>251</v>
      </c>
      <c r="D40" s="1022"/>
      <c r="E40" s="1023"/>
      <c r="F40" s="165"/>
      <c r="G40" s="967">
        <v>0</v>
      </c>
      <c r="H40" s="1024"/>
      <c r="I40" s="969">
        <f>일정!G24</f>
        <v>30</v>
      </c>
      <c r="J40" s="970"/>
      <c r="K40" s="972">
        <f>$C$4+$E$4</f>
        <v>11</v>
      </c>
      <c r="L40" s="972"/>
      <c r="M40" s="972"/>
      <c r="N40" s="973"/>
      <c r="O40" s="153">
        <f>G40*I40*K40</f>
        <v>0</v>
      </c>
    </row>
    <row r="41" spans="2:22">
      <c r="B41" s="1019"/>
      <c r="C41" s="1025" t="s">
        <v>250</v>
      </c>
      <c r="D41" s="1026"/>
      <c r="E41" s="1027"/>
      <c r="F41" s="165"/>
      <c r="G41" s="977">
        <v>0</v>
      </c>
      <c r="H41" s="1028"/>
      <c r="I41" s="979">
        <f>일정!G30</f>
        <v>28</v>
      </c>
      <c r="J41" s="980"/>
      <c r="K41" s="982">
        <f>$C$4+$E$4</f>
        <v>11</v>
      </c>
      <c r="L41" s="982"/>
      <c r="M41" s="982"/>
      <c r="N41" s="983"/>
      <c r="O41" s="154">
        <f>G41*I41*K41</f>
        <v>0</v>
      </c>
    </row>
    <row r="42" spans="2:22">
      <c r="B42" s="1019"/>
      <c r="C42" s="1025" t="s">
        <v>249</v>
      </c>
      <c r="D42" s="1026"/>
      <c r="E42" s="1027"/>
      <c r="F42" s="165"/>
      <c r="G42" s="984">
        <v>0</v>
      </c>
      <c r="H42" s="985"/>
      <c r="I42" s="979">
        <f>일정!G35</f>
        <v>36</v>
      </c>
      <c r="J42" s="980"/>
      <c r="K42" s="982">
        <f>$C$4+$E$4</f>
        <v>11</v>
      </c>
      <c r="L42" s="982"/>
      <c r="M42" s="982"/>
      <c r="N42" s="983"/>
      <c r="O42" s="154">
        <f>G42*I42*K42</f>
        <v>0</v>
      </c>
    </row>
    <row r="43" spans="2:22" ht="18" thickBot="1">
      <c r="B43" s="1020"/>
      <c r="C43" s="1030" t="s">
        <v>252</v>
      </c>
      <c r="D43" s="1031"/>
      <c r="E43" s="1032"/>
      <c r="F43" s="165"/>
      <c r="G43" s="989">
        <v>0</v>
      </c>
      <c r="H43" s="1033"/>
      <c r="I43" s="991">
        <f>일정!G29</f>
        <v>40</v>
      </c>
      <c r="J43" s="992"/>
      <c r="K43" s="959">
        <f>$C$4+$E$4</f>
        <v>11</v>
      </c>
      <c r="L43" s="959"/>
      <c r="M43" s="959"/>
      <c r="N43" s="960"/>
      <c r="O43" s="215">
        <f>G43*I43*K43</f>
        <v>0</v>
      </c>
    </row>
  </sheetData>
  <mergeCells count="74">
    <mergeCell ref="K43:N43"/>
    <mergeCell ref="B40:B43"/>
    <mergeCell ref="C40:E40"/>
    <mergeCell ref="G40:H40"/>
    <mergeCell ref="I40:J40"/>
    <mergeCell ref="K40:N40"/>
    <mergeCell ref="C41:E41"/>
    <mergeCell ref="G41:H41"/>
    <mergeCell ref="I41:J41"/>
    <mergeCell ref="K41:N41"/>
    <mergeCell ref="C42:E42"/>
    <mergeCell ref="G42:H42"/>
    <mergeCell ref="I42:J42"/>
    <mergeCell ref="K42:N42"/>
    <mergeCell ref="C43:E43"/>
    <mergeCell ref="G43:H43"/>
    <mergeCell ref="I43:J43"/>
    <mergeCell ref="B37:B38"/>
    <mergeCell ref="C37:E37"/>
    <mergeCell ref="G37:H37"/>
    <mergeCell ref="I37:J37"/>
    <mergeCell ref="K37:N37"/>
    <mergeCell ref="C38:E38"/>
    <mergeCell ref="G38:J38"/>
    <mergeCell ref="K38:N38"/>
    <mergeCell ref="B28:B34"/>
    <mergeCell ref="C28:E28"/>
    <mergeCell ref="C29:E29"/>
    <mergeCell ref="C30:E30"/>
    <mergeCell ref="C31:E31"/>
    <mergeCell ref="C32:E32"/>
    <mergeCell ref="C33:E33"/>
    <mergeCell ref="C34:D34"/>
    <mergeCell ref="B22:B27"/>
    <mergeCell ref="C22:E22"/>
    <mergeCell ref="C23:E23"/>
    <mergeCell ref="C24:E24"/>
    <mergeCell ref="C25:E25"/>
    <mergeCell ref="C26:E26"/>
    <mergeCell ref="C27:E27"/>
    <mergeCell ref="B13:B21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H7:K7"/>
    <mergeCell ref="M8:N8"/>
    <mergeCell ref="O8:O9"/>
    <mergeCell ref="B10:B12"/>
    <mergeCell ref="C10:D10"/>
    <mergeCell ref="C11:E11"/>
    <mergeCell ref="C12:E12"/>
    <mergeCell ref="G8:H8"/>
    <mergeCell ref="I8:J8"/>
    <mergeCell ref="K8:L8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C65C9F44-5AA5-4280-8D98-79773DE47720}"/>
  </hyperlinks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A662-FBCF-43D8-8754-ABCB966D583F}">
  <dimension ref="A1:AF44"/>
  <sheetViews>
    <sheetView workbookViewId="0">
      <selection activeCell="I16" sqref="I16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9" width="7.6640625" customWidth="1"/>
    <col min="10" max="10" width="9.83203125" customWidth="1"/>
    <col min="11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6" max="26" width="7.6640625" customWidth="1"/>
    <col min="27" max="27" width="3.5" customWidth="1"/>
    <col min="28" max="28" width="19.33203125" bestFit="1" customWidth="1"/>
  </cols>
  <sheetData>
    <row r="1" spans="1:32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5.5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2">
      <c r="B2" s="73" t="s">
        <v>238</v>
      </c>
      <c r="C2" s="923" t="s">
        <v>1120</v>
      </c>
      <c r="D2" s="923"/>
      <c r="E2" s="924"/>
      <c r="F2" s="72"/>
      <c r="G2" s="921"/>
      <c r="H2" s="925">
        <f>C5</f>
        <v>45791</v>
      </c>
      <c r="I2" s="926"/>
      <c r="J2" s="927" t="str">
        <f>AB2</f>
        <v>Amara Singapore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230</v>
      </c>
      <c r="M2" s="140">
        <f>$I$1+$K$1</f>
        <v>5.5</v>
      </c>
      <c r="N2" s="106">
        <f>L2*M2</f>
        <v>1265</v>
      </c>
      <c r="O2" s="929">
        <f>SUM(N2:N6)</f>
        <v>3795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919</v>
      </c>
      <c r="AC2" s="10">
        <v>230</v>
      </c>
      <c r="AD2" s="10">
        <v>230</v>
      </c>
    </row>
    <row r="3" spans="1:32" ht="28">
      <c r="B3" s="74" t="s">
        <v>239</v>
      </c>
      <c r="C3" s="938" t="s">
        <v>1127</v>
      </c>
      <c r="D3" s="938"/>
      <c r="E3" s="770"/>
      <c r="F3" s="72"/>
      <c r="G3" s="921"/>
      <c r="H3" s="925">
        <f>H2+1</f>
        <v>45792</v>
      </c>
      <c r="I3" s="926"/>
      <c r="J3" s="927" t="str">
        <f>J2</f>
        <v>Amara Singapore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230</v>
      </c>
      <c r="M3" s="140">
        <f>$I$1+$K$1</f>
        <v>5.5</v>
      </c>
      <c r="N3" s="106">
        <f>L3*M3</f>
        <v>1265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2" ht="18" thickBot="1">
      <c r="B4" s="75" t="s">
        <v>241</v>
      </c>
      <c r="C4" s="81">
        <v>11</v>
      </c>
      <c r="D4" s="84" t="s">
        <v>253</v>
      </c>
      <c r="E4" s="92">
        <v>0</v>
      </c>
      <c r="F4" s="72"/>
      <c r="G4" s="921"/>
      <c r="H4" s="925">
        <f>H3+1</f>
        <v>45793</v>
      </c>
      <c r="I4" s="926"/>
      <c r="J4" s="927" t="str">
        <f>J3</f>
        <v>Amara Singapore</v>
      </c>
      <c r="K4" s="928"/>
      <c r="L4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230</v>
      </c>
      <c r="M4" s="140">
        <f>$I$1+$K$1</f>
        <v>5.5</v>
      </c>
      <c r="N4" s="106">
        <f>L4*M4</f>
        <v>1265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tr">
        <f>'25메인호텔'!F2</f>
        <v>Momentus</v>
      </c>
      <c r="AC4" s="35">
        <f>'25메인호텔'!G2</f>
        <v>190</v>
      </c>
      <c r="AD4" s="35">
        <f>'25메인호텔'!H2</f>
        <v>180</v>
      </c>
      <c r="AE4" s="34"/>
      <c r="AF4" s="34"/>
    </row>
    <row r="5" spans="1:32" ht="18" thickBot="1">
      <c r="B5" s="76" t="s">
        <v>242</v>
      </c>
      <c r="C5" s="82">
        <v>45791</v>
      </c>
      <c r="D5" s="85">
        <v>3</v>
      </c>
      <c r="E5" s="93">
        <f>C5+D5</f>
        <v>45794</v>
      </c>
      <c r="F5" s="72"/>
      <c r="G5" s="921"/>
      <c r="H5" s="925">
        <f>H4+1</f>
        <v>45794</v>
      </c>
      <c r="I5" s="926"/>
      <c r="J5" s="939"/>
      <c r="K5" s="940"/>
      <c r="L5" s="135"/>
      <c r="M5" s="140"/>
      <c r="N5" s="106">
        <f>L5*M5</f>
        <v>0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tr">
        <f>'25메인호텔'!F3</f>
        <v>Aloft Novena</v>
      </c>
      <c r="AC5" s="35">
        <f>'25메인호텔'!G3</f>
        <v>180</v>
      </c>
      <c r="AD5" s="35">
        <f>'25메인호텔'!H3</f>
        <v>180</v>
      </c>
      <c r="AE5" s="34"/>
      <c r="AF5" s="34"/>
    </row>
    <row r="6" spans="1:32" ht="17.25" customHeight="1" thickBot="1">
      <c r="B6" s="77" t="s">
        <v>243</v>
      </c>
      <c r="C6" s="83">
        <f>(SUM(O10:O44)+O2)/C4+R2+T6</f>
        <v>990.87272727272739</v>
      </c>
      <c r="D6" s="86" t="s">
        <v>254</v>
      </c>
      <c r="E6" s="94">
        <f>C6*$E$1</f>
        <v>1089960.0000000002</v>
      </c>
      <c r="F6" s="72"/>
      <c r="G6" s="922"/>
      <c r="H6" s="925">
        <f>H5+1</f>
        <v>45795</v>
      </c>
      <c r="I6" s="926"/>
      <c r="J6" s="935"/>
      <c r="K6" s="935"/>
      <c r="L6" s="136"/>
      <c r="M6" s="89"/>
      <c r="N6" s="107">
        <f>L6*M6</f>
        <v>0</v>
      </c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tr">
        <f>'25메인호텔'!F4</f>
        <v>Mercure Stevens</v>
      </c>
      <c r="AC6" s="35">
        <f>'25메인호텔'!G4</f>
        <v>180</v>
      </c>
      <c r="AD6" s="35">
        <f>'25메인호텔'!H4</f>
        <v>180</v>
      </c>
      <c r="AE6" s="34"/>
      <c r="AF6" s="34"/>
    </row>
    <row r="7" spans="1:32" ht="18" thickBot="1">
      <c r="B7" s="78" t="s">
        <v>244</v>
      </c>
      <c r="C7" s="183">
        <v>5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tr">
        <f>'25메인호텔'!F5</f>
        <v>M Hotel City Centre</v>
      </c>
      <c r="AC7" s="35">
        <f>'25메인호텔'!G5</f>
        <v>230</v>
      </c>
      <c r="AD7" s="35">
        <f>'25메인호텔'!H5</f>
        <v>230</v>
      </c>
      <c r="AE7" s="34"/>
      <c r="AF7" s="34"/>
    </row>
    <row r="8" spans="1:32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tr">
        <f>'25메인호텔'!F6</f>
        <v>Concorde Hotel</v>
      </c>
      <c r="AC8" s="35">
        <f>'25메인호텔'!G6</f>
        <v>230</v>
      </c>
      <c r="AD8" s="35">
        <f>'25메인호텔'!H6</f>
        <v>230</v>
      </c>
      <c r="AE8" s="34"/>
      <c r="AF8" s="34"/>
    </row>
    <row r="9" spans="1:32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tr">
        <f>'25메인호텔'!F7</f>
        <v>Oasia Novena</v>
      </c>
      <c r="AC9" s="35">
        <f>'25메인호텔'!G7</f>
        <v>210</v>
      </c>
      <c r="AD9" s="35">
        <f>'25메인호텔'!H7</f>
        <v>210</v>
      </c>
      <c r="AE9" s="34"/>
      <c r="AF9" s="34"/>
    </row>
    <row r="10" spans="1:32">
      <c r="B10" s="905" t="str">
        <f>TEXT(C5,"m월 d일 aaaa")</f>
        <v>5월 14일 수요일</v>
      </c>
      <c r="C10" s="867" t="s">
        <v>960</v>
      </c>
      <c r="D10" s="916"/>
      <c r="E10" s="499">
        <f>상품리스트!F11</f>
        <v>0.59722222222222221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200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350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tr">
        <f>'25메인호텔'!F8</f>
        <v>Orchid Hotel</v>
      </c>
      <c r="AC10" s="35">
        <f>'25메인호텔'!G8</f>
        <v>220</v>
      </c>
      <c r="AD10" s="35">
        <f>'25메인호텔'!H8</f>
        <v>220</v>
      </c>
      <c r="AE10" s="34"/>
      <c r="AF10" s="34"/>
    </row>
    <row r="11" spans="1:32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5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tr">
        <f>'25메인호텔'!F9</f>
        <v>Amara Singapore</v>
      </c>
      <c r="AC11" s="35">
        <f>'25메인호텔'!G9</f>
        <v>230</v>
      </c>
      <c r="AD11" s="35">
        <f>'25메인호텔'!H9</f>
        <v>230</v>
      </c>
      <c r="AE11" s="34"/>
      <c r="AF11" s="34"/>
    </row>
    <row r="12" spans="1:32">
      <c r="B12" s="865"/>
      <c r="C12" s="902" t="s">
        <v>508</v>
      </c>
      <c r="D12" s="903"/>
      <c r="E12" s="904"/>
      <c r="F12" s="72"/>
      <c r="G12" s="104"/>
      <c r="H12" s="116"/>
      <c r="I12" s="122">
        <f>식사!E15</f>
        <v>18</v>
      </c>
      <c r="J12" s="115">
        <f>$C$4+$E$4</f>
        <v>11</v>
      </c>
      <c r="K12" s="130"/>
      <c r="L12" s="138"/>
      <c r="M12" s="130"/>
      <c r="N12" s="138"/>
      <c r="O12" s="148">
        <f>(G12*H12)+(I12*J12)+(K12*L12)+(M12*N12)</f>
        <v>198</v>
      </c>
      <c r="V12" s="190" t="str">
        <f>서차지!B13</f>
        <v xml:space="preserve">Food &amp; Hotel Beverage </v>
      </c>
      <c r="W12" s="189">
        <f>서차지!C13</f>
        <v>0</v>
      </c>
      <c r="X12" s="189">
        <f>서차지!D13</f>
        <v>0</v>
      </c>
      <c r="Y12" s="188">
        <f>서차지!E13</f>
        <v>0</v>
      </c>
      <c r="AB12" s="495" t="str">
        <f>'25메인호텔'!F10</f>
        <v>Orchard Hotel</v>
      </c>
      <c r="AC12" s="35">
        <f>'25메인호텔'!G10</f>
        <v>240</v>
      </c>
      <c r="AD12" s="35">
        <f>'25메인호텔'!H10</f>
        <v>240</v>
      </c>
      <c r="AE12" s="34"/>
      <c r="AF12" s="34"/>
    </row>
    <row r="13" spans="1:32" ht="18" thickBot="1">
      <c r="B13" s="906"/>
      <c r="C13" s="917" t="s">
        <v>247</v>
      </c>
      <c r="D13" s="918"/>
      <c r="E13" s="919"/>
      <c r="F13" s="72"/>
      <c r="G13" s="100"/>
      <c r="H13" s="111"/>
      <c r="I13" s="121"/>
      <c r="J13" s="111"/>
      <c r="K13" s="121"/>
      <c r="L13" s="137"/>
      <c r="M13" s="121"/>
      <c r="N13" s="137"/>
      <c r="O13" s="145">
        <f t="shared" si="0"/>
        <v>0</v>
      </c>
      <c r="V13" s="190" t="str">
        <f>서차지!B14</f>
        <v>CommunicAsia</v>
      </c>
      <c r="W13" s="189">
        <f>서차지!C14</f>
        <v>0</v>
      </c>
      <c r="X13" s="189">
        <f>서차지!D14</f>
        <v>0</v>
      </c>
      <c r="Y13" s="188">
        <f>서차지!E14</f>
        <v>0</v>
      </c>
      <c r="AB13" s="495" t="str">
        <f>'25메인호텔'!F11</f>
        <v>Grand Copthorne</v>
      </c>
      <c r="AC13" s="35">
        <f>'25메인호텔'!G11</f>
        <v>240</v>
      </c>
      <c r="AD13" s="35">
        <f>'25메인호텔'!H11</f>
        <v>240</v>
      </c>
      <c r="AE13" s="34"/>
      <c r="AF13" s="34"/>
    </row>
    <row r="14" spans="1:32">
      <c r="B14" s="905" t="str">
        <f>TEXT(C5+1,"m월 d일 aaaa")</f>
        <v>5월 15일 목요일</v>
      </c>
      <c r="C14" s="896" t="s">
        <v>282</v>
      </c>
      <c r="D14" s="897"/>
      <c r="E14" s="898"/>
      <c r="F14" s="72"/>
      <c r="G14" s="98"/>
      <c r="H14" s="112"/>
      <c r="I14" s="119"/>
      <c r="J14" s="109"/>
      <c r="K14" s="128">
        <f>IF(C4+E4&lt;8,'가이드&amp;차량'!C47, IF(C4+E4&lt;=14,'가이드&amp;차량'!C39,'가이드&amp;차량'!C23))</f>
        <v>530</v>
      </c>
      <c r="L14" s="90">
        <f>L10</f>
        <v>1</v>
      </c>
      <c r="M14" s="128">
        <f>'가이드&amp;차량'!C6</f>
        <v>375</v>
      </c>
      <c r="N14" s="90">
        <f>N10</f>
        <v>1</v>
      </c>
      <c r="O14" s="143">
        <f t="shared" si="0"/>
        <v>905</v>
      </c>
      <c r="Q14" s="159" t="s">
        <v>277</v>
      </c>
      <c r="V14" s="190" t="str">
        <f>서차지!B15</f>
        <v>National Day</v>
      </c>
      <c r="W14" s="189">
        <f>서차지!C15</f>
        <v>0</v>
      </c>
      <c r="X14" s="189">
        <f>서차지!D15</f>
        <v>0</v>
      </c>
      <c r="Y14" s="188">
        <f>서차지!E15</f>
        <v>0</v>
      </c>
      <c r="AB14" s="496" t="str">
        <f>'25메인호텔'!F12</f>
        <v>Mercure Tyrwhitt</v>
      </c>
      <c r="AC14" s="35">
        <f>'25메인호텔'!G12</f>
        <v>170</v>
      </c>
      <c r="AD14" s="35">
        <f>'25메인호텔'!H12</f>
        <v>170</v>
      </c>
      <c r="AE14" s="34"/>
      <c r="AF14" s="34"/>
    </row>
    <row r="15" spans="1:32">
      <c r="B15" s="865"/>
      <c r="C15" s="907" t="s">
        <v>322</v>
      </c>
      <c r="D15" s="900"/>
      <c r="E15" s="901"/>
      <c r="F15" s="72"/>
      <c r="G15" s="102"/>
      <c r="H15" s="115"/>
      <c r="I15" s="120"/>
      <c r="J15" s="110"/>
      <c r="K15" s="123"/>
      <c r="L15" s="91"/>
      <c r="M15" s="123"/>
      <c r="N15" s="91"/>
      <c r="O15" s="144">
        <f t="shared" si="0"/>
        <v>0</v>
      </c>
      <c r="Q15" s="7"/>
      <c r="AB15" s="496" t="str">
        <f>'25메인호텔'!F13</f>
        <v>Hotel Boss</v>
      </c>
      <c r="AC15" s="35">
        <f>'25메인호텔'!G13</f>
        <v>185</v>
      </c>
      <c r="AD15" s="35">
        <f>'25메인호텔'!H13</f>
        <v>185</v>
      </c>
      <c r="AE15" s="34"/>
      <c r="AF15" s="34"/>
    </row>
    <row r="16" spans="1:32">
      <c r="B16" s="865"/>
      <c r="C16" s="876" t="s">
        <v>632</v>
      </c>
      <c r="D16" s="877"/>
      <c r="E16" s="878"/>
      <c r="F16" s="72"/>
      <c r="G16" s="99"/>
      <c r="H16" s="110"/>
      <c r="I16" s="122">
        <f>IF(C4+E4&lt;10,식사!E27,식사!E28)</f>
        <v>35</v>
      </c>
      <c r="J16" s="115">
        <f>$C$4+$E$4</f>
        <v>11</v>
      </c>
      <c r="K16" s="120"/>
      <c r="L16" s="91"/>
      <c r="M16" s="120"/>
      <c r="N16" s="91"/>
      <c r="O16" s="144">
        <f t="shared" si="0"/>
        <v>385</v>
      </c>
      <c r="Q16" s="7"/>
      <c r="AB16" s="496" t="str">
        <f>'25메인호텔'!F14</f>
        <v>V Hotel Lavender</v>
      </c>
      <c r="AC16" s="35">
        <f>'25메인호텔'!G14</f>
        <v>185</v>
      </c>
      <c r="AD16" s="35">
        <f>'25메인호텔'!H14</f>
        <v>185</v>
      </c>
      <c r="AE16" s="34"/>
      <c r="AF16" s="34"/>
    </row>
    <row r="17" spans="2:32">
      <c r="B17" s="865"/>
      <c r="C17" s="879" t="s">
        <v>1123</v>
      </c>
      <c r="D17" s="880"/>
      <c r="E17" s="881"/>
      <c r="F17" s="72"/>
      <c r="G17" s="101">
        <f>일정!E38</f>
        <v>23.5</v>
      </c>
      <c r="H17" s="115">
        <f>$C$4+$E$4</f>
        <v>11</v>
      </c>
      <c r="I17" s="123"/>
      <c r="J17" s="110"/>
      <c r="K17" s="123"/>
      <c r="L17" s="91"/>
      <c r="M17" s="123"/>
      <c r="N17" s="91"/>
      <c r="O17" s="144">
        <f t="shared" si="0"/>
        <v>258.5</v>
      </c>
      <c r="Q17" s="7"/>
      <c r="AB17" s="496" t="str">
        <f>'25메인호텔'!F15</f>
        <v>IbIs Novena</v>
      </c>
      <c r="AC17" s="35">
        <f>'25메인호텔'!G15</f>
        <v>155</v>
      </c>
      <c r="AD17" s="35">
        <f>'25메인호텔'!H15</f>
        <v>155</v>
      </c>
      <c r="AE17" s="34"/>
      <c r="AF17" s="34"/>
    </row>
    <row r="18" spans="2:32">
      <c r="B18" s="865"/>
      <c r="C18" s="890" t="s">
        <v>550</v>
      </c>
      <c r="D18" s="891"/>
      <c r="E18" s="892"/>
      <c r="F18" s="72"/>
      <c r="G18" s="102"/>
      <c r="H18" s="115"/>
      <c r="I18" s="123"/>
      <c r="J18" s="110"/>
      <c r="K18" s="123"/>
      <c r="L18" s="91"/>
      <c r="M18" s="123"/>
      <c r="N18" s="91"/>
      <c r="O18" s="144">
        <f t="shared" si="0"/>
        <v>0</v>
      </c>
      <c r="Q18" s="7"/>
      <c r="AB18" s="496" t="str">
        <f>'25메인호텔'!F16</f>
        <v xml:space="preserve">IbIs bencoolen </v>
      </c>
      <c r="AC18" s="35">
        <f>'25메인호텔'!G16</f>
        <v>185</v>
      </c>
      <c r="AD18" s="35">
        <f>'25메인호텔'!H16</f>
        <v>185</v>
      </c>
      <c r="AE18" s="34"/>
      <c r="AF18" s="34"/>
    </row>
    <row r="19" spans="2:32">
      <c r="B19" s="865"/>
      <c r="C19" s="879" t="str">
        <f>일정!C27</f>
        <v>가든스바이더베이 2돔 ( 쥬랴기 )</v>
      </c>
      <c r="D19" s="880"/>
      <c r="E19" s="881"/>
      <c r="F19" s="72"/>
      <c r="G19" s="101">
        <f>일정!E27</f>
        <v>28.3</v>
      </c>
      <c r="H19" s="115">
        <f>$C$4+$E$4</f>
        <v>11</v>
      </c>
      <c r="I19" s="123"/>
      <c r="J19" s="110"/>
      <c r="K19" s="123"/>
      <c r="L19" s="91"/>
      <c r="M19" s="123"/>
      <c r="N19" s="91"/>
      <c r="O19" s="144">
        <f>(G19*H19)+(I19*J19)+(K19*L19)+(M19*N19)</f>
        <v>311.3</v>
      </c>
      <c r="Q19" s="7"/>
      <c r="AB19" s="497" t="str">
        <f>'25메인호텔'!F17</f>
        <v>Oasia Sentosa</v>
      </c>
      <c r="AC19" s="35">
        <f>'25메인호텔'!G17</f>
        <v>240</v>
      </c>
      <c r="AD19" s="35">
        <f>'25메인호텔'!H17</f>
        <v>240</v>
      </c>
      <c r="AE19" s="34"/>
      <c r="AF19" s="34"/>
    </row>
    <row r="20" spans="2:32">
      <c r="B20" s="865"/>
      <c r="C20" s="902" t="s">
        <v>298</v>
      </c>
      <c r="D20" s="903"/>
      <c r="E20" s="904"/>
      <c r="F20" s="72"/>
      <c r="G20" s="123"/>
      <c r="H20" s="110"/>
      <c r="I20" s="122">
        <f>식사!E3</f>
        <v>25</v>
      </c>
      <c r="J20" s="115">
        <f>$C$4+$E$4</f>
        <v>11</v>
      </c>
      <c r="K20" s="120"/>
      <c r="L20" s="91"/>
      <c r="M20" s="120"/>
      <c r="N20" s="91"/>
      <c r="O20" s="144">
        <f t="shared" si="0"/>
        <v>275</v>
      </c>
      <c r="Q20" s="7"/>
      <c r="AB20" s="497" t="str">
        <f>'25메인호텔'!F18</f>
        <v>Swissotel The stamford</v>
      </c>
      <c r="AC20" s="35">
        <f>'25메인호텔'!G18</f>
        <v>540</v>
      </c>
      <c r="AD20" s="35">
        <f>'25메인호텔'!H18</f>
        <v>540</v>
      </c>
      <c r="AE20" s="34" t="e">
        <f>'25메인호텔'!#REF!</f>
        <v>#REF!</v>
      </c>
      <c r="AF20" s="34" t="e">
        <f>'25메인호텔'!#REF!</f>
        <v>#REF!</v>
      </c>
    </row>
    <row r="21" spans="2:32">
      <c r="B21" s="865"/>
      <c r="C21" s="941" t="s">
        <v>325</v>
      </c>
      <c r="D21" s="911"/>
      <c r="E21" s="912"/>
      <c r="F21" s="72"/>
      <c r="G21" s="205"/>
      <c r="H21" s="115"/>
      <c r="I21" s="102"/>
      <c r="J21" s="115"/>
      <c r="K21" s="120"/>
      <c r="L21" s="91"/>
      <c r="M21" s="120"/>
      <c r="N21" s="91"/>
      <c r="O21" s="144">
        <f t="shared" si="0"/>
        <v>0</v>
      </c>
      <c r="Q21" s="7"/>
    </row>
    <row r="22" spans="2:32" ht="18" thickBot="1">
      <c r="B22" s="906"/>
      <c r="C22" s="893" t="s">
        <v>1005</v>
      </c>
      <c r="D22" s="894"/>
      <c r="E22" s="895"/>
      <c r="F22" s="72"/>
      <c r="G22" s="102"/>
      <c r="H22" s="115"/>
      <c r="I22" s="123"/>
      <c r="J22" s="110"/>
      <c r="K22" s="123"/>
      <c r="L22" s="91"/>
      <c r="M22" s="123"/>
      <c r="N22" s="91"/>
      <c r="O22" s="144">
        <f t="shared" si="0"/>
        <v>0</v>
      </c>
      <c r="Q22" s="7"/>
    </row>
    <row r="23" spans="2:32">
      <c r="B23" s="864" t="str">
        <f>TEXT(C5+2,"m월 d일 aaaa")</f>
        <v>5월 16일 금요일</v>
      </c>
      <c r="C23" s="896" t="s">
        <v>240</v>
      </c>
      <c r="D23" s="897"/>
      <c r="E23" s="898"/>
      <c r="F23" s="72"/>
      <c r="G23" s="353"/>
      <c r="H23" s="109"/>
      <c r="I23" s="119"/>
      <c r="J23" s="109"/>
      <c r="K23" s="128">
        <f>IF(C4+E4&lt;8,'가이드&amp;차량'!C47, IF(C4+E4&lt;=14,'가이드&amp;차량'!C39,'가이드&amp;차량'!C23))</f>
        <v>530</v>
      </c>
      <c r="L23" s="90">
        <f>L10</f>
        <v>1</v>
      </c>
      <c r="M23" s="128">
        <f>'가이드&amp;차량'!C6</f>
        <v>375</v>
      </c>
      <c r="N23" s="90">
        <f>N10</f>
        <v>1</v>
      </c>
      <c r="O23" s="143">
        <f t="shared" si="0"/>
        <v>905</v>
      </c>
      <c r="Q23" s="159" t="s">
        <v>277</v>
      </c>
    </row>
    <row r="24" spans="2:32">
      <c r="B24" s="944"/>
      <c r="C24" s="899" t="s">
        <v>329</v>
      </c>
      <c r="D24" s="883"/>
      <c r="E24" s="884"/>
      <c r="F24" s="72"/>
      <c r="G24" s="101">
        <f>일정!E40</f>
        <v>24.5</v>
      </c>
      <c r="H24" s="115">
        <f>$C$4+$E$4</f>
        <v>11</v>
      </c>
      <c r="I24" s="123"/>
      <c r="J24" s="110"/>
      <c r="K24" s="123"/>
      <c r="L24" s="91"/>
      <c r="M24" s="123"/>
      <c r="N24" s="91"/>
      <c r="O24" s="144">
        <f>(G24*H24)+(I24*J24)+(K24*L24)+(M24*N24)</f>
        <v>269.5</v>
      </c>
      <c r="V24" s="498"/>
    </row>
    <row r="25" spans="2:32">
      <c r="B25" s="944"/>
      <c r="C25" s="902" t="s">
        <v>986</v>
      </c>
      <c r="D25" s="903"/>
      <c r="E25" s="904"/>
      <c r="F25" s="72"/>
      <c r="G25" s="123"/>
      <c r="H25" s="110"/>
      <c r="I25" s="122">
        <f>식사!E36</f>
        <v>20</v>
      </c>
      <c r="J25" s="115">
        <f>$C$4+$E$4</f>
        <v>11</v>
      </c>
      <c r="K25" s="120"/>
      <c r="L25" s="91"/>
      <c r="M25" s="120"/>
      <c r="N25" s="91"/>
      <c r="O25" s="144">
        <f>(G25*H25)+(I25*J25)+(K25*L25)+(M25*N25)</f>
        <v>220</v>
      </c>
    </row>
    <row r="26" spans="2:32">
      <c r="B26" s="888"/>
      <c r="C26" s="1016" t="s">
        <v>785</v>
      </c>
      <c r="D26" s="1017"/>
      <c r="E26" s="1018"/>
      <c r="F26" s="72"/>
      <c r="G26" s="102"/>
      <c r="H26" s="115"/>
      <c r="I26" s="123"/>
      <c r="J26" s="110"/>
      <c r="K26" s="123"/>
      <c r="L26" s="91"/>
      <c r="M26" s="102"/>
      <c r="N26" s="91"/>
      <c r="O26" s="146">
        <f t="shared" si="0"/>
        <v>0</v>
      </c>
      <c r="Q26" s="7"/>
    </row>
    <row r="27" spans="2:32">
      <c r="B27" s="888"/>
      <c r="C27" s="902" t="s">
        <v>1125</v>
      </c>
      <c r="D27" s="903"/>
      <c r="E27" s="904"/>
      <c r="F27" s="72"/>
      <c r="G27" s="123"/>
      <c r="H27" s="110"/>
      <c r="I27" s="122">
        <v>20</v>
      </c>
      <c r="J27" s="115">
        <f>$C$4+$E$4</f>
        <v>11</v>
      </c>
      <c r="K27" s="123"/>
      <c r="L27" s="91"/>
      <c r="M27" s="123"/>
      <c r="N27" s="91"/>
      <c r="O27" s="146">
        <f t="shared" si="0"/>
        <v>220</v>
      </c>
      <c r="Q27" s="7"/>
    </row>
    <row r="28" spans="2:32" ht="18" thickBot="1">
      <c r="B28" s="866"/>
      <c r="C28" s="917" t="s">
        <v>248</v>
      </c>
      <c r="D28" s="918"/>
      <c r="E28" s="919"/>
      <c r="F28" s="72"/>
      <c r="G28" s="129"/>
      <c r="H28" s="111"/>
      <c r="I28" s="124"/>
      <c r="J28" s="126"/>
      <c r="K28" s="129"/>
      <c r="L28" s="137"/>
      <c r="M28" s="124"/>
      <c r="N28" s="137"/>
      <c r="O28" s="147">
        <f t="shared" si="0"/>
        <v>0</v>
      </c>
      <c r="Q28" s="7"/>
    </row>
    <row r="29" spans="2:32">
      <c r="B29" s="864" t="str">
        <f>TEXT(C5+3,"m월 d일 aaaa")</f>
        <v>5월 17일 토요일</v>
      </c>
      <c r="C29" s="896" t="s">
        <v>330</v>
      </c>
      <c r="D29" s="897"/>
      <c r="E29" s="898"/>
      <c r="F29" s="72"/>
      <c r="G29" s="353"/>
      <c r="H29" s="109"/>
      <c r="I29" s="119"/>
      <c r="J29" s="109"/>
      <c r="K29" s="128">
        <f>IF(C4+E4&lt;8,'가이드&amp;차량'!C47, IF(C4+E4&lt;=14,'가이드&amp;차량'!C39,'가이드&amp;차량'!C23))</f>
        <v>530</v>
      </c>
      <c r="L29" s="90">
        <f>L10</f>
        <v>1</v>
      </c>
      <c r="M29" s="128">
        <f>'가이드&amp;차량'!C6+'가이드&amp;차량'!C3</f>
        <v>525</v>
      </c>
      <c r="N29" s="90">
        <f>N10</f>
        <v>1</v>
      </c>
      <c r="O29" s="143">
        <f t="shared" si="0"/>
        <v>1055</v>
      </c>
      <c r="Q29" s="159" t="s">
        <v>278</v>
      </c>
    </row>
    <row r="30" spans="2:32">
      <c r="B30" s="888"/>
      <c r="C30" s="902" t="s">
        <v>559</v>
      </c>
      <c r="D30" s="903"/>
      <c r="E30" s="904"/>
      <c r="F30" s="72"/>
      <c r="G30" s="123"/>
      <c r="H30" s="110"/>
      <c r="I30" s="122">
        <f>식사!E19</f>
        <v>17</v>
      </c>
      <c r="J30" s="115">
        <f>$C$4+$E$4</f>
        <v>11</v>
      </c>
      <c r="K30" s="120"/>
      <c r="L30" s="91"/>
      <c r="M30" s="120"/>
      <c r="N30" s="91"/>
      <c r="O30" s="144">
        <f t="shared" si="0"/>
        <v>187</v>
      </c>
    </row>
    <row r="31" spans="2:32">
      <c r="B31" s="888"/>
      <c r="C31" s="882" t="s">
        <v>817</v>
      </c>
      <c r="D31" s="883"/>
      <c r="E31" s="884"/>
      <c r="F31" s="72"/>
      <c r="G31" s="101">
        <f>일정!E10+일정!E19+일정!E20</f>
        <v>76.3</v>
      </c>
      <c r="H31" s="115">
        <f>$C$4+$E$4</f>
        <v>11</v>
      </c>
      <c r="I31" s="123"/>
      <c r="J31" s="110"/>
      <c r="K31" s="123"/>
      <c r="L31" s="91"/>
      <c r="M31" s="123"/>
      <c r="N31" s="91"/>
      <c r="O31" s="144">
        <f t="shared" si="0"/>
        <v>839.3</v>
      </c>
      <c r="V31" s="498"/>
    </row>
    <row r="32" spans="2:32">
      <c r="B32" s="888"/>
      <c r="C32" s="1013" t="s">
        <v>333</v>
      </c>
      <c r="D32" s="1014"/>
      <c r="E32" s="1015"/>
      <c r="F32" s="72"/>
      <c r="G32" s="206"/>
      <c r="H32" s="164"/>
      <c r="I32" s="122">
        <f>식사!E33</f>
        <v>10</v>
      </c>
      <c r="J32" s="115">
        <f>$C$4+$E$4</f>
        <v>11</v>
      </c>
      <c r="K32" s="161"/>
      <c r="L32" s="138"/>
      <c r="M32" s="161"/>
      <c r="N32" s="138"/>
      <c r="O32" s="148">
        <f t="shared" si="0"/>
        <v>110</v>
      </c>
    </row>
    <row r="33" spans="2:22">
      <c r="B33" s="888"/>
      <c r="C33" s="907" t="s">
        <v>1126</v>
      </c>
      <c r="D33" s="908"/>
      <c r="E33" s="909"/>
      <c r="F33" s="72"/>
      <c r="G33" s="206"/>
      <c r="H33" s="164"/>
      <c r="I33" s="123"/>
      <c r="J33" s="110"/>
      <c r="K33" s="161"/>
      <c r="L33" s="138"/>
      <c r="M33" s="161"/>
      <c r="N33" s="138"/>
      <c r="O33" s="148">
        <f t="shared" si="0"/>
        <v>0</v>
      </c>
    </row>
    <row r="34" spans="2:22">
      <c r="B34" s="888"/>
      <c r="C34" s="902" t="s">
        <v>1209</v>
      </c>
      <c r="D34" s="903"/>
      <c r="E34" s="904"/>
      <c r="F34" s="72"/>
      <c r="G34" s="104"/>
      <c r="H34" s="116"/>
      <c r="I34" s="122">
        <v>38</v>
      </c>
      <c r="J34" s="115">
        <f>$C$4+$E$4</f>
        <v>11</v>
      </c>
      <c r="K34" s="130"/>
      <c r="L34" s="138"/>
      <c r="M34" s="130"/>
      <c r="N34" s="138"/>
      <c r="O34" s="148">
        <f t="shared" si="0"/>
        <v>418</v>
      </c>
    </row>
    <row r="35" spans="2:22" ht="18" thickBot="1">
      <c r="B35" s="866"/>
      <c r="C35" s="870" t="s">
        <v>1207</v>
      </c>
      <c r="D35" s="871"/>
      <c r="E35" s="500">
        <f>상품리스트!I11</f>
        <v>6.9444444444444441E-3</v>
      </c>
      <c r="F35" s="34"/>
      <c r="G35" s="105"/>
      <c r="H35" s="117"/>
      <c r="I35" s="124"/>
      <c r="J35" s="126"/>
      <c r="K35" s="131"/>
      <c r="L35" s="139"/>
      <c r="M35" s="131"/>
      <c r="N35" s="139"/>
      <c r="O35" s="149">
        <f t="shared" si="0"/>
        <v>0</v>
      </c>
      <c r="P35" s="34"/>
      <c r="Q35" s="34"/>
      <c r="R35" s="34"/>
      <c r="S35" s="34"/>
      <c r="T35" s="34"/>
      <c r="U35" s="34"/>
      <c r="V35" s="493"/>
    </row>
    <row r="36" spans="2:22">
      <c r="B36" s="72"/>
      <c r="C36" s="72"/>
      <c r="D36" s="72"/>
      <c r="E36" s="72"/>
      <c r="F36" s="72"/>
      <c r="G36" s="72"/>
      <c r="H36" s="72"/>
      <c r="K36" s="132">
        <f>SUM(K10:K35)</f>
        <v>1790</v>
      </c>
      <c r="L36" s="72"/>
      <c r="M36" s="132">
        <f>SUM(M10:M35)</f>
        <v>1425</v>
      </c>
      <c r="N36" s="72"/>
      <c r="O36" s="150"/>
      <c r="P36" s="156"/>
      <c r="V36" s="493"/>
    </row>
    <row r="37" spans="2:22">
      <c r="O37" s="150"/>
      <c r="V37" s="493"/>
    </row>
    <row r="38" spans="2:22">
      <c r="B38" s="993" t="s">
        <v>246</v>
      </c>
      <c r="C38" s="995" t="s">
        <v>288</v>
      </c>
      <c r="D38" s="996"/>
      <c r="E38" s="997"/>
      <c r="F38" s="34"/>
      <c r="G38" s="998">
        <f>$C$4+$E$4</f>
        <v>11</v>
      </c>
      <c r="H38" s="999"/>
      <c r="I38" s="1000">
        <v>3</v>
      </c>
      <c r="J38" s="1001"/>
      <c r="K38" s="1002">
        <v>1</v>
      </c>
      <c r="L38" s="1003"/>
      <c r="M38" s="1003"/>
      <c r="N38" s="830"/>
      <c r="O38" s="151">
        <f>G38*I38*K38</f>
        <v>33</v>
      </c>
      <c r="V38" s="493"/>
    </row>
    <row r="39" spans="2:22">
      <c r="B39" s="994"/>
      <c r="C39" s="1004" t="s">
        <v>451</v>
      </c>
      <c r="D39" s="1005"/>
      <c r="E39" s="1006"/>
      <c r="F39" s="34"/>
      <c r="G39" s="1007">
        <v>50</v>
      </c>
      <c r="H39" s="1008"/>
      <c r="I39" s="1008"/>
      <c r="J39" s="1009"/>
      <c r="K39" s="1010">
        <f>C4</f>
        <v>11</v>
      </c>
      <c r="L39" s="1011"/>
      <c r="M39" s="1011"/>
      <c r="N39" s="1012"/>
      <c r="O39" s="152">
        <f>G39*K39</f>
        <v>550</v>
      </c>
      <c r="V39" s="493"/>
    </row>
    <row r="40" spans="2:22" ht="18" thickBot="1">
      <c r="O40" s="150"/>
      <c r="V40" s="493"/>
    </row>
    <row r="41" spans="2:22">
      <c r="B41" s="961" t="s">
        <v>337</v>
      </c>
      <c r="C41" s="1021" t="s">
        <v>251</v>
      </c>
      <c r="D41" s="1022"/>
      <c r="E41" s="1023"/>
      <c r="F41" s="165"/>
      <c r="G41" s="967">
        <v>0</v>
      </c>
      <c r="H41" s="1024"/>
      <c r="I41" s="969">
        <f>일정!G24</f>
        <v>30</v>
      </c>
      <c r="J41" s="970"/>
      <c r="K41" s="972">
        <f>$C$4+$E$4</f>
        <v>11</v>
      </c>
      <c r="L41" s="972"/>
      <c r="M41" s="972"/>
      <c r="N41" s="973"/>
      <c r="O41" s="153">
        <f>G41*I41*K41</f>
        <v>0</v>
      </c>
    </row>
    <row r="42" spans="2:22">
      <c r="B42" s="1019"/>
      <c r="C42" s="1025" t="s">
        <v>250</v>
      </c>
      <c r="D42" s="1026"/>
      <c r="E42" s="1027"/>
      <c r="F42" s="165"/>
      <c r="G42" s="977">
        <v>0</v>
      </c>
      <c r="H42" s="1028"/>
      <c r="I42" s="979">
        <f>일정!G30</f>
        <v>28</v>
      </c>
      <c r="J42" s="980"/>
      <c r="K42" s="982">
        <f>$C$4+$E$4</f>
        <v>11</v>
      </c>
      <c r="L42" s="982"/>
      <c r="M42" s="982"/>
      <c r="N42" s="983"/>
      <c r="O42" s="154">
        <f>G42*I42*K42</f>
        <v>0</v>
      </c>
    </row>
    <row r="43" spans="2:22">
      <c r="B43" s="1019"/>
      <c r="C43" s="1025" t="s">
        <v>249</v>
      </c>
      <c r="D43" s="1026"/>
      <c r="E43" s="1027"/>
      <c r="F43" s="165"/>
      <c r="G43" s="984">
        <v>0</v>
      </c>
      <c r="H43" s="1029"/>
      <c r="I43" s="979">
        <f>일정!G35</f>
        <v>36</v>
      </c>
      <c r="J43" s="980"/>
      <c r="K43" s="982">
        <f>$C$4+$E$4</f>
        <v>11</v>
      </c>
      <c r="L43" s="982"/>
      <c r="M43" s="982"/>
      <c r="N43" s="983"/>
      <c r="O43" s="154">
        <f>G43*I43*K43</f>
        <v>0</v>
      </c>
    </row>
    <row r="44" spans="2:22" ht="18" thickBot="1">
      <c r="B44" s="1020"/>
      <c r="C44" s="1030" t="s">
        <v>252</v>
      </c>
      <c r="D44" s="1031"/>
      <c r="E44" s="1032"/>
      <c r="F44" s="165"/>
      <c r="G44" s="989"/>
      <c r="H44" s="1033"/>
      <c r="I44" s="991">
        <f>일정!G29</f>
        <v>40</v>
      </c>
      <c r="J44" s="992"/>
      <c r="K44" s="959">
        <f>$C$4+$E$4</f>
        <v>11</v>
      </c>
      <c r="L44" s="959"/>
      <c r="M44" s="959"/>
      <c r="N44" s="960"/>
      <c r="O44" s="215">
        <f>G44*I44*K44</f>
        <v>0</v>
      </c>
    </row>
  </sheetData>
  <mergeCells count="75"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  <mergeCell ref="H7:K7"/>
    <mergeCell ref="M8:N8"/>
    <mergeCell ref="O8:O9"/>
    <mergeCell ref="B10:B13"/>
    <mergeCell ref="C10:D10"/>
    <mergeCell ref="C11:E11"/>
    <mergeCell ref="C13:E13"/>
    <mergeCell ref="C12:E12"/>
    <mergeCell ref="G8:H8"/>
    <mergeCell ref="I8:J8"/>
    <mergeCell ref="K8:L8"/>
    <mergeCell ref="B14:B22"/>
    <mergeCell ref="C14:E14"/>
    <mergeCell ref="C15:E15"/>
    <mergeCell ref="C16:E16"/>
    <mergeCell ref="C17:E17"/>
    <mergeCell ref="C18:E18"/>
    <mergeCell ref="C20:E20"/>
    <mergeCell ref="C21:E21"/>
    <mergeCell ref="C22:E22"/>
    <mergeCell ref="C19:E19"/>
    <mergeCell ref="B23:B28"/>
    <mergeCell ref="C23:E23"/>
    <mergeCell ref="C26:E26"/>
    <mergeCell ref="C27:E27"/>
    <mergeCell ref="C28:E28"/>
    <mergeCell ref="C24:E24"/>
    <mergeCell ref="C25:E25"/>
    <mergeCell ref="K38:N38"/>
    <mergeCell ref="C39:E39"/>
    <mergeCell ref="G39:J39"/>
    <mergeCell ref="K39:N39"/>
    <mergeCell ref="B29:B35"/>
    <mergeCell ref="C29:E29"/>
    <mergeCell ref="C30:E30"/>
    <mergeCell ref="C31:E31"/>
    <mergeCell ref="C32:E32"/>
    <mergeCell ref="C33:E33"/>
    <mergeCell ref="C34:E34"/>
    <mergeCell ref="C35:D35"/>
    <mergeCell ref="I44:J44"/>
    <mergeCell ref="B38:B39"/>
    <mergeCell ref="C38:E38"/>
    <mergeCell ref="G38:H38"/>
    <mergeCell ref="I38:J38"/>
    <mergeCell ref="K44:N44"/>
    <mergeCell ref="B41:B44"/>
    <mergeCell ref="C41:E41"/>
    <mergeCell ref="G41:H41"/>
    <mergeCell ref="I41:J41"/>
    <mergeCell ref="K41:N41"/>
    <mergeCell ref="C42:E42"/>
    <mergeCell ref="G42:H42"/>
    <mergeCell ref="I42:J42"/>
    <mergeCell ref="K42:N42"/>
    <mergeCell ref="C43:E43"/>
    <mergeCell ref="G43:H43"/>
    <mergeCell ref="I43:J43"/>
    <mergeCell ref="K43:N43"/>
    <mergeCell ref="C44:E44"/>
    <mergeCell ref="G44:H44"/>
  </mergeCells>
  <phoneticPr fontId="1" type="noConversion"/>
  <hyperlinks>
    <hyperlink ref="A1" location="상품리스트!A1" display="home" xr:uid="{8B208CB9-2D6F-43BE-8FDA-F9C2B138C12E}"/>
  </hyperlinks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B0A48-3DEC-49AE-9A6C-0C8FAD3E738E}">
  <dimension ref="A1:AD46"/>
  <sheetViews>
    <sheetView topLeftCell="A8" workbookViewId="0">
      <selection activeCell="C18" sqref="C18:E18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1" width="7.6640625" customWidth="1"/>
    <col min="12" max="12" width="7.83203125" customWidth="1"/>
    <col min="13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6" max="26" width="7.33203125" customWidth="1"/>
    <col min="27" max="27" width="2.1640625" customWidth="1"/>
    <col min="28" max="28" width="21.1640625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2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1145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Momentus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180</v>
      </c>
      <c r="M2" s="140">
        <f>$I$1+$K$1</f>
        <v>2</v>
      </c>
      <c r="N2" s="106">
        <f>L2*M2</f>
        <v>360</v>
      </c>
      <c r="O2" s="929">
        <f>SUM(N2:N6)</f>
        <v>1120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926</v>
      </c>
      <c r="AC2" s="10">
        <v>190</v>
      </c>
      <c r="AD2" s="10">
        <v>180</v>
      </c>
    </row>
    <row r="3" spans="1:30" ht="28">
      <c r="B3" s="74" t="s">
        <v>239</v>
      </c>
      <c r="C3" s="938" t="s">
        <v>621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Momentus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190</v>
      </c>
      <c r="M3" s="140">
        <f>$I$1+$K$1</f>
        <v>2</v>
      </c>
      <c r="N3" s="106">
        <f>L3*M3</f>
        <v>380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4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927" t="str">
        <f>J2</f>
        <v>Momentus</v>
      </c>
      <c r="K4" s="1034"/>
      <c r="L4" s="134">
        <f>IF(
(IF(WEEKDAY(H3,2)&lt;=5,AC2,AD2)+
IF(AND(H3&gt;=W3,H3&lt;=X3),Z3,0)+
IF(AND(H3&gt;=W4,H3&lt;=X4),Z4,0)+
IF(AND(H3&gt;=W5,H3&lt;=X5),Z5,0)+
IF(AND(H3&gt;=W6,H3&lt;=X6),Z6,0)+
IF(AND(H3&gt;=W7,H3&lt;=X7),Z7,0)+
IF(AND(H3&gt;=W8,H3&lt;=X8),Z8,0)+
IF(AND(H3&gt;=W9,H3&lt;=X9),Z9,0)+
IF(AND(H3&gt;=W10,H3&lt;=X10),Z10,0))&lt;1,
"Surcharge Check",
(IF(WEEKDAY(H3,2)&lt;=5,AC2,AD2)+
IF(AND(H3&gt;=W3,H3&lt;=X3),Z3,0)+
IF(AND(H3&gt;=W4,H3&lt;=X4),Z4,0)+
IF(AND(H3&gt;=W5,H3&lt;=X5),Z5,0)+
IF(AND(H3&gt;=W6,H3&lt;=X6),Z6,0)+
IF(AND(H3&gt;=W7,H3&lt;=X7),Z7,0)+
IF(AND(H3&gt;=W8,H3&lt;=X8),Z8,0)+
IF(AND(H3&gt;=W9,H3&lt;=X9),Z9,0)+
IF(AND(H3&gt;=W10,H3&lt;=X10),Z10,0))
)</f>
        <v>190</v>
      </c>
      <c r="M4" s="141">
        <f>$I$1+$K$1</f>
        <v>2</v>
      </c>
      <c r="N4" s="106">
        <f>L4*M4</f>
        <v>380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/>
      <c r="I5" s="926"/>
      <c r="J5" s="939"/>
      <c r="K5" s="940"/>
      <c r="L5" s="135"/>
      <c r="M5" s="140"/>
      <c r="N5" s="106"/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(SUM(O10:O46)+O2)/C4+R3+T5</f>
        <v>1126.5999999999999</v>
      </c>
      <c r="D6" s="86" t="s">
        <v>254</v>
      </c>
      <c r="E6" s="94">
        <f>C6*$E$1</f>
        <v>1239260</v>
      </c>
      <c r="F6" s="72"/>
      <c r="G6" s="922"/>
      <c r="H6" s="925"/>
      <c r="I6" s="926"/>
      <c r="J6" s="935"/>
      <c r="K6" s="935"/>
      <c r="L6" s="136"/>
      <c r="M6" s="89"/>
      <c r="N6" s="107"/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3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67" t="s">
        <v>960</v>
      </c>
      <c r="D10" s="916"/>
      <c r="E10" s="499">
        <f>상품리스트!F25</f>
        <v>0.91319444444444442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120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270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6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430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805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865"/>
      <c r="C14" s="907" t="s">
        <v>322</v>
      </c>
      <c r="D14" s="900"/>
      <c r="E14" s="901"/>
      <c r="F14" s="72"/>
      <c r="G14" s="102"/>
      <c r="H14" s="115"/>
      <c r="I14" s="120"/>
      <c r="J14" s="110"/>
      <c r="K14" s="123"/>
      <c r="L14" s="91"/>
      <c r="M14" s="123"/>
      <c r="N14" s="91"/>
      <c r="O14" s="144">
        <f t="shared" si="0"/>
        <v>0</v>
      </c>
      <c r="Q14" s="7"/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865"/>
      <c r="C15" s="876" t="s">
        <v>632</v>
      </c>
      <c r="D15" s="877"/>
      <c r="E15" s="878"/>
      <c r="F15" s="72"/>
      <c r="G15" s="99"/>
      <c r="H15" s="110"/>
      <c r="I15" s="122">
        <f>IF(C4+E4&lt;10,식사!E27,식사!E28)</f>
        <v>45</v>
      </c>
      <c r="J15" s="115">
        <f>$C$4+$E$4</f>
        <v>4</v>
      </c>
      <c r="K15" s="120"/>
      <c r="L15" s="91"/>
      <c r="M15" s="120"/>
      <c r="N15" s="91"/>
      <c r="O15" s="144">
        <f t="shared" si="0"/>
        <v>180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922</v>
      </c>
      <c r="AC15" s="10">
        <v>185</v>
      </c>
      <c r="AD15" s="10">
        <v>185</v>
      </c>
    </row>
    <row r="16" spans="1:30">
      <c r="B16" s="865"/>
      <c r="C16" s="899" t="s">
        <v>622</v>
      </c>
      <c r="D16" s="900"/>
      <c r="E16" s="901"/>
      <c r="F16" s="72"/>
      <c r="G16" s="101">
        <f>일정!E38</f>
        <v>23.5</v>
      </c>
      <c r="H16" s="115">
        <f>$C$4+$E$4</f>
        <v>4</v>
      </c>
      <c r="I16" s="123"/>
      <c r="J16" s="110"/>
      <c r="K16" s="123"/>
      <c r="L16" s="91"/>
      <c r="M16" s="123"/>
      <c r="N16" s="91"/>
      <c r="O16" s="144">
        <f t="shared" si="0"/>
        <v>94</v>
      </c>
      <c r="Q16" s="7"/>
      <c r="AB16" s="496" t="s">
        <v>726</v>
      </c>
      <c r="AC16" s="10">
        <v>185</v>
      </c>
      <c r="AD16" s="10">
        <v>185</v>
      </c>
    </row>
    <row r="17" spans="2:30">
      <c r="B17" s="865"/>
      <c r="C17" s="890" t="s">
        <v>324</v>
      </c>
      <c r="D17" s="891"/>
      <c r="E17" s="892"/>
      <c r="F17" s="72"/>
      <c r="G17" s="102"/>
      <c r="H17" s="115"/>
      <c r="I17" s="123"/>
      <c r="J17" s="110"/>
      <c r="K17" s="123"/>
      <c r="L17" s="91"/>
      <c r="M17" s="123"/>
      <c r="N17" s="91"/>
      <c r="O17" s="144">
        <f t="shared" si="0"/>
        <v>0</v>
      </c>
      <c r="Q17" s="7"/>
      <c r="AB17" s="496" t="s">
        <v>931</v>
      </c>
      <c r="AC17" s="10">
        <v>155</v>
      </c>
      <c r="AD17" s="10">
        <v>155</v>
      </c>
    </row>
    <row r="18" spans="2:30">
      <c r="B18" s="865"/>
      <c r="C18" s="879" t="str">
        <f>일정!C27</f>
        <v>가든스바이더베이 2돔 ( 쥬랴기 )</v>
      </c>
      <c r="D18" s="891"/>
      <c r="E18" s="892"/>
      <c r="F18" s="72"/>
      <c r="G18" s="101">
        <v>37.299999999999997</v>
      </c>
      <c r="H18" s="115">
        <f>$C$4+$E$4</f>
        <v>4</v>
      </c>
      <c r="I18" s="123"/>
      <c r="J18" s="110"/>
      <c r="K18" s="123"/>
      <c r="L18" s="91"/>
      <c r="M18" s="123"/>
      <c r="N18" s="91"/>
      <c r="O18" s="144">
        <f t="shared" si="0"/>
        <v>149.19999999999999</v>
      </c>
      <c r="Q18" s="7"/>
      <c r="AB18" s="496" t="s">
        <v>923</v>
      </c>
      <c r="AC18" s="10">
        <v>185</v>
      </c>
      <c r="AD18" s="10">
        <v>185</v>
      </c>
    </row>
    <row r="19" spans="2:30">
      <c r="B19" s="865"/>
      <c r="C19" s="876" t="s">
        <v>1182</v>
      </c>
      <c r="D19" s="877"/>
      <c r="E19" s="878"/>
      <c r="F19" s="72"/>
      <c r="G19" s="99"/>
      <c r="H19" s="110"/>
      <c r="I19" s="122">
        <f>식사!E7</f>
        <v>18</v>
      </c>
      <c r="J19" s="115">
        <f>$C$4+$E$4</f>
        <v>4</v>
      </c>
      <c r="K19" s="120"/>
      <c r="L19" s="91"/>
      <c r="M19" s="120"/>
      <c r="N19" s="91"/>
      <c r="O19" s="144">
        <f t="shared" si="0"/>
        <v>72</v>
      </c>
      <c r="Q19" s="7"/>
      <c r="AB19" s="497" t="s">
        <v>928</v>
      </c>
      <c r="AC19" s="10">
        <v>280</v>
      </c>
      <c r="AD19" s="10">
        <v>280</v>
      </c>
    </row>
    <row r="20" spans="2:30">
      <c r="B20" s="865"/>
      <c r="C20" s="941" t="s">
        <v>325</v>
      </c>
      <c r="D20" s="911"/>
      <c r="E20" s="912"/>
      <c r="F20" s="72"/>
      <c r="G20" s="205"/>
      <c r="H20" s="115"/>
      <c r="I20" s="102"/>
      <c r="J20" s="115"/>
      <c r="K20" s="120"/>
      <c r="L20" s="91"/>
      <c r="M20" s="120"/>
      <c r="N20" s="91"/>
      <c r="O20" s="144">
        <f t="shared" si="0"/>
        <v>0</v>
      </c>
      <c r="Q20" s="7"/>
      <c r="AB20" s="497" t="s">
        <v>442</v>
      </c>
      <c r="AC20" s="10">
        <v>366</v>
      </c>
      <c r="AD20" s="10">
        <v>366</v>
      </c>
    </row>
    <row r="21" spans="2:30" ht="18" thickBot="1">
      <c r="B21" s="906"/>
      <c r="C21" s="1035" t="s">
        <v>648</v>
      </c>
      <c r="D21" s="1036"/>
      <c r="E21" s="1037"/>
      <c r="F21" s="72"/>
      <c r="G21" s="102"/>
      <c r="H21" s="115"/>
      <c r="I21" s="123"/>
      <c r="J21" s="110"/>
      <c r="K21" s="123"/>
      <c r="L21" s="91"/>
      <c r="M21" s="123"/>
      <c r="N21" s="91"/>
      <c r="O21" s="144">
        <f t="shared" si="0"/>
        <v>0</v>
      </c>
      <c r="Q21" s="7"/>
    </row>
    <row r="22" spans="2:30">
      <c r="B22" s="864" t="str">
        <f>TEXT(C5+2,"m월 d일 aaaa")</f>
        <v>3월 18일 화요일</v>
      </c>
      <c r="C22" s="905" t="s">
        <v>623</v>
      </c>
      <c r="D22" s="1038"/>
      <c r="E22" s="1039"/>
      <c r="F22" s="72"/>
      <c r="G22" s="98"/>
      <c r="H22" s="109"/>
      <c r="I22" s="353"/>
      <c r="J22" s="109"/>
      <c r="K22" s="354"/>
      <c r="L22" s="90"/>
      <c r="M22" s="354"/>
      <c r="N22" s="90"/>
      <c r="O22" s="143">
        <f t="shared" si="0"/>
        <v>0</v>
      </c>
      <c r="Q22" s="159" t="s">
        <v>277</v>
      </c>
    </row>
    <row r="23" spans="2:30">
      <c r="B23" s="888"/>
      <c r="C23" s="865"/>
      <c r="D23" s="1040"/>
      <c r="E23" s="1041"/>
      <c r="F23" s="72"/>
      <c r="G23" s="102"/>
      <c r="H23" s="115"/>
      <c r="I23" s="123"/>
      <c r="J23" s="110"/>
      <c r="K23" s="123"/>
      <c r="L23" s="91"/>
      <c r="M23" s="123"/>
      <c r="N23" s="91"/>
      <c r="O23" s="144">
        <f t="shared" si="0"/>
        <v>0</v>
      </c>
      <c r="Q23" s="7"/>
    </row>
    <row r="24" spans="2:30">
      <c r="B24" s="888"/>
      <c r="C24" s="865"/>
      <c r="D24" s="1040"/>
      <c r="E24" s="1041"/>
      <c r="F24" s="72"/>
      <c r="G24" s="99"/>
      <c r="H24" s="110"/>
      <c r="I24" s="102"/>
      <c r="J24" s="115"/>
      <c r="K24" s="123"/>
      <c r="L24" s="91"/>
      <c r="M24" s="102"/>
      <c r="N24" s="91"/>
      <c r="O24" s="146">
        <f t="shared" si="0"/>
        <v>0</v>
      </c>
      <c r="Q24" s="7"/>
    </row>
    <row r="25" spans="2:30">
      <c r="B25" s="888"/>
      <c r="C25" s="865"/>
      <c r="D25" s="1040"/>
      <c r="E25" s="1041"/>
      <c r="F25" s="72"/>
      <c r="G25" s="99"/>
      <c r="H25" s="110"/>
      <c r="I25" s="102"/>
      <c r="J25" s="115"/>
      <c r="K25" s="123"/>
      <c r="L25" s="91"/>
      <c r="M25" s="102"/>
      <c r="N25" s="91"/>
      <c r="O25" s="146">
        <f t="shared" si="0"/>
        <v>0</v>
      </c>
      <c r="Q25" s="7"/>
    </row>
    <row r="26" spans="2:30">
      <c r="B26" s="888"/>
      <c r="C26" s="865"/>
      <c r="D26" s="1040"/>
      <c r="E26" s="1041"/>
      <c r="F26" s="72"/>
      <c r="G26" s="99"/>
      <c r="H26" s="110"/>
      <c r="I26" s="102"/>
      <c r="J26" s="115"/>
      <c r="K26" s="123"/>
      <c r="L26" s="91"/>
      <c r="M26" s="102"/>
      <c r="N26" s="91"/>
      <c r="O26" s="146">
        <f t="shared" si="0"/>
        <v>0</v>
      </c>
      <c r="Q26" s="7"/>
    </row>
    <row r="27" spans="2:30">
      <c r="B27" s="888"/>
      <c r="C27" s="865"/>
      <c r="D27" s="1040"/>
      <c r="E27" s="1041"/>
      <c r="F27" s="72"/>
      <c r="G27" s="99"/>
      <c r="H27" s="110"/>
      <c r="I27" s="102"/>
      <c r="J27" s="115"/>
      <c r="K27" s="123"/>
      <c r="L27" s="91"/>
      <c r="M27" s="123"/>
      <c r="N27" s="91"/>
      <c r="O27" s="146">
        <f t="shared" si="0"/>
        <v>0</v>
      </c>
      <c r="Q27" s="7"/>
    </row>
    <row r="28" spans="2:30" ht="18" thickBot="1">
      <c r="B28" s="866"/>
      <c r="C28" s="906"/>
      <c r="D28" s="1042"/>
      <c r="E28" s="1043"/>
      <c r="F28" s="72"/>
      <c r="G28" s="100"/>
      <c r="H28" s="111"/>
      <c r="I28" s="124"/>
      <c r="J28" s="126"/>
      <c r="K28" s="129"/>
      <c r="L28" s="137"/>
      <c r="M28" s="124"/>
      <c r="N28" s="137"/>
      <c r="O28" s="147">
        <f t="shared" si="0"/>
        <v>0</v>
      </c>
      <c r="Q28" s="7"/>
    </row>
    <row r="29" spans="2:30">
      <c r="B29" s="864" t="str">
        <f>TEXT(C5+3,"m월 d일 aaaa")</f>
        <v>3월 19일 수요일</v>
      </c>
      <c r="C29" s="949" t="s">
        <v>330</v>
      </c>
      <c r="D29" s="950"/>
      <c r="E29" s="951"/>
      <c r="F29" s="72"/>
      <c r="G29" s="98"/>
      <c r="H29" s="109"/>
      <c r="I29" s="119"/>
      <c r="J29" s="109"/>
      <c r="K29" s="128">
        <f>IF(C4+E4&lt;8,'가이드&amp;차량'!C47, IF(C4+E4&lt;=14,'가이드&amp;차량'!C39,'가이드&amp;차량'!C23))</f>
        <v>430</v>
      </c>
      <c r="L29" s="90">
        <f>L10</f>
        <v>1</v>
      </c>
      <c r="M29" s="128">
        <f>'가이드&amp;차량'!C6+'가이드&amp;차량'!C3</f>
        <v>525</v>
      </c>
      <c r="N29" s="90">
        <f>N10</f>
        <v>1</v>
      </c>
      <c r="O29" s="143">
        <f t="shared" si="0"/>
        <v>955</v>
      </c>
      <c r="Q29" s="159" t="s">
        <v>278</v>
      </c>
    </row>
    <row r="30" spans="2:30">
      <c r="B30" s="888"/>
      <c r="C30" s="882" t="s">
        <v>331</v>
      </c>
      <c r="D30" s="883"/>
      <c r="E30" s="884"/>
      <c r="F30" s="72"/>
      <c r="G30" s="166"/>
      <c r="H30" s="115"/>
      <c r="I30" s="123"/>
      <c r="J30" s="110"/>
      <c r="K30" s="123"/>
      <c r="L30" s="91"/>
      <c r="M30" s="123"/>
      <c r="N30" s="91"/>
      <c r="O30" s="144">
        <f t="shared" si="0"/>
        <v>0</v>
      </c>
    </row>
    <row r="31" spans="2:30">
      <c r="B31" s="888"/>
      <c r="C31" s="876" t="s">
        <v>332</v>
      </c>
      <c r="D31" s="877"/>
      <c r="E31" s="878"/>
      <c r="F31" s="72"/>
      <c r="G31" s="99"/>
      <c r="H31" s="110"/>
      <c r="I31" s="122">
        <f>식사!E19</f>
        <v>17</v>
      </c>
      <c r="J31" s="115">
        <f>$C$4+$E$4</f>
        <v>4</v>
      </c>
      <c r="K31" s="120"/>
      <c r="L31" s="91"/>
      <c r="M31" s="120"/>
      <c r="N31" s="91"/>
      <c r="O31" s="144">
        <f t="shared" si="0"/>
        <v>68</v>
      </c>
    </row>
    <row r="32" spans="2:30">
      <c r="B32" s="888"/>
      <c r="C32" s="882" t="s">
        <v>335</v>
      </c>
      <c r="D32" s="883"/>
      <c r="E32" s="884"/>
      <c r="F32" s="72"/>
      <c r="G32" s="103">
        <f>일정!E10+일정!E20+일정!E19</f>
        <v>76.3</v>
      </c>
      <c r="H32" s="115">
        <f>$C$4+$E$4</f>
        <v>4</v>
      </c>
      <c r="I32" s="123"/>
      <c r="J32" s="110"/>
      <c r="K32" s="123"/>
      <c r="L32" s="91"/>
      <c r="M32" s="123"/>
      <c r="N32" s="91"/>
      <c r="O32" s="144">
        <f t="shared" si="0"/>
        <v>305.2</v>
      </c>
    </row>
    <row r="33" spans="2:21">
      <c r="B33" s="888"/>
      <c r="C33" s="1013" t="s">
        <v>333</v>
      </c>
      <c r="D33" s="1014"/>
      <c r="E33" s="1015"/>
      <c r="F33" s="72"/>
      <c r="G33" s="206"/>
      <c r="H33" s="164"/>
      <c r="I33" s="122">
        <f>식사!E33</f>
        <v>10</v>
      </c>
      <c r="J33" s="115">
        <f>$C$4+$E$4</f>
        <v>4</v>
      </c>
      <c r="K33" s="161"/>
      <c r="L33" s="138"/>
      <c r="M33" s="161"/>
      <c r="N33" s="138"/>
      <c r="O33" s="148">
        <f t="shared" si="0"/>
        <v>40</v>
      </c>
    </row>
    <row r="34" spans="2:21">
      <c r="B34" s="888"/>
      <c r="C34" s="907" t="s">
        <v>334</v>
      </c>
      <c r="D34" s="908"/>
      <c r="E34" s="909"/>
      <c r="F34" s="72"/>
      <c r="G34" s="206"/>
      <c r="H34" s="164"/>
      <c r="I34" s="123"/>
      <c r="J34" s="110"/>
      <c r="K34" s="161"/>
      <c r="L34" s="138"/>
      <c r="M34" s="161"/>
      <c r="N34" s="138"/>
      <c r="O34" s="148">
        <f t="shared" si="0"/>
        <v>0</v>
      </c>
    </row>
    <row r="35" spans="2:21">
      <c r="B35" s="888"/>
      <c r="C35" s="902" t="s">
        <v>298</v>
      </c>
      <c r="D35" s="903"/>
      <c r="E35" s="904"/>
      <c r="F35" s="72"/>
      <c r="G35" s="104"/>
      <c r="H35" s="116"/>
      <c r="I35" s="122">
        <f>식사!E3</f>
        <v>25</v>
      </c>
      <c r="J35" s="115">
        <f>$C$4+$E$4</f>
        <v>4</v>
      </c>
      <c r="K35" s="130"/>
      <c r="L35" s="138"/>
      <c r="M35" s="130"/>
      <c r="N35" s="138"/>
      <c r="O35" s="148">
        <f t="shared" si="0"/>
        <v>100</v>
      </c>
    </row>
    <row r="36" spans="2:21" ht="18" thickBot="1">
      <c r="B36" s="866"/>
      <c r="C36" s="870" t="s">
        <v>596</v>
      </c>
      <c r="D36" s="871"/>
      <c r="E36" s="500">
        <f>상품리스트!I25</f>
        <v>0.97916666666666663</v>
      </c>
      <c r="F36" s="34"/>
      <c r="G36" s="105"/>
      <c r="H36" s="117"/>
      <c r="I36" s="124"/>
      <c r="J36" s="126"/>
      <c r="K36" s="131"/>
      <c r="L36" s="139"/>
      <c r="M36" s="131"/>
      <c r="N36" s="139"/>
      <c r="O36" s="149">
        <f t="shared" si="0"/>
        <v>0</v>
      </c>
      <c r="P36" s="34"/>
      <c r="Q36" s="34"/>
      <c r="R36" s="34"/>
      <c r="S36" s="34"/>
      <c r="T36" s="34"/>
      <c r="U36" s="34"/>
    </row>
    <row r="37" spans="2:21">
      <c r="B37" s="72"/>
      <c r="C37" s="72"/>
      <c r="D37" s="72"/>
      <c r="E37" s="72"/>
      <c r="F37" s="72"/>
      <c r="G37" s="72"/>
      <c r="H37" s="72"/>
      <c r="K37" s="132">
        <f>SUM(K10:K36)</f>
        <v>980</v>
      </c>
      <c r="L37" s="72"/>
      <c r="M37" s="132">
        <f>SUM(M10:M36)</f>
        <v>1050</v>
      </c>
      <c r="N37" s="72"/>
      <c r="O37" s="150"/>
      <c r="P37" s="156"/>
    </row>
    <row r="38" spans="2:21" ht="18" thickBot="1">
      <c r="O38" s="150"/>
    </row>
    <row r="39" spans="2:21">
      <c r="B39" s="872" t="s">
        <v>246</v>
      </c>
      <c r="C39" s="873" t="s">
        <v>288</v>
      </c>
      <c r="D39" s="874"/>
      <c r="E39" s="875"/>
      <c r="F39" s="34"/>
      <c r="G39" s="862">
        <f>$C$4+$E$4</f>
        <v>4</v>
      </c>
      <c r="H39" s="863"/>
      <c r="I39" s="854">
        <v>3</v>
      </c>
      <c r="J39" s="854"/>
      <c r="K39" s="855">
        <v>1</v>
      </c>
      <c r="L39" s="855"/>
      <c r="M39" s="855"/>
      <c r="N39" s="855"/>
      <c r="O39" s="151">
        <f>G39*I39*K39</f>
        <v>12</v>
      </c>
    </row>
    <row r="40" spans="2:21" ht="18" thickBot="1">
      <c r="B40" s="827"/>
      <c r="C40" s="856" t="s">
        <v>451</v>
      </c>
      <c r="D40" s="857"/>
      <c r="E40" s="858"/>
      <c r="F40" s="34"/>
      <c r="G40" s="859">
        <v>50</v>
      </c>
      <c r="H40" s="860"/>
      <c r="I40" s="860"/>
      <c r="J40" s="860"/>
      <c r="K40" s="861">
        <f>C4</f>
        <v>4</v>
      </c>
      <c r="L40" s="861"/>
      <c r="M40" s="861"/>
      <c r="N40" s="861"/>
      <c r="O40" s="152">
        <f>G40*K40</f>
        <v>200</v>
      </c>
    </row>
    <row r="41" spans="2:21" ht="18" thickBot="1">
      <c r="O41" s="150"/>
    </row>
    <row r="42" spans="2:21" ht="16.5" customHeight="1">
      <c r="B42" s="961" t="s">
        <v>337</v>
      </c>
      <c r="C42" s="1021" t="s">
        <v>251</v>
      </c>
      <c r="D42" s="1022"/>
      <c r="E42" s="1023"/>
      <c r="F42" s="165"/>
      <c r="G42" s="967"/>
      <c r="H42" s="1024"/>
      <c r="I42" s="969">
        <f>일정!G24</f>
        <v>30</v>
      </c>
      <c r="J42" s="970"/>
      <c r="K42" s="1044">
        <f>C4</f>
        <v>4</v>
      </c>
      <c r="L42" s="1044"/>
      <c r="M42" s="1044"/>
      <c r="N42" s="1045"/>
      <c r="O42" s="153">
        <f>G42*I42*K42</f>
        <v>0</v>
      </c>
    </row>
    <row r="43" spans="2:21">
      <c r="B43" s="1019"/>
      <c r="C43" s="1025" t="s">
        <v>250</v>
      </c>
      <c r="D43" s="1026"/>
      <c r="E43" s="1027"/>
      <c r="F43" s="165"/>
      <c r="G43" s="977">
        <v>1</v>
      </c>
      <c r="H43" s="1028"/>
      <c r="I43" s="979">
        <f>일정!G30</f>
        <v>28</v>
      </c>
      <c r="J43" s="980"/>
      <c r="K43" s="1046">
        <f>C4</f>
        <v>4</v>
      </c>
      <c r="L43" s="1047"/>
      <c r="M43" s="1047"/>
      <c r="N43" s="1048"/>
      <c r="O43" s="154">
        <f>G43*I43*K43</f>
        <v>112</v>
      </c>
    </row>
    <row r="44" spans="2:21">
      <c r="B44" s="1019"/>
      <c r="C44" s="1025" t="s">
        <v>249</v>
      </c>
      <c r="D44" s="1026"/>
      <c r="E44" s="1027"/>
      <c r="F44" s="165"/>
      <c r="G44" s="977">
        <v>1</v>
      </c>
      <c r="H44" s="1028"/>
      <c r="I44" s="979">
        <f>일정!G35</f>
        <v>36</v>
      </c>
      <c r="J44" s="980"/>
      <c r="K44" s="1046">
        <f>C4</f>
        <v>4</v>
      </c>
      <c r="L44" s="1047"/>
      <c r="M44" s="1047"/>
      <c r="N44" s="1048"/>
      <c r="O44" s="154">
        <f>G44*I44*K44</f>
        <v>144</v>
      </c>
    </row>
    <row r="45" spans="2:21">
      <c r="B45" s="1019"/>
      <c r="C45" s="1025" t="s">
        <v>336</v>
      </c>
      <c r="D45" s="1026"/>
      <c r="E45" s="1027"/>
      <c r="F45" s="165"/>
      <c r="G45" s="977"/>
      <c r="H45" s="1028"/>
      <c r="I45" s="979">
        <f>일정!G13</f>
        <v>19</v>
      </c>
      <c r="J45" s="980"/>
      <c r="K45" s="1046">
        <f>C4</f>
        <v>4</v>
      </c>
      <c r="L45" s="1047"/>
      <c r="M45" s="1047"/>
      <c r="N45" s="1048"/>
      <c r="O45" s="154">
        <f>G45*I45*K45</f>
        <v>0</v>
      </c>
    </row>
    <row r="46" spans="2:21" ht="18" thickBot="1">
      <c r="B46" s="1020"/>
      <c r="C46" s="1030" t="s">
        <v>252</v>
      </c>
      <c r="D46" s="1031"/>
      <c r="E46" s="1032"/>
      <c r="F46" s="165"/>
      <c r="G46" s="989"/>
      <c r="H46" s="1033"/>
      <c r="I46" s="991">
        <f>일정!G29</f>
        <v>40</v>
      </c>
      <c r="J46" s="992"/>
      <c r="K46" s="1049">
        <f>C4</f>
        <v>4</v>
      </c>
      <c r="L46" s="1050"/>
      <c r="M46" s="1050"/>
      <c r="N46" s="1051"/>
      <c r="O46" s="215">
        <f>G46*I46*K46</f>
        <v>0</v>
      </c>
    </row>
  </sheetData>
  <mergeCells count="74">
    <mergeCell ref="K44:N44"/>
    <mergeCell ref="C45:E45"/>
    <mergeCell ref="G45:H45"/>
    <mergeCell ref="I45:J45"/>
    <mergeCell ref="K45:N45"/>
    <mergeCell ref="B42:B46"/>
    <mergeCell ref="C42:E42"/>
    <mergeCell ref="G42:H42"/>
    <mergeCell ref="I42:J42"/>
    <mergeCell ref="K42:N42"/>
    <mergeCell ref="C43:E43"/>
    <mergeCell ref="G43:H43"/>
    <mergeCell ref="I43:J43"/>
    <mergeCell ref="K43:N43"/>
    <mergeCell ref="C44:E44"/>
    <mergeCell ref="C46:E46"/>
    <mergeCell ref="G46:H46"/>
    <mergeCell ref="I46:J46"/>
    <mergeCell ref="K46:N46"/>
    <mergeCell ref="G44:H44"/>
    <mergeCell ref="I44:J44"/>
    <mergeCell ref="B39:B40"/>
    <mergeCell ref="C39:E39"/>
    <mergeCell ref="G39:H39"/>
    <mergeCell ref="I39:J39"/>
    <mergeCell ref="K39:N39"/>
    <mergeCell ref="C40:E40"/>
    <mergeCell ref="G40:J40"/>
    <mergeCell ref="K40:N40"/>
    <mergeCell ref="B29:B36"/>
    <mergeCell ref="C29:E29"/>
    <mergeCell ref="C30:E30"/>
    <mergeCell ref="C31:E31"/>
    <mergeCell ref="C32:E32"/>
    <mergeCell ref="C33:E33"/>
    <mergeCell ref="C34:E34"/>
    <mergeCell ref="C35:E35"/>
    <mergeCell ref="C36:D36"/>
    <mergeCell ref="B22:B28"/>
    <mergeCell ref="B13:B21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8"/>
    <mergeCell ref="H7:K7"/>
    <mergeCell ref="M8:N8"/>
    <mergeCell ref="O8:O9"/>
    <mergeCell ref="B10:B12"/>
    <mergeCell ref="C11:E11"/>
    <mergeCell ref="C12:E12"/>
    <mergeCell ref="G8:H8"/>
    <mergeCell ref="I8:J8"/>
    <mergeCell ref="K8:L8"/>
    <mergeCell ref="C10:D10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E276A308-7E27-48E8-834A-AF88B3663F26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9E47-B235-467F-8A54-EC47C95E60FF}">
  <dimension ref="A1:AF44"/>
  <sheetViews>
    <sheetView topLeftCell="A3" workbookViewId="0">
      <selection activeCell="C31" sqref="C31:G31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7" max="27" width="1.1640625" customWidth="1"/>
    <col min="28" max="28" width="16.5" customWidth="1"/>
  </cols>
  <sheetData>
    <row r="1" spans="1:32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5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2">
      <c r="B2" s="73" t="s">
        <v>238</v>
      </c>
      <c r="C2" s="923" t="s">
        <v>1335</v>
      </c>
      <c r="D2" s="923"/>
      <c r="E2" s="924"/>
      <c r="F2" s="72"/>
      <c r="G2" s="921"/>
      <c r="H2" s="925">
        <f>C5</f>
        <v>45946</v>
      </c>
      <c r="I2" s="926"/>
      <c r="J2" s="927" t="str">
        <f>AB2</f>
        <v>Mercure Stevens</v>
      </c>
      <c r="K2" s="928"/>
      <c r="L2" s="134" t="str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Surcharge Check</v>
      </c>
      <c r="M2" s="140">
        <f>$I$1+$K$1</f>
        <v>5</v>
      </c>
      <c r="N2" s="106" t="e">
        <f>L2*M2</f>
        <v>#VALUE!</v>
      </c>
      <c r="O2" s="929" t="e">
        <f>SUM(N2:N6)</f>
        <v>#VALUE!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925</v>
      </c>
      <c r="AC2" s="35">
        <v>180</v>
      </c>
      <c r="AD2" s="35">
        <v>180</v>
      </c>
    </row>
    <row r="3" spans="1:32" ht="28">
      <c r="B3" s="74" t="s">
        <v>239</v>
      </c>
      <c r="C3" s="938" t="s">
        <v>1016</v>
      </c>
      <c r="D3" s="938"/>
      <c r="E3" s="770"/>
      <c r="F3" s="72"/>
      <c r="G3" s="921"/>
      <c r="H3" s="925">
        <f>H2+1</f>
        <v>45947</v>
      </c>
      <c r="I3" s="926"/>
      <c r="J3" s="927" t="str">
        <f>J2</f>
        <v>Mercure Stevens</v>
      </c>
      <c r="K3" s="928"/>
      <c r="L3" s="134" t="str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Surcharge Check</v>
      </c>
      <c r="M3" s="140">
        <f>$I$1+$K$1</f>
        <v>5</v>
      </c>
      <c r="N3" s="106" t="e">
        <f>L3*M3</f>
        <v>#VALUE!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2" ht="18" thickBot="1">
      <c r="B4" s="75" t="s">
        <v>241</v>
      </c>
      <c r="C4" s="81">
        <v>10</v>
      </c>
      <c r="D4" s="84" t="s">
        <v>253</v>
      </c>
      <c r="E4" s="92">
        <v>0</v>
      </c>
      <c r="F4" s="72"/>
      <c r="G4" s="921"/>
      <c r="H4" s="925">
        <f>H3+1</f>
        <v>45948</v>
      </c>
      <c r="I4" s="926"/>
      <c r="J4" s="927" t="str">
        <f>J2</f>
        <v>Mercure Stevens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180</v>
      </c>
      <c r="M4" s="141">
        <f>$I$1+$K$1</f>
        <v>5</v>
      </c>
      <c r="N4" s="106">
        <f>L4*M4</f>
        <v>900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tr">
        <f>'25메인호텔'!F2</f>
        <v>Momentus</v>
      </c>
      <c r="AC4" s="35">
        <f>'25메인호텔'!G2</f>
        <v>190</v>
      </c>
      <c r="AD4" s="35">
        <f>'25메인호텔'!H2</f>
        <v>180</v>
      </c>
      <c r="AE4" s="34"/>
      <c r="AF4" s="34"/>
    </row>
    <row r="5" spans="1:32" ht="18" thickBot="1">
      <c r="B5" s="76" t="s">
        <v>242</v>
      </c>
      <c r="C5" s="82">
        <v>45946</v>
      </c>
      <c r="D5" s="85">
        <v>3</v>
      </c>
      <c r="E5" s="93">
        <f>C5+D5</f>
        <v>45949</v>
      </c>
      <c r="F5" s="72"/>
      <c r="G5" s="921"/>
      <c r="H5" s="925"/>
      <c r="I5" s="926"/>
      <c r="J5" s="939"/>
      <c r="K5" s="940"/>
      <c r="L5" s="135"/>
      <c r="M5" s="140"/>
      <c r="N5" s="106"/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tr">
        <f>'25메인호텔'!F3</f>
        <v>Aloft Novena</v>
      </c>
      <c r="AC5" s="35">
        <f>'25메인호텔'!G3</f>
        <v>180</v>
      </c>
      <c r="AD5" s="35">
        <f>'25메인호텔'!H3</f>
        <v>180</v>
      </c>
      <c r="AE5" s="34"/>
      <c r="AF5" s="34"/>
    </row>
    <row r="6" spans="1:32" ht="17.25" customHeight="1" thickBot="1">
      <c r="B6" s="77" t="s">
        <v>243</v>
      </c>
      <c r="C6" s="83" t="e">
        <f>(SUM(O10:O44)+O2)/C4+R2+T5</f>
        <v>#VALUE!</v>
      </c>
      <c r="D6" s="86" t="s">
        <v>254</v>
      </c>
      <c r="E6" s="94" t="e">
        <f>C6*$E$1</f>
        <v>#VALUE!</v>
      </c>
      <c r="F6" s="72"/>
      <c r="G6" s="922"/>
      <c r="H6" s="925"/>
      <c r="I6" s="926"/>
      <c r="J6" s="935"/>
      <c r="K6" s="935"/>
      <c r="L6" s="136"/>
      <c r="M6" s="89"/>
      <c r="N6" s="107"/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tr">
        <f>'25메인호텔'!F4</f>
        <v>Mercure Stevens</v>
      </c>
      <c r="AC6" s="35">
        <f>'25메인호텔'!G4</f>
        <v>180</v>
      </c>
      <c r="AD6" s="35">
        <f>'25메인호텔'!H4</f>
        <v>180</v>
      </c>
      <c r="AE6" s="34"/>
      <c r="AF6" s="34"/>
    </row>
    <row r="7" spans="1:32" ht="18" thickBot="1">
      <c r="B7" s="78" t="s">
        <v>244</v>
      </c>
      <c r="C7" s="183">
        <v>5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tr">
        <f>'25메인호텔'!F5</f>
        <v>M Hotel City Centre</v>
      </c>
      <c r="AC7" s="35">
        <f>'25메인호텔'!G5</f>
        <v>230</v>
      </c>
      <c r="AD7" s="35">
        <f>'25메인호텔'!H5</f>
        <v>230</v>
      </c>
      <c r="AE7" s="34"/>
      <c r="AF7" s="34"/>
    </row>
    <row r="8" spans="1:32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tr">
        <f>'25메인호텔'!F6</f>
        <v>Concorde Hotel</v>
      </c>
      <c r="AC8" s="35">
        <f>'25메인호텔'!G6</f>
        <v>230</v>
      </c>
      <c r="AD8" s="35">
        <f>'25메인호텔'!H6</f>
        <v>230</v>
      </c>
      <c r="AE8" s="34"/>
      <c r="AF8" s="34"/>
    </row>
    <row r="9" spans="1:32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tr">
        <f>'25메인호텔'!F7</f>
        <v>Oasia Novena</v>
      </c>
      <c r="AC9" s="35">
        <f>'25메인호텔'!G7</f>
        <v>210</v>
      </c>
      <c r="AD9" s="35">
        <f>'25메인호텔'!H7</f>
        <v>210</v>
      </c>
      <c r="AE9" s="34"/>
      <c r="AF9" s="34"/>
    </row>
    <row r="10" spans="1:32">
      <c r="B10" s="905" t="str">
        <f>TEXT(C5,"m월 d일 aaaa")</f>
        <v>10월 16일 목요일</v>
      </c>
      <c r="C10" s="867" t="s">
        <v>960</v>
      </c>
      <c r="D10" s="916"/>
      <c r="E10" s="499">
        <f>상품리스트!F20</f>
        <v>0.59375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200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350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tr">
        <f>'25메인호텔'!F8</f>
        <v>Orchid Hotel</v>
      </c>
      <c r="AC10" s="35">
        <f>'25메인호텔'!G8</f>
        <v>220</v>
      </c>
      <c r="AD10" s="35">
        <f>'25메인호텔'!H8</f>
        <v>220</v>
      </c>
      <c r="AE10" s="34"/>
      <c r="AF10" s="34"/>
    </row>
    <row r="11" spans="1:32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4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tr">
        <f>'25메인호텔'!F9</f>
        <v>Amara Singapore</v>
      </c>
      <c r="AC11" s="35">
        <f>'25메인호텔'!G9</f>
        <v>230</v>
      </c>
      <c r="AD11" s="35">
        <f>'25메인호텔'!H9</f>
        <v>230</v>
      </c>
      <c r="AE11" s="34"/>
      <c r="AF11" s="34"/>
    </row>
    <row r="12" spans="1:32">
      <c r="B12" s="865"/>
      <c r="C12" s="902" t="s">
        <v>1337</v>
      </c>
      <c r="D12" s="903"/>
      <c r="E12" s="904"/>
      <c r="F12" s="72"/>
      <c r="G12" s="104"/>
      <c r="H12" s="314"/>
      <c r="I12" s="122">
        <v>10</v>
      </c>
      <c r="J12" s="115">
        <f>$C$4+$E$4</f>
        <v>10</v>
      </c>
      <c r="K12" s="130"/>
      <c r="L12" s="138"/>
      <c r="M12" s="130"/>
      <c r="N12" s="138"/>
      <c r="O12" s="148">
        <f t="shared" si="0"/>
        <v>100</v>
      </c>
      <c r="R12" s="72"/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/>
      <c r="AC12" s="35"/>
      <c r="AD12" s="35"/>
      <c r="AE12" s="34"/>
      <c r="AF12" s="34"/>
    </row>
    <row r="13" spans="1:32" ht="18" thickBot="1">
      <c r="B13" s="906"/>
      <c r="C13" s="917" t="s">
        <v>247</v>
      </c>
      <c r="D13" s="918"/>
      <c r="E13" s="919"/>
      <c r="F13" s="72"/>
      <c r="G13" s="100"/>
      <c r="H13" s="111"/>
      <c r="I13" s="121"/>
      <c r="J13" s="111"/>
      <c r="K13" s="121"/>
      <c r="L13" s="137"/>
      <c r="M13" s="121"/>
      <c r="N13" s="137"/>
      <c r="O13" s="145">
        <f t="shared" si="0"/>
        <v>0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tr">
        <f>'25메인호텔'!F10</f>
        <v>Orchard Hotel</v>
      </c>
      <c r="AC13" s="35">
        <f>'25메인호텔'!G10</f>
        <v>240</v>
      </c>
      <c r="AD13" s="35">
        <f>'25메인호텔'!H10</f>
        <v>240</v>
      </c>
      <c r="AE13" s="34"/>
      <c r="AF13" s="34"/>
    </row>
    <row r="14" spans="1:32">
      <c r="B14" s="905" t="str">
        <f>TEXT(C5+1,"m월 d일 aaaa")</f>
        <v>10월 17일 금요일</v>
      </c>
      <c r="C14" s="896" t="s">
        <v>282</v>
      </c>
      <c r="D14" s="897"/>
      <c r="E14" s="898"/>
      <c r="F14" s="72"/>
      <c r="G14" s="98"/>
      <c r="H14" s="112"/>
      <c r="I14" s="119"/>
      <c r="J14" s="109"/>
      <c r="K14" s="128">
        <f>IF(C4+E4&lt;8,'가이드&amp;차량'!C47, IF(C4+E4&lt;=14,'가이드&amp;차량'!C39,'가이드&amp;차량'!C23))</f>
        <v>530</v>
      </c>
      <c r="L14" s="90">
        <f>L10</f>
        <v>1</v>
      </c>
      <c r="M14" s="128">
        <f>'가이드&amp;차량'!C6</f>
        <v>375</v>
      </c>
      <c r="N14" s="90">
        <f>N10</f>
        <v>1</v>
      </c>
      <c r="O14" s="143">
        <f t="shared" si="0"/>
        <v>905</v>
      </c>
      <c r="Q14" s="159" t="s">
        <v>277</v>
      </c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5" t="str">
        <f>'25메인호텔'!F11</f>
        <v>Grand Copthorne</v>
      </c>
      <c r="AC14" s="35">
        <f>'25메인호텔'!G11</f>
        <v>240</v>
      </c>
      <c r="AD14" s="35">
        <f>'25메인호텔'!H11</f>
        <v>240</v>
      </c>
      <c r="AE14" s="34"/>
      <c r="AF14" s="34"/>
    </row>
    <row r="15" spans="1:32">
      <c r="B15" s="865"/>
      <c r="C15" s="907" t="s">
        <v>1338</v>
      </c>
      <c r="D15" s="908"/>
      <c r="E15" s="909"/>
      <c r="F15" s="72"/>
      <c r="G15" s="206"/>
      <c r="H15" s="164"/>
      <c r="I15" s="123"/>
      <c r="J15" s="110"/>
      <c r="K15" s="161"/>
      <c r="L15" s="138"/>
      <c r="M15" s="161"/>
      <c r="N15" s="138"/>
      <c r="O15" s="148">
        <f t="shared" si="0"/>
        <v>0</v>
      </c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tr">
        <f>'25메인호텔'!F12</f>
        <v>Mercure Tyrwhitt</v>
      </c>
      <c r="AC15" s="35">
        <f>'25메인호텔'!G12</f>
        <v>170</v>
      </c>
      <c r="AD15" s="35">
        <f>'25메인호텔'!H12</f>
        <v>170</v>
      </c>
      <c r="AE15" s="34"/>
      <c r="AF15" s="34"/>
    </row>
    <row r="16" spans="1:32">
      <c r="B16" s="865"/>
      <c r="C16" s="876" t="s">
        <v>1218</v>
      </c>
      <c r="D16" s="877"/>
      <c r="E16" s="878"/>
      <c r="F16" s="72"/>
      <c r="G16" s="99"/>
      <c r="H16" s="110"/>
      <c r="I16" s="122">
        <v>18</v>
      </c>
      <c r="J16" s="115">
        <f>$C$4+$E$4</f>
        <v>10</v>
      </c>
      <c r="K16" s="120"/>
      <c r="L16" s="91"/>
      <c r="M16" s="120"/>
      <c r="N16" s="91"/>
      <c r="O16" s="144">
        <f t="shared" si="0"/>
        <v>180</v>
      </c>
      <c r="Q16" s="7"/>
      <c r="AB16" s="496" t="str">
        <f>'25메인호텔'!F13</f>
        <v>Hotel Boss</v>
      </c>
      <c r="AC16" s="35">
        <f>'25메인호텔'!G13</f>
        <v>185</v>
      </c>
      <c r="AD16" s="35">
        <f>'25메인호텔'!H13</f>
        <v>185</v>
      </c>
      <c r="AE16" s="34"/>
      <c r="AF16" s="34"/>
    </row>
    <row r="17" spans="2:32">
      <c r="B17" s="865"/>
      <c r="C17" s="882" t="s">
        <v>875</v>
      </c>
      <c r="D17" s="883"/>
      <c r="E17" s="884"/>
      <c r="F17" s="72"/>
      <c r="G17" s="103">
        <f>일정!E10+일정!E20</f>
        <v>53.5</v>
      </c>
      <c r="H17" s="115">
        <f>$C$4+$E$4</f>
        <v>10</v>
      </c>
      <c r="I17" s="123"/>
      <c r="J17" s="110"/>
      <c r="K17" s="123"/>
      <c r="L17" s="91"/>
      <c r="M17" s="123"/>
      <c r="N17" s="91"/>
      <c r="O17" s="144">
        <f t="shared" si="0"/>
        <v>535</v>
      </c>
      <c r="AB17" s="496" t="str">
        <f>'25메인호텔'!F14</f>
        <v>V Hotel Lavender</v>
      </c>
      <c r="AC17" s="35">
        <f>'25메인호텔'!G14</f>
        <v>185</v>
      </c>
      <c r="AD17" s="35">
        <f>'25메인호텔'!H14</f>
        <v>185</v>
      </c>
      <c r="AE17" s="34"/>
      <c r="AF17" s="34"/>
    </row>
    <row r="18" spans="2:32">
      <c r="B18" s="865"/>
      <c r="C18" s="890" t="s">
        <v>553</v>
      </c>
      <c r="D18" s="891"/>
      <c r="E18" s="892"/>
      <c r="F18" s="72"/>
      <c r="G18" s="102"/>
      <c r="H18" s="115"/>
      <c r="I18" s="123"/>
      <c r="J18" s="110"/>
      <c r="K18" s="123"/>
      <c r="L18" s="91"/>
      <c r="M18" s="123"/>
      <c r="N18" s="91"/>
      <c r="O18" s="144">
        <f t="shared" si="0"/>
        <v>0</v>
      </c>
      <c r="Q18" s="7"/>
      <c r="AB18" s="496" t="str">
        <f>'25메인호텔'!F15</f>
        <v>IbIs Novena</v>
      </c>
      <c r="AC18" s="35">
        <f>'25메인호텔'!G15</f>
        <v>155</v>
      </c>
      <c r="AD18" s="35">
        <f>'25메인호텔'!H15</f>
        <v>155</v>
      </c>
      <c r="AE18" s="34"/>
      <c r="AF18" s="34"/>
    </row>
    <row r="19" spans="2:32">
      <c r="B19" s="865"/>
      <c r="C19" s="902" t="s">
        <v>506</v>
      </c>
      <c r="D19" s="903"/>
      <c r="E19" s="904"/>
      <c r="F19" s="72"/>
      <c r="G19" s="104"/>
      <c r="H19" s="116"/>
      <c r="I19" s="122">
        <f>식사!E21</f>
        <v>18</v>
      </c>
      <c r="J19" s="115">
        <f>$C$4+$E$4</f>
        <v>10</v>
      </c>
      <c r="K19" s="130"/>
      <c r="L19" s="138"/>
      <c r="M19" s="130"/>
      <c r="N19" s="138"/>
      <c r="O19" s="148">
        <f t="shared" si="0"/>
        <v>180</v>
      </c>
      <c r="AB19" s="496" t="str">
        <f>'25메인호텔'!F16</f>
        <v xml:space="preserve">IbIs bencoolen </v>
      </c>
      <c r="AC19" s="35">
        <f>'25메인호텔'!G16</f>
        <v>185</v>
      </c>
      <c r="AD19" s="35">
        <f>'25메인호텔'!H16</f>
        <v>185</v>
      </c>
      <c r="AE19" s="34"/>
      <c r="AF19" s="34"/>
    </row>
    <row r="20" spans="2:32">
      <c r="B20" s="865"/>
      <c r="C20" s="941" t="s">
        <v>325</v>
      </c>
      <c r="D20" s="911"/>
      <c r="E20" s="912"/>
      <c r="F20" s="72"/>
      <c r="G20" s="205"/>
      <c r="H20" s="115"/>
      <c r="I20" s="102"/>
      <c r="J20" s="115"/>
      <c r="K20" s="120"/>
      <c r="L20" s="91"/>
      <c r="M20" s="120"/>
      <c r="N20" s="91"/>
      <c r="O20" s="144">
        <f t="shared" si="0"/>
        <v>0</v>
      </c>
      <c r="Q20" s="7"/>
      <c r="AB20" s="497" t="str">
        <f>'25메인호텔'!F17</f>
        <v>Oasia Sentosa</v>
      </c>
      <c r="AC20" s="35">
        <f>'25메인호텔'!G17</f>
        <v>240</v>
      </c>
      <c r="AD20" s="35">
        <f>'25메인호텔'!H17</f>
        <v>240</v>
      </c>
      <c r="AE20" s="34"/>
      <c r="AF20" s="34"/>
    </row>
    <row r="21" spans="2:32" ht="18" thickBot="1">
      <c r="B21" s="906"/>
      <c r="C21" s="893" t="s">
        <v>1005</v>
      </c>
      <c r="D21" s="894"/>
      <c r="E21" s="895"/>
      <c r="F21" s="72"/>
      <c r="G21" s="102"/>
      <c r="H21" s="115"/>
      <c r="I21" s="123"/>
      <c r="J21" s="110"/>
      <c r="K21" s="123"/>
      <c r="L21" s="91"/>
      <c r="M21" s="123"/>
      <c r="N21" s="91"/>
      <c r="O21" s="144">
        <f t="shared" si="0"/>
        <v>0</v>
      </c>
      <c r="Q21" s="7"/>
      <c r="AB21" s="497" t="str">
        <f>'25메인호텔'!F18</f>
        <v>Swissotel The stamford</v>
      </c>
      <c r="AC21" s="35">
        <f>'25메인호텔'!G18</f>
        <v>540</v>
      </c>
      <c r="AD21" s="35">
        <f>'25메인호텔'!H18</f>
        <v>540</v>
      </c>
      <c r="AE21" s="34" t="e">
        <f>'25메인호텔'!#REF!</f>
        <v>#REF!</v>
      </c>
      <c r="AF21" s="34" t="e">
        <f>'25메인호텔'!#REF!</f>
        <v>#REF!</v>
      </c>
    </row>
    <row r="22" spans="2:32">
      <c r="B22" s="864" t="str">
        <f>TEXT(C5+2,"m월 d일 aaaa")</f>
        <v>10월 18일 토요일</v>
      </c>
      <c r="C22" s="896" t="s">
        <v>282</v>
      </c>
      <c r="D22" s="897"/>
      <c r="E22" s="898"/>
      <c r="F22" s="72"/>
      <c r="G22" s="98"/>
      <c r="H22" s="109"/>
      <c r="I22" s="119"/>
      <c r="J22" s="109"/>
      <c r="K22" s="128">
        <f>IF(C4+E4&lt;8,'가이드&amp;차량'!C47, IF(C4+E4&lt;=14,'가이드&amp;차량'!C39,'가이드&amp;차량'!C23))</f>
        <v>530</v>
      </c>
      <c r="L22" s="90">
        <v>1</v>
      </c>
      <c r="M22" s="128">
        <f>'가이드&amp;차량'!C6</f>
        <v>375</v>
      </c>
      <c r="N22" s="90">
        <v>1</v>
      </c>
      <c r="O22" s="143">
        <f t="shared" si="0"/>
        <v>905</v>
      </c>
      <c r="Q22" s="159" t="s">
        <v>277</v>
      </c>
    </row>
    <row r="23" spans="2:32">
      <c r="B23" s="944"/>
      <c r="C23" s="948" t="s">
        <v>1018</v>
      </c>
      <c r="D23" s="946"/>
      <c r="E23" s="947"/>
      <c r="F23" s="72"/>
      <c r="G23" s="99"/>
      <c r="H23" s="110"/>
      <c r="I23" s="102"/>
      <c r="J23" s="115"/>
      <c r="K23" s="123"/>
      <c r="L23" s="91"/>
      <c r="M23" s="102"/>
      <c r="N23" s="91"/>
      <c r="O23" s="146">
        <f t="shared" si="0"/>
        <v>0</v>
      </c>
      <c r="Q23" s="7"/>
      <c r="V23" s="498"/>
    </row>
    <row r="24" spans="2:32">
      <c r="B24" s="944"/>
      <c r="C24" s="876" t="s">
        <v>507</v>
      </c>
      <c r="D24" s="877"/>
      <c r="E24" s="878"/>
      <c r="F24" s="72"/>
      <c r="G24" s="99"/>
      <c r="H24" s="110"/>
      <c r="I24" s="122">
        <f>식사!E12</f>
        <v>15</v>
      </c>
      <c r="J24" s="115">
        <f>$C$4+$E$4</f>
        <v>10</v>
      </c>
      <c r="K24" s="120"/>
      <c r="L24" s="91"/>
      <c r="M24" s="120"/>
      <c r="N24" s="91"/>
      <c r="O24" s="144">
        <f t="shared" si="0"/>
        <v>150</v>
      </c>
      <c r="Q24" s="7"/>
    </row>
    <row r="25" spans="2:32">
      <c r="B25" s="888"/>
      <c r="C25" s="948" t="s">
        <v>1019</v>
      </c>
      <c r="D25" s="946"/>
      <c r="E25" s="947"/>
      <c r="F25" s="72"/>
      <c r="G25" s="99"/>
      <c r="H25" s="110"/>
      <c r="I25" s="102"/>
      <c r="J25" s="115"/>
      <c r="K25" s="123"/>
      <c r="L25" s="91"/>
      <c r="M25" s="102"/>
      <c r="N25" s="91"/>
      <c r="O25" s="146">
        <f t="shared" si="0"/>
        <v>0</v>
      </c>
      <c r="Q25" s="7"/>
    </row>
    <row r="26" spans="2:32">
      <c r="B26" s="888"/>
      <c r="C26" s="902" t="s">
        <v>1020</v>
      </c>
      <c r="D26" s="903"/>
      <c r="E26" s="904"/>
      <c r="F26" s="72"/>
      <c r="G26" s="99"/>
      <c r="H26" s="110"/>
      <c r="I26" s="122">
        <v>15</v>
      </c>
      <c r="J26" s="115">
        <f>$C$4+$E$4</f>
        <v>10</v>
      </c>
      <c r="K26" s="123"/>
      <c r="L26" s="91"/>
      <c r="M26" s="123"/>
      <c r="N26" s="91"/>
      <c r="O26" s="146">
        <f t="shared" si="0"/>
        <v>150</v>
      </c>
      <c r="Q26" s="7"/>
    </row>
    <row r="27" spans="2:32" ht="18" thickBot="1">
      <c r="B27" s="866"/>
      <c r="C27" s="893" t="s">
        <v>1005</v>
      </c>
      <c r="D27" s="894"/>
      <c r="E27" s="895"/>
      <c r="F27" s="72"/>
      <c r="G27" s="100"/>
      <c r="H27" s="111"/>
      <c r="I27" s="124"/>
      <c r="J27" s="126"/>
      <c r="K27" s="129"/>
      <c r="L27" s="137"/>
      <c r="M27" s="124"/>
      <c r="N27" s="137"/>
      <c r="O27" s="147">
        <f t="shared" si="0"/>
        <v>0</v>
      </c>
      <c r="Q27" s="7"/>
    </row>
    <row r="28" spans="2:32">
      <c r="B28" s="864" t="str">
        <f>TEXT(C5+3,"m월 d일 aaaa")</f>
        <v>10월 19일 일요일</v>
      </c>
      <c r="C28" s="896" t="s">
        <v>330</v>
      </c>
      <c r="D28" s="897"/>
      <c r="E28" s="898"/>
      <c r="F28" s="72"/>
      <c r="G28" s="98"/>
      <c r="H28" s="109"/>
      <c r="I28" s="119"/>
      <c r="J28" s="109"/>
      <c r="K28" s="128">
        <f>IF(C4+E4&lt;8,'가이드&amp;차량'!C47, IF(C4+E4&lt;=14,'가이드&amp;차량'!C39,'가이드&amp;차량'!C23))</f>
        <v>530</v>
      </c>
      <c r="L28" s="90">
        <f>L10</f>
        <v>1</v>
      </c>
      <c r="M28" s="128">
        <f>'가이드&amp;차량'!C6+'가이드&amp;차량'!C3</f>
        <v>525</v>
      </c>
      <c r="N28" s="90">
        <f>N10</f>
        <v>1</v>
      </c>
      <c r="O28" s="143">
        <f t="shared" si="0"/>
        <v>1055</v>
      </c>
      <c r="Q28" s="159" t="s">
        <v>278</v>
      </c>
    </row>
    <row r="29" spans="2:32">
      <c r="B29" s="944"/>
      <c r="C29" s="948" t="s">
        <v>505</v>
      </c>
      <c r="D29" s="946"/>
      <c r="E29" s="947"/>
      <c r="F29" s="72"/>
      <c r="G29" s="340"/>
      <c r="H29" s="343"/>
      <c r="I29" s="342"/>
      <c r="J29" s="343"/>
      <c r="K29" s="344"/>
      <c r="L29" s="345"/>
      <c r="M29" s="344"/>
      <c r="N29" s="345"/>
      <c r="O29" s="466">
        <f t="shared" si="0"/>
        <v>0</v>
      </c>
      <c r="Q29" s="159"/>
    </row>
    <row r="30" spans="2:32">
      <c r="B30" s="888"/>
      <c r="C30" s="876" t="s">
        <v>629</v>
      </c>
      <c r="D30" s="877"/>
      <c r="E30" s="878"/>
      <c r="F30" s="72"/>
      <c r="G30" s="99"/>
      <c r="H30" s="110"/>
      <c r="I30" s="122">
        <f>식사!E19</f>
        <v>17</v>
      </c>
      <c r="J30" s="115">
        <f>$C$4+$E$4</f>
        <v>10</v>
      </c>
      <c r="K30" s="120"/>
      <c r="L30" s="91"/>
      <c r="M30" s="120"/>
      <c r="N30" s="91"/>
      <c r="O30" s="144">
        <f t="shared" si="0"/>
        <v>170</v>
      </c>
    </row>
    <row r="31" spans="2:32">
      <c r="B31" s="888"/>
      <c r="C31" s="899" t="str">
        <f>일정!C27</f>
        <v>가든스바이더베이 2돔 ( 쥬랴기 )</v>
      </c>
      <c r="D31" s="900"/>
      <c r="E31" s="901"/>
      <c r="F31" s="72"/>
      <c r="G31" s="103">
        <f>일정!E27</f>
        <v>28.3</v>
      </c>
      <c r="H31" s="115">
        <f>$C$4+$E$4</f>
        <v>10</v>
      </c>
      <c r="I31" s="123"/>
      <c r="J31" s="110"/>
      <c r="K31" s="123"/>
      <c r="L31" s="91"/>
      <c r="M31" s="123"/>
      <c r="N31" s="91"/>
      <c r="O31" s="144">
        <f t="shared" si="0"/>
        <v>283</v>
      </c>
      <c r="V31" s="498"/>
    </row>
    <row r="32" spans="2:32">
      <c r="B32" s="888"/>
      <c r="C32" s="907" t="s">
        <v>595</v>
      </c>
      <c r="D32" s="908"/>
      <c r="E32" s="909"/>
      <c r="F32" s="72"/>
      <c r="G32" s="206"/>
      <c r="H32" s="164"/>
      <c r="I32" s="123"/>
      <c r="J32" s="110"/>
      <c r="K32" s="161"/>
      <c r="L32" s="138"/>
      <c r="M32" s="161"/>
      <c r="N32" s="138"/>
      <c r="O32" s="148">
        <f t="shared" si="0"/>
        <v>0</v>
      </c>
      <c r="V32" s="498"/>
    </row>
    <row r="33" spans="2:22">
      <c r="B33" s="888"/>
      <c r="C33" s="902" t="s">
        <v>1313</v>
      </c>
      <c r="D33" s="903"/>
      <c r="E33" s="904"/>
      <c r="F33" s="72"/>
      <c r="G33" s="104"/>
      <c r="H33" s="116"/>
      <c r="I33" s="122">
        <f>식사!E3</f>
        <v>25</v>
      </c>
      <c r="J33" s="115">
        <f>$C$4+$E$4</f>
        <v>10</v>
      </c>
      <c r="K33" s="130"/>
      <c r="L33" s="138"/>
      <c r="M33" s="130"/>
      <c r="N33" s="138"/>
      <c r="O33" s="148">
        <f t="shared" si="0"/>
        <v>250</v>
      </c>
    </row>
    <row r="34" spans="2:22" ht="18" thickBot="1">
      <c r="B34" s="866"/>
      <c r="C34" s="870" t="s">
        <v>1207</v>
      </c>
      <c r="D34" s="871"/>
      <c r="E34" s="500">
        <f>상품리스트!I20</f>
        <v>6.9444444444444441E-3</v>
      </c>
      <c r="F34" s="34"/>
      <c r="G34" s="105"/>
      <c r="H34" s="117"/>
      <c r="I34" s="124"/>
      <c r="J34" s="126"/>
      <c r="K34" s="131"/>
      <c r="L34" s="139"/>
      <c r="M34" s="131"/>
      <c r="N34" s="139"/>
      <c r="O34" s="149">
        <f t="shared" si="0"/>
        <v>0</v>
      </c>
      <c r="P34" s="34"/>
      <c r="Q34" s="34"/>
      <c r="R34" s="34"/>
      <c r="S34" s="34"/>
      <c r="T34" s="34"/>
      <c r="U34" s="34"/>
      <c r="V34" s="498"/>
    </row>
    <row r="35" spans="2:22">
      <c r="B35" s="72"/>
      <c r="C35" s="72"/>
      <c r="D35" s="72"/>
      <c r="E35" s="72"/>
      <c r="F35" s="72"/>
      <c r="G35" s="72"/>
      <c r="H35" s="72"/>
      <c r="K35" s="132">
        <f>SUM(K10:K34)</f>
        <v>1790</v>
      </c>
      <c r="L35" s="72"/>
      <c r="M35" s="132">
        <f>SUM(M10:M34)</f>
        <v>1425</v>
      </c>
      <c r="N35" s="72"/>
      <c r="O35" s="150"/>
      <c r="P35" s="156"/>
    </row>
    <row r="36" spans="2:22" ht="18" thickBot="1">
      <c r="O36" s="150"/>
    </row>
    <row r="37" spans="2:22">
      <c r="B37" s="872" t="s">
        <v>246</v>
      </c>
      <c r="C37" s="873" t="s">
        <v>288</v>
      </c>
      <c r="D37" s="874"/>
      <c r="E37" s="875"/>
      <c r="F37" s="34"/>
      <c r="G37" s="862">
        <f>$C$4+$E$4</f>
        <v>10</v>
      </c>
      <c r="H37" s="863"/>
      <c r="I37" s="854">
        <v>3</v>
      </c>
      <c r="J37" s="854"/>
      <c r="K37" s="855">
        <v>1</v>
      </c>
      <c r="L37" s="855"/>
      <c r="M37" s="855"/>
      <c r="N37" s="855"/>
      <c r="O37" s="151">
        <f>G37*I37*K37</f>
        <v>30</v>
      </c>
    </row>
    <row r="38" spans="2:22" ht="18" thickBot="1">
      <c r="B38" s="827"/>
      <c r="C38" s="856" t="s">
        <v>451</v>
      </c>
      <c r="D38" s="857"/>
      <c r="E38" s="858"/>
      <c r="F38" s="34"/>
      <c r="G38" s="859">
        <v>50</v>
      </c>
      <c r="H38" s="860"/>
      <c r="I38" s="860"/>
      <c r="J38" s="860"/>
      <c r="K38" s="861">
        <f>C4</f>
        <v>10</v>
      </c>
      <c r="L38" s="861"/>
      <c r="M38" s="861"/>
      <c r="N38" s="861"/>
      <c r="O38" s="152">
        <f>G38*K38</f>
        <v>500</v>
      </c>
      <c r="V38" s="493"/>
    </row>
    <row r="39" spans="2:22" ht="18" thickBot="1">
      <c r="O39" s="150"/>
      <c r="V39" s="493"/>
    </row>
    <row r="40" spans="2:22" ht="16.5" customHeight="1">
      <c r="B40" s="961" t="s">
        <v>337</v>
      </c>
      <c r="C40" s="1021" t="s">
        <v>251</v>
      </c>
      <c r="D40" s="1022"/>
      <c r="E40" s="1023"/>
      <c r="F40" s="165"/>
      <c r="G40" s="967"/>
      <c r="H40" s="1024"/>
      <c r="I40" s="969">
        <f>일정!G24</f>
        <v>30</v>
      </c>
      <c r="J40" s="970"/>
      <c r="K40" s="1044">
        <f>C4</f>
        <v>10</v>
      </c>
      <c r="L40" s="1044"/>
      <c r="M40" s="1044"/>
      <c r="N40" s="1045"/>
      <c r="O40" s="153">
        <f>G40*I40*K40</f>
        <v>0</v>
      </c>
      <c r="V40" s="493"/>
    </row>
    <row r="41" spans="2:22">
      <c r="B41" s="1019"/>
      <c r="C41" s="1025" t="s">
        <v>250</v>
      </c>
      <c r="D41" s="1026"/>
      <c r="E41" s="1027"/>
      <c r="F41" s="165"/>
      <c r="G41" s="977"/>
      <c r="H41" s="1028"/>
      <c r="I41" s="979">
        <f>일정!G30</f>
        <v>28</v>
      </c>
      <c r="J41" s="980"/>
      <c r="K41" s="1046">
        <f>C4</f>
        <v>10</v>
      </c>
      <c r="L41" s="1047"/>
      <c r="M41" s="1047"/>
      <c r="N41" s="1048"/>
      <c r="O41" s="154">
        <f>G41*I41*K41</f>
        <v>0</v>
      </c>
      <c r="V41" s="493"/>
    </row>
    <row r="42" spans="2:22">
      <c r="B42" s="1019"/>
      <c r="C42" s="1025" t="s">
        <v>249</v>
      </c>
      <c r="D42" s="1026"/>
      <c r="E42" s="1027"/>
      <c r="F42" s="165"/>
      <c r="G42" s="977"/>
      <c r="H42" s="1028"/>
      <c r="I42" s="979">
        <f>일정!G35</f>
        <v>36</v>
      </c>
      <c r="J42" s="980"/>
      <c r="K42" s="1046">
        <f>C4</f>
        <v>10</v>
      </c>
      <c r="L42" s="1047"/>
      <c r="M42" s="1047"/>
      <c r="N42" s="1048"/>
      <c r="O42" s="154">
        <f>G42*I42*K42</f>
        <v>0</v>
      </c>
    </row>
    <row r="43" spans="2:22">
      <c r="B43" s="1019"/>
      <c r="C43" s="1025" t="s">
        <v>336</v>
      </c>
      <c r="D43" s="1026"/>
      <c r="E43" s="1027"/>
      <c r="F43" s="165"/>
      <c r="G43" s="977"/>
      <c r="H43" s="1028"/>
      <c r="I43" s="979">
        <f>일정!G13</f>
        <v>19</v>
      </c>
      <c r="J43" s="980"/>
      <c r="K43" s="1046">
        <f>C4</f>
        <v>10</v>
      </c>
      <c r="L43" s="1047"/>
      <c r="M43" s="1047"/>
      <c r="N43" s="1048"/>
      <c r="O43" s="154">
        <f>G43*I43*K43</f>
        <v>0</v>
      </c>
    </row>
    <row r="44" spans="2:22" ht="18" thickBot="1">
      <c r="B44" s="1020"/>
      <c r="C44" s="1030" t="s">
        <v>252</v>
      </c>
      <c r="D44" s="1031"/>
      <c r="E44" s="1032"/>
      <c r="F44" s="165"/>
      <c r="G44" s="989"/>
      <c r="H44" s="1033"/>
      <c r="I44" s="991">
        <f>일정!G29</f>
        <v>40</v>
      </c>
      <c r="J44" s="992"/>
      <c r="K44" s="1049">
        <f>C4</f>
        <v>10</v>
      </c>
      <c r="L44" s="1050"/>
      <c r="M44" s="1050"/>
      <c r="N44" s="1051"/>
      <c r="O44" s="215">
        <f>G44*I44*K44</f>
        <v>0</v>
      </c>
    </row>
  </sheetData>
  <mergeCells count="78">
    <mergeCell ref="K42:N42"/>
    <mergeCell ref="C43:E43"/>
    <mergeCell ref="G43:H43"/>
    <mergeCell ref="I43:J43"/>
    <mergeCell ref="K43:N43"/>
    <mergeCell ref="B40:B44"/>
    <mergeCell ref="C40:E40"/>
    <mergeCell ref="G40:H40"/>
    <mergeCell ref="I40:J40"/>
    <mergeCell ref="K40:N40"/>
    <mergeCell ref="C41:E41"/>
    <mergeCell ref="G41:H41"/>
    <mergeCell ref="I41:J41"/>
    <mergeCell ref="K41:N41"/>
    <mergeCell ref="C42:E42"/>
    <mergeCell ref="C44:E44"/>
    <mergeCell ref="G44:H44"/>
    <mergeCell ref="I44:J44"/>
    <mergeCell ref="K44:N44"/>
    <mergeCell ref="G42:H42"/>
    <mergeCell ref="I42:J42"/>
    <mergeCell ref="B37:B38"/>
    <mergeCell ref="C37:E37"/>
    <mergeCell ref="G37:H37"/>
    <mergeCell ref="I37:J37"/>
    <mergeCell ref="K37:N37"/>
    <mergeCell ref="C38:E38"/>
    <mergeCell ref="G38:J38"/>
    <mergeCell ref="K38:N38"/>
    <mergeCell ref="B28:B34"/>
    <mergeCell ref="C28:E28"/>
    <mergeCell ref="C29:E29"/>
    <mergeCell ref="C30:E30"/>
    <mergeCell ref="C31:E31"/>
    <mergeCell ref="C32:E32"/>
    <mergeCell ref="C33:E33"/>
    <mergeCell ref="C34:D34"/>
    <mergeCell ref="B22:B27"/>
    <mergeCell ref="C22:E22"/>
    <mergeCell ref="C23:E23"/>
    <mergeCell ref="C24:E24"/>
    <mergeCell ref="C25:E25"/>
    <mergeCell ref="C26:E26"/>
    <mergeCell ref="C27:E27"/>
    <mergeCell ref="B14:B21"/>
    <mergeCell ref="C14:E14"/>
    <mergeCell ref="C15:E15"/>
    <mergeCell ref="C16:E16"/>
    <mergeCell ref="C17:E17"/>
    <mergeCell ref="C18:E18"/>
    <mergeCell ref="C19:E19"/>
    <mergeCell ref="C20:E20"/>
    <mergeCell ref="C21:E21"/>
    <mergeCell ref="H7:K7"/>
    <mergeCell ref="M8:N8"/>
    <mergeCell ref="O8:O9"/>
    <mergeCell ref="B10:B13"/>
    <mergeCell ref="C10:D10"/>
    <mergeCell ref="C11:E11"/>
    <mergeCell ref="C13:E13"/>
    <mergeCell ref="G8:H8"/>
    <mergeCell ref="I8:J8"/>
    <mergeCell ref="K8:L8"/>
    <mergeCell ref="C12:E12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03299E24-5164-48A9-A529-D7B9E9068065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8A31B-F82F-41E3-9FE5-567DB87A664E}">
  <dimension ref="A1:AF44"/>
  <sheetViews>
    <sheetView topLeftCell="A3" workbookViewId="0">
      <selection activeCell="M19" sqref="M19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9" width="7.6640625" customWidth="1"/>
    <col min="10" max="10" width="9.83203125" customWidth="1"/>
    <col min="11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6" max="26" width="7.6640625" customWidth="1"/>
    <col min="27" max="27" width="3.5" customWidth="1"/>
    <col min="28" max="28" width="19.33203125" bestFit="1" customWidth="1"/>
    <col min="29" max="30" width="4.5" bestFit="1" customWidth="1"/>
    <col min="31" max="32" width="4.1640625" bestFit="1" customWidth="1"/>
  </cols>
  <sheetData>
    <row r="1" spans="1:32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2.5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2">
      <c r="B2" s="73" t="s">
        <v>238</v>
      </c>
      <c r="C2" s="923" t="s">
        <v>1238</v>
      </c>
      <c r="D2" s="923"/>
      <c r="E2" s="924"/>
      <c r="F2" s="72"/>
      <c r="G2" s="921"/>
      <c r="H2" s="925">
        <f>C5</f>
        <v>45958</v>
      </c>
      <c r="I2" s="926"/>
      <c r="J2" s="927" t="str">
        <f>AB2</f>
        <v>Amara Singapore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230</v>
      </c>
      <c r="M2" s="140">
        <f>$I$1+$K$1</f>
        <v>2.5</v>
      </c>
      <c r="N2" s="106">
        <f>L2*M2</f>
        <v>575</v>
      </c>
      <c r="O2" s="929">
        <f>SUM(N2:N6)</f>
        <v>1725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919</v>
      </c>
      <c r="AC2" s="10">
        <v>230</v>
      </c>
      <c r="AD2" s="10">
        <v>230</v>
      </c>
    </row>
    <row r="3" spans="1:32" ht="28">
      <c r="B3" s="74" t="s">
        <v>239</v>
      </c>
      <c r="C3" s="938"/>
      <c r="D3" s="938"/>
      <c r="E3" s="770"/>
      <c r="F3" s="72"/>
      <c r="G3" s="921"/>
      <c r="H3" s="925">
        <f>H2+1</f>
        <v>45959</v>
      </c>
      <c r="I3" s="926"/>
      <c r="J3" s="927" t="str">
        <f>J2</f>
        <v>Amara Singapore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230</v>
      </c>
      <c r="M3" s="140">
        <f>$I$1+$K$1</f>
        <v>2.5</v>
      </c>
      <c r="N3" s="106">
        <f>L3*M3</f>
        <v>575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2" ht="18" thickBot="1">
      <c r="B4" s="75" t="s">
        <v>241</v>
      </c>
      <c r="C4" s="81">
        <v>5</v>
      </c>
      <c r="D4" s="84" t="s">
        <v>253</v>
      </c>
      <c r="E4" s="92">
        <v>0</v>
      </c>
      <c r="F4" s="72"/>
      <c r="G4" s="921"/>
      <c r="H4" s="925">
        <f>H3+1</f>
        <v>45960</v>
      </c>
      <c r="I4" s="926"/>
      <c r="J4" s="927" t="str">
        <f>J3</f>
        <v>Amara Singapore</v>
      </c>
      <c r="K4" s="928"/>
      <c r="L4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230</v>
      </c>
      <c r="M4" s="140">
        <f>$I$1+$K$1</f>
        <v>2.5</v>
      </c>
      <c r="N4" s="106">
        <f>L4*M4</f>
        <v>575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tr">
        <f>'25메인호텔'!F2</f>
        <v>Momentus</v>
      </c>
      <c r="AC4" s="35">
        <f>'25메인호텔'!G2</f>
        <v>190</v>
      </c>
      <c r="AD4" s="35">
        <f>'25메인호텔'!H2</f>
        <v>180</v>
      </c>
      <c r="AE4" s="34"/>
      <c r="AF4" s="34"/>
    </row>
    <row r="5" spans="1:32" ht="18" thickBot="1">
      <c r="B5" s="76" t="s">
        <v>242</v>
      </c>
      <c r="C5" s="82">
        <v>45958</v>
      </c>
      <c r="D5" s="85">
        <v>3</v>
      </c>
      <c r="E5" s="93">
        <f>C5+D5</f>
        <v>45961</v>
      </c>
      <c r="F5" s="72"/>
      <c r="G5" s="921"/>
      <c r="H5" s="925">
        <f>H4+1</f>
        <v>45961</v>
      </c>
      <c r="I5" s="926"/>
      <c r="J5" s="939"/>
      <c r="K5" s="940"/>
      <c r="L5" s="135"/>
      <c r="M5" s="140"/>
      <c r="N5" s="106">
        <f>L5*M5</f>
        <v>0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tr">
        <f>'25메인호텔'!F3</f>
        <v>Aloft Novena</v>
      </c>
      <c r="AC5" s="35">
        <f>'25메인호텔'!G3</f>
        <v>180</v>
      </c>
      <c r="AD5" s="35">
        <f>'25메인호텔'!H3</f>
        <v>180</v>
      </c>
      <c r="AE5" s="34"/>
      <c r="AF5" s="34"/>
    </row>
    <row r="6" spans="1:32" ht="17.25" customHeight="1" thickBot="1">
      <c r="B6" s="77" t="s">
        <v>243</v>
      </c>
      <c r="C6" s="83">
        <f>(SUM(O10:O44)+O2)/C4+R2+T6</f>
        <v>1275.5999999999999</v>
      </c>
      <c r="D6" s="86" t="s">
        <v>254</v>
      </c>
      <c r="E6" s="94">
        <f>C6*$E$1</f>
        <v>1403160</v>
      </c>
      <c r="F6" s="72"/>
      <c r="G6" s="922"/>
      <c r="H6" s="925">
        <f>H5+1</f>
        <v>45962</v>
      </c>
      <c r="I6" s="926"/>
      <c r="J6" s="935"/>
      <c r="K6" s="935"/>
      <c r="L6" s="136"/>
      <c r="M6" s="89"/>
      <c r="N6" s="107">
        <f>L6*M6</f>
        <v>0</v>
      </c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tr">
        <f>'25메인호텔'!F4</f>
        <v>Mercure Stevens</v>
      </c>
      <c r="AC6" s="35">
        <f>'25메인호텔'!G4</f>
        <v>180</v>
      </c>
      <c r="AD6" s="35">
        <f>'25메인호텔'!H4</f>
        <v>180</v>
      </c>
      <c r="AE6" s="34"/>
      <c r="AF6" s="34"/>
    </row>
    <row r="7" spans="1:32" ht="18" thickBot="1">
      <c r="B7" s="78" t="s">
        <v>244</v>
      </c>
      <c r="C7" s="183">
        <v>5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tr">
        <f>'25메인호텔'!F5</f>
        <v>M Hotel City Centre</v>
      </c>
      <c r="AC7" s="35">
        <f>'25메인호텔'!G5</f>
        <v>230</v>
      </c>
      <c r="AD7" s="35">
        <f>'25메인호텔'!H5</f>
        <v>230</v>
      </c>
      <c r="AE7" s="34"/>
      <c r="AF7" s="34"/>
    </row>
    <row r="8" spans="1:32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tr">
        <f>'25메인호텔'!F6</f>
        <v>Concorde Hotel</v>
      </c>
      <c r="AC8" s="35">
        <f>'25메인호텔'!G6</f>
        <v>230</v>
      </c>
      <c r="AD8" s="35">
        <f>'25메인호텔'!H6</f>
        <v>230</v>
      </c>
      <c r="AE8" s="34"/>
      <c r="AF8" s="34"/>
    </row>
    <row r="9" spans="1:32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tr">
        <f>'25메인호텔'!F7</f>
        <v>Oasia Novena</v>
      </c>
      <c r="AC9" s="35">
        <f>'25메인호텔'!G7</f>
        <v>210</v>
      </c>
      <c r="AD9" s="35">
        <f>'25메인호텔'!H7</f>
        <v>210</v>
      </c>
      <c r="AE9" s="34"/>
      <c r="AF9" s="34"/>
    </row>
    <row r="10" spans="1:32">
      <c r="B10" s="905" t="str">
        <f>TEXT(C5,"m월 d일 aaaa")</f>
        <v>10월 28일 화요일</v>
      </c>
      <c r="C10" s="867" t="s">
        <v>960</v>
      </c>
      <c r="D10" s="916"/>
      <c r="E10" s="499">
        <f>상품리스트!F13</f>
        <v>0.91666666666666663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120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270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tr">
        <f>'25메인호텔'!F8</f>
        <v>Orchid Hotel</v>
      </c>
      <c r="AC10" s="35">
        <f>'25메인호텔'!G8</f>
        <v>220</v>
      </c>
      <c r="AD10" s="35">
        <f>'25메인호텔'!H8</f>
        <v>220</v>
      </c>
      <c r="AE10" s="34"/>
      <c r="AF10" s="34"/>
    </row>
    <row r="11" spans="1:32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5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tr">
        <f>'25메인호텔'!F9</f>
        <v>Amara Singapore</v>
      </c>
      <c r="AC11" s="35">
        <f>'25메인호텔'!G9</f>
        <v>230</v>
      </c>
      <c r="AD11" s="35">
        <f>'25메인호텔'!H9</f>
        <v>230</v>
      </c>
      <c r="AE11" s="34"/>
      <c r="AF11" s="34"/>
    </row>
    <row r="12" spans="1:32">
      <c r="B12" s="865"/>
      <c r="C12" s="902" t="s">
        <v>508</v>
      </c>
      <c r="D12" s="903"/>
      <c r="E12" s="904"/>
      <c r="F12" s="72"/>
      <c r="G12" s="104"/>
      <c r="H12" s="314"/>
      <c r="I12" s="122">
        <f>식사!E15</f>
        <v>18</v>
      </c>
      <c r="J12" s="115">
        <f>$C$4+$E$4</f>
        <v>5</v>
      </c>
      <c r="K12" s="130"/>
      <c r="L12" s="138"/>
      <c r="M12" s="130"/>
      <c r="N12" s="138"/>
      <c r="O12" s="148">
        <f t="shared" si="0"/>
        <v>90</v>
      </c>
      <c r="R12" s="72"/>
      <c r="V12" s="190"/>
      <c r="W12" s="189"/>
      <c r="X12" s="189"/>
      <c r="Y12" s="188"/>
      <c r="AB12" s="495"/>
      <c r="AC12" s="35"/>
      <c r="AD12" s="35"/>
      <c r="AE12" s="34"/>
      <c r="AF12" s="34"/>
    </row>
    <row r="13" spans="1:32" ht="18" thickBot="1">
      <c r="B13" s="906"/>
      <c r="C13" s="917" t="s">
        <v>247</v>
      </c>
      <c r="D13" s="918"/>
      <c r="E13" s="919"/>
      <c r="F13" s="72"/>
      <c r="G13" s="100"/>
      <c r="H13" s="111"/>
      <c r="I13" s="121"/>
      <c r="J13" s="111"/>
      <c r="K13" s="121"/>
      <c r="L13" s="137"/>
      <c r="M13" s="121"/>
      <c r="N13" s="137"/>
      <c r="O13" s="145">
        <f t="shared" si="0"/>
        <v>0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tr">
        <f>'25메인호텔'!F10</f>
        <v>Orchard Hotel</v>
      </c>
      <c r="AC13" s="35">
        <f>'25메인호텔'!G10</f>
        <v>240</v>
      </c>
      <c r="AD13" s="35">
        <f>'25메인호텔'!H10</f>
        <v>240</v>
      </c>
      <c r="AE13" s="34"/>
      <c r="AF13" s="34"/>
    </row>
    <row r="14" spans="1:32">
      <c r="B14" s="905" t="str">
        <f>TEXT(C5+1,"m월 d일 aaaa")</f>
        <v>10월 29일 수요일</v>
      </c>
      <c r="C14" s="896" t="s">
        <v>282</v>
      </c>
      <c r="D14" s="897"/>
      <c r="E14" s="898"/>
      <c r="F14" s="72"/>
      <c r="G14" s="98"/>
      <c r="H14" s="112"/>
      <c r="I14" s="119"/>
      <c r="J14" s="109"/>
      <c r="K14" s="128">
        <f>IF(C4+E4&lt;8,'가이드&amp;차량'!C47, IF(C4+E4&lt;=14,'가이드&amp;차량'!C39,'가이드&amp;차량'!C23))</f>
        <v>430</v>
      </c>
      <c r="L14" s="90">
        <f>L10</f>
        <v>1</v>
      </c>
      <c r="M14" s="128">
        <f>'가이드&amp;차량'!C6</f>
        <v>375</v>
      </c>
      <c r="N14" s="90">
        <f>N10</f>
        <v>1</v>
      </c>
      <c r="O14" s="143">
        <f t="shared" si="0"/>
        <v>805</v>
      </c>
      <c r="Q14" s="159" t="s">
        <v>277</v>
      </c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5" t="str">
        <f>'25메인호텔'!F11</f>
        <v>Grand Copthorne</v>
      </c>
      <c r="AC14" s="35">
        <f>'25메인호텔'!G11</f>
        <v>240</v>
      </c>
      <c r="AD14" s="35">
        <f>'25메인호텔'!H11</f>
        <v>240</v>
      </c>
      <c r="AE14" s="34"/>
      <c r="AF14" s="34"/>
    </row>
    <row r="15" spans="1:32">
      <c r="B15" s="865"/>
      <c r="C15" s="907" t="s">
        <v>322</v>
      </c>
      <c r="D15" s="900"/>
      <c r="E15" s="901"/>
      <c r="F15" s="72"/>
      <c r="G15" s="102"/>
      <c r="H15" s="115"/>
      <c r="I15" s="120"/>
      <c r="J15" s="110"/>
      <c r="K15" s="123"/>
      <c r="L15" s="91"/>
      <c r="M15" s="123"/>
      <c r="N15" s="91"/>
      <c r="O15" s="144">
        <f t="shared" si="0"/>
        <v>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tr">
        <f>'25메인호텔'!F12</f>
        <v>Mercure Tyrwhitt</v>
      </c>
      <c r="AC15" s="35">
        <f>'25메인호텔'!G12</f>
        <v>170</v>
      </c>
      <c r="AD15" s="35">
        <f>'25메인호텔'!H12</f>
        <v>170</v>
      </c>
      <c r="AE15" s="34"/>
      <c r="AF15" s="34"/>
    </row>
    <row r="16" spans="1:32">
      <c r="B16" s="865"/>
      <c r="C16" s="876" t="s">
        <v>632</v>
      </c>
      <c r="D16" s="877"/>
      <c r="E16" s="878"/>
      <c r="F16" s="72"/>
      <c r="G16" s="99"/>
      <c r="H16" s="110"/>
      <c r="I16" s="122">
        <f>IF(C4+E4&lt;10,식사!E27,식사!E28)</f>
        <v>45</v>
      </c>
      <c r="J16" s="115">
        <f>$C$4+$E$4</f>
        <v>5</v>
      </c>
      <c r="K16" s="120"/>
      <c r="L16" s="91"/>
      <c r="M16" s="120"/>
      <c r="N16" s="91"/>
      <c r="O16" s="144">
        <f t="shared" si="0"/>
        <v>225</v>
      </c>
      <c r="Q16" s="7"/>
      <c r="AB16" s="496" t="str">
        <f>'25메인호텔'!F13</f>
        <v>Hotel Boss</v>
      </c>
      <c r="AC16" s="35">
        <f>'25메인호텔'!G13</f>
        <v>185</v>
      </c>
      <c r="AD16" s="35">
        <f>'25메인호텔'!H13</f>
        <v>185</v>
      </c>
      <c r="AE16" s="34"/>
      <c r="AF16" s="34"/>
    </row>
    <row r="17" spans="2:32">
      <c r="B17" s="865"/>
      <c r="C17" s="879" t="s">
        <v>1123</v>
      </c>
      <c r="D17" s="880"/>
      <c r="E17" s="881"/>
      <c r="F17" s="72"/>
      <c r="G17" s="101">
        <f>일정!E38</f>
        <v>23.5</v>
      </c>
      <c r="H17" s="115">
        <f>$C$4+$E$4</f>
        <v>5</v>
      </c>
      <c r="I17" s="123"/>
      <c r="J17" s="110"/>
      <c r="K17" s="123"/>
      <c r="L17" s="91"/>
      <c r="M17" s="123"/>
      <c r="N17" s="91"/>
      <c r="O17" s="144">
        <f t="shared" si="0"/>
        <v>117.5</v>
      </c>
      <c r="Q17" s="7"/>
      <c r="AB17" s="496" t="str">
        <f>'25메인호텔'!F14</f>
        <v>V Hotel Lavender</v>
      </c>
      <c r="AC17" s="35">
        <f>'25메인호텔'!G14</f>
        <v>185</v>
      </c>
      <c r="AD17" s="35">
        <f>'25메인호텔'!H14</f>
        <v>185</v>
      </c>
      <c r="AE17" s="34"/>
      <c r="AF17" s="34"/>
    </row>
    <row r="18" spans="2:32">
      <c r="B18" s="865"/>
      <c r="C18" s="890" t="s">
        <v>550</v>
      </c>
      <c r="D18" s="891"/>
      <c r="E18" s="892"/>
      <c r="F18" s="72"/>
      <c r="G18" s="102"/>
      <c r="H18" s="115"/>
      <c r="I18" s="123"/>
      <c r="J18" s="110"/>
      <c r="K18" s="123"/>
      <c r="L18" s="91"/>
      <c r="M18" s="123"/>
      <c r="N18" s="91"/>
      <c r="O18" s="144">
        <f t="shared" si="0"/>
        <v>0</v>
      </c>
      <c r="Q18" s="7"/>
      <c r="AB18" s="496" t="str">
        <f>'25메인호텔'!F15</f>
        <v>IbIs Novena</v>
      </c>
      <c r="AC18" s="35">
        <f>'25메인호텔'!G15</f>
        <v>155</v>
      </c>
      <c r="AD18" s="35">
        <f>'25메인호텔'!H15</f>
        <v>155</v>
      </c>
      <c r="AE18" s="34"/>
      <c r="AF18" s="34"/>
    </row>
    <row r="19" spans="2:32">
      <c r="B19" s="865"/>
      <c r="C19" s="879" t="str">
        <f>일정!C27</f>
        <v>가든스바이더베이 2돔 ( 쥬랴기 )</v>
      </c>
      <c r="D19" s="880"/>
      <c r="E19" s="881"/>
      <c r="F19" s="72"/>
      <c r="G19" s="101">
        <f>일정!E27</f>
        <v>28.3</v>
      </c>
      <c r="H19" s="115">
        <f>$C$4+$E$4</f>
        <v>5</v>
      </c>
      <c r="I19" s="123"/>
      <c r="J19" s="110"/>
      <c r="K19" s="123"/>
      <c r="L19" s="91"/>
      <c r="M19" s="123"/>
      <c r="N19" s="91"/>
      <c r="O19" s="144">
        <f t="shared" si="0"/>
        <v>141.5</v>
      </c>
      <c r="Q19" s="7"/>
      <c r="AB19" s="496" t="str">
        <f>'25메인호텔'!F16</f>
        <v xml:space="preserve">IbIs bencoolen </v>
      </c>
      <c r="AC19" s="35">
        <f>'25메인호텔'!G16</f>
        <v>185</v>
      </c>
      <c r="AD19" s="35">
        <f>'25메인호텔'!H16</f>
        <v>185</v>
      </c>
      <c r="AE19" s="34"/>
      <c r="AF19" s="34"/>
    </row>
    <row r="20" spans="2:32">
      <c r="B20" s="865"/>
      <c r="C20" s="902" t="s">
        <v>298</v>
      </c>
      <c r="D20" s="903"/>
      <c r="E20" s="904"/>
      <c r="F20" s="72"/>
      <c r="G20" s="123"/>
      <c r="H20" s="110"/>
      <c r="I20" s="122">
        <f>식사!E3</f>
        <v>25</v>
      </c>
      <c r="J20" s="115">
        <f>$C$4+$E$4</f>
        <v>5</v>
      </c>
      <c r="K20" s="120"/>
      <c r="L20" s="91"/>
      <c r="M20" s="120"/>
      <c r="N20" s="91"/>
      <c r="O20" s="144">
        <f t="shared" si="0"/>
        <v>125</v>
      </c>
      <c r="Q20" s="7"/>
      <c r="AB20" s="497" t="str">
        <f>'25메인호텔'!F17</f>
        <v>Oasia Sentosa</v>
      </c>
      <c r="AC20" s="35">
        <f>'25메인호텔'!G17</f>
        <v>240</v>
      </c>
      <c r="AD20" s="35">
        <f>'25메인호텔'!H17</f>
        <v>240</v>
      </c>
      <c r="AE20" s="34"/>
      <c r="AF20" s="34"/>
    </row>
    <row r="21" spans="2:32">
      <c r="B21" s="865"/>
      <c r="C21" s="941" t="s">
        <v>325</v>
      </c>
      <c r="D21" s="911"/>
      <c r="E21" s="912"/>
      <c r="F21" s="72"/>
      <c r="G21" s="205"/>
      <c r="H21" s="115"/>
      <c r="I21" s="102"/>
      <c r="J21" s="115"/>
      <c r="K21" s="120"/>
      <c r="L21" s="91"/>
      <c r="M21" s="120"/>
      <c r="N21" s="91"/>
      <c r="O21" s="144">
        <f t="shared" si="0"/>
        <v>0</v>
      </c>
      <c r="Q21" s="7"/>
      <c r="AB21" s="497" t="str">
        <f>'25메인호텔'!F18</f>
        <v>Swissotel The stamford</v>
      </c>
      <c r="AC21" s="35">
        <f>'25메인호텔'!G18</f>
        <v>540</v>
      </c>
      <c r="AD21" s="35">
        <f>'25메인호텔'!H18</f>
        <v>540</v>
      </c>
      <c r="AE21" s="34" t="e">
        <f>'25메인호텔'!#REF!</f>
        <v>#REF!</v>
      </c>
      <c r="AF21" s="34" t="e">
        <f>'25메인호텔'!#REF!</f>
        <v>#REF!</v>
      </c>
    </row>
    <row r="22" spans="2:32" ht="18" thickBot="1">
      <c r="B22" s="906"/>
      <c r="C22" s="893" t="s">
        <v>1005</v>
      </c>
      <c r="D22" s="894"/>
      <c r="E22" s="895"/>
      <c r="F22" s="72"/>
      <c r="G22" s="102"/>
      <c r="H22" s="115"/>
      <c r="I22" s="123"/>
      <c r="J22" s="110"/>
      <c r="K22" s="123"/>
      <c r="L22" s="91"/>
      <c r="M22" s="123"/>
      <c r="N22" s="91"/>
      <c r="O22" s="144">
        <f t="shared" si="0"/>
        <v>0</v>
      </c>
      <c r="Q22" s="7"/>
    </row>
    <row r="23" spans="2:32">
      <c r="B23" s="864" t="str">
        <f>TEXT(C5+2,"m월 d일 aaaa")</f>
        <v>10월 30일 목요일</v>
      </c>
      <c r="C23" s="896" t="s">
        <v>240</v>
      </c>
      <c r="D23" s="897"/>
      <c r="E23" s="898"/>
      <c r="F23" s="72"/>
      <c r="G23" s="353"/>
      <c r="H23" s="109"/>
      <c r="I23" s="119"/>
      <c r="J23" s="109"/>
      <c r="K23" s="128">
        <f>IF(C4+E4&lt;8,'가이드&amp;차량'!C47, IF(C4+E4&lt;=14,'가이드&amp;차량'!C39,'가이드&amp;차량'!C23))</f>
        <v>430</v>
      </c>
      <c r="L23" s="90">
        <f>L10</f>
        <v>1</v>
      </c>
      <c r="M23" s="128">
        <f>'가이드&amp;차량'!C6</f>
        <v>375</v>
      </c>
      <c r="N23" s="90">
        <f>N10</f>
        <v>1</v>
      </c>
      <c r="O23" s="143">
        <f t="shared" si="0"/>
        <v>805</v>
      </c>
      <c r="Q23" s="159" t="s">
        <v>277</v>
      </c>
    </row>
    <row r="24" spans="2:32">
      <c r="B24" s="944"/>
      <c r="C24" s="899" t="s">
        <v>329</v>
      </c>
      <c r="D24" s="883"/>
      <c r="E24" s="884"/>
      <c r="F24" s="72"/>
      <c r="G24" s="101">
        <f>일정!E40</f>
        <v>24.5</v>
      </c>
      <c r="H24" s="115">
        <f>$C$4+$E$4</f>
        <v>5</v>
      </c>
      <c r="I24" s="123"/>
      <c r="J24" s="110"/>
      <c r="K24" s="123"/>
      <c r="L24" s="91"/>
      <c r="M24" s="123"/>
      <c r="N24" s="91"/>
      <c r="O24" s="144">
        <f t="shared" si="0"/>
        <v>122.5</v>
      </c>
      <c r="V24" s="498"/>
    </row>
    <row r="25" spans="2:32">
      <c r="B25" s="944"/>
      <c r="C25" s="902" t="s">
        <v>986</v>
      </c>
      <c r="D25" s="903"/>
      <c r="E25" s="904"/>
      <c r="F25" s="72"/>
      <c r="G25" s="123"/>
      <c r="H25" s="110"/>
      <c r="I25" s="122">
        <f>식사!E36</f>
        <v>20</v>
      </c>
      <c r="J25" s="115">
        <f>$C$4+$E$4</f>
        <v>5</v>
      </c>
      <c r="K25" s="120"/>
      <c r="L25" s="91"/>
      <c r="M25" s="120"/>
      <c r="N25" s="91"/>
      <c r="O25" s="144">
        <f t="shared" si="0"/>
        <v>100</v>
      </c>
    </row>
    <row r="26" spans="2:32">
      <c r="B26" s="888"/>
      <c r="C26" s="1016" t="s">
        <v>785</v>
      </c>
      <c r="D26" s="1017"/>
      <c r="E26" s="1018"/>
      <c r="F26" s="72"/>
      <c r="G26" s="102"/>
      <c r="H26" s="115"/>
      <c r="I26" s="123"/>
      <c r="J26" s="110"/>
      <c r="K26" s="123"/>
      <c r="L26" s="91"/>
      <c r="M26" s="102"/>
      <c r="N26" s="91"/>
      <c r="O26" s="146">
        <f t="shared" si="0"/>
        <v>0</v>
      </c>
      <c r="Q26" s="7"/>
    </row>
    <row r="27" spans="2:32">
      <c r="B27" s="888"/>
      <c r="C27" s="902" t="s">
        <v>1125</v>
      </c>
      <c r="D27" s="903"/>
      <c r="E27" s="904"/>
      <c r="F27" s="72"/>
      <c r="G27" s="123"/>
      <c r="H27" s="110"/>
      <c r="I27" s="122">
        <v>20</v>
      </c>
      <c r="J27" s="115">
        <f>$C$4+$E$4</f>
        <v>5</v>
      </c>
      <c r="K27" s="123"/>
      <c r="L27" s="91"/>
      <c r="M27" s="123"/>
      <c r="N27" s="91"/>
      <c r="O27" s="146">
        <f t="shared" si="0"/>
        <v>100</v>
      </c>
      <c r="Q27" s="7"/>
    </row>
    <row r="28" spans="2:32" ht="18" thickBot="1">
      <c r="B28" s="866"/>
      <c r="C28" s="917" t="s">
        <v>248</v>
      </c>
      <c r="D28" s="918"/>
      <c r="E28" s="919"/>
      <c r="F28" s="72"/>
      <c r="G28" s="129"/>
      <c r="H28" s="111"/>
      <c r="I28" s="124"/>
      <c r="J28" s="126"/>
      <c r="K28" s="129"/>
      <c r="L28" s="137"/>
      <c r="M28" s="124"/>
      <c r="N28" s="137"/>
      <c r="O28" s="147">
        <f t="shared" si="0"/>
        <v>0</v>
      </c>
      <c r="Q28" s="7"/>
    </row>
    <row r="29" spans="2:32">
      <c r="B29" s="864" t="str">
        <f>TEXT(C5+3,"m월 d일 aaaa")</f>
        <v>10월 31일 금요일</v>
      </c>
      <c r="C29" s="896" t="s">
        <v>330</v>
      </c>
      <c r="D29" s="897"/>
      <c r="E29" s="898"/>
      <c r="F29" s="72"/>
      <c r="G29" s="353"/>
      <c r="H29" s="109"/>
      <c r="I29" s="119"/>
      <c r="J29" s="109"/>
      <c r="K29" s="128">
        <f>IF(C4+E4&lt;8,'가이드&amp;차량'!C47, IF(C4+E4&lt;=14,'가이드&amp;차량'!C39,'가이드&amp;차량'!C23))</f>
        <v>430</v>
      </c>
      <c r="L29" s="90">
        <f>L10</f>
        <v>1</v>
      </c>
      <c r="M29" s="128">
        <f>'가이드&amp;차량'!C6+'가이드&amp;차량'!C3</f>
        <v>525</v>
      </c>
      <c r="N29" s="90">
        <f>N10</f>
        <v>1</v>
      </c>
      <c r="O29" s="143">
        <f t="shared" si="0"/>
        <v>955</v>
      </c>
      <c r="Q29" s="159" t="s">
        <v>278</v>
      </c>
    </row>
    <row r="30" spans="2:32">
      <c r="B30" s="888"/>
      <c r="C30" s="902" t="s">
        <v>559</v>
      </c>
      <c r="D30" s="903"/>
      <c r="E30" s="904"/>
      <c r="F30" s="72"/>
      <c r="G30" s="123"/>
      <c r="H30" s="110"/>
      <c r="I30" s="122">
        <f>식사!E19</f>
        <v>17</v>
      </c>
      <c r="J30" s="115">
        <f>$C$4+$E$4</f>
        <v>5</v>
      </c>
      <c r="K30" s="120"/>
      <c r="L30" s="91"/>
      <c r="M30" s="120"/>
      <c r="N30" s="91"/>
      <c r="O30" s="144">
        <f t="shared" si="0"/>
        <v>85</v>
      </c>
    </row>
    <row r="31" spans="2:32">
      <c r="B31" s="888"/>
      <c r="C31" s="882" t="s">
        <v>817</v>
      </c>
      <c r="D31" s="883"/>
      <c r="E31" s="884"/>
      <c r="F31" s="72"/>
      <c r="G31" s="101">
        <f>일정!E10+일정!E19+일정!E20</f>
        <v>76.3</v>
      </c>
      <c r="H31" s="115">
        <f>$C$4+$E$4</f>
        <v>5</v>
      </c>
      <c r="I31" s="123"/>
      <c r="J31" s="110"/>
      <c r="K31" s="123"/>
      <c r="L31" s="91"/>
      <c r="M31" s="123"/>
      <c r="N31" s="91"/>
      <c r="O31" s="144">
        <f t="shared" si="0"/>
        <v>381.5</v>
      </c>
      <c r="V31" s="498"/>
    </row>
    <row r="32" spans="2:32">
      <c r="B32" s="888"/>
      <c r="C32" s="1013" t="s">
        <v>333</v>
      </c>
      <c r="D32" s="1014"/>
      <c r="E32" s="1015"/>
      <c r="F32" s="72"/>
      <c r="G32" s="206"/>
      <c r="H32" s="164"/>
      <c r="I32" s="122">
        <f>식사!E33</f>
        <v>10</v>
      </c>
      <c r="J32" s="115">
        <f>$C$4+$E$4</f>
        <v>5</v>
      </c>
      <c r="K32" s="161"/>
      <c r="L32" s="138"/>
      <c r="M32" s="161"/>
      <c r="N32" s="138"/>
      <c r="O32" s="148">
        <f t="shared" si="0"/>
        <v>50</v>
      </c>
    </row>
    <row r="33" spans="2:22">
      <c r="B33" s="888"/>
      <c r="C33" s="907" t="s">
        <v>1126</v>
      </c>
      <c r="D33" s="908"/>
      <c r="E33" s="909"/>
      <c r="F33" s="72"/>
      <c r="G33" s="206"/>
      <c r="H33" s="164"/>
      <c r="I33" s="123"/>
      <c r="J33" s="110"/>
      <c r="K33" s="161"/>
      <c r="L33" s="138"/>
      <c r="M33" s="161"/>
      <c r="N33" s="138"/>
      <c r="O33" s="148">
        <f t="shared" si="0"/>
        <v>0</v>
      </c>
    </row>
    <row r="34" spans="2:22">
      <c r="B34" s="888"/>
      <c r="C34" s="902" t="s">
        <v>1209</v>
      </c>
      <c r="D34" s="903"/>
      <c r="E34" s="904"/>
      <c r="F34" s="72"/>
      <c r="G34" s="104"/>
      <c r="H34" s="116"/>
      <c r="I34" s="122">
        <v>38</v>
      </c>
      <c r="J34" s="115">
        <f>$C$4+$E$4</f>
        <v>5</v>
      </c>
      <c r="K34" s="130"/>
      <c r="L34" s="138"/>
      <c r="M34" s="130"/>
      <c r="N34" s="138"/>
      <c r="O34" s="148">
        <f t="shared" si="0"/>
        <v>190</v>
      </c>
    </row>
    <row r="35" spans="2:22" ht="18" thickBot="1">
      <c r="B35" s="866"/>
      <c r="C35" s="870" t="s">
        <v>1207</v>
      </c>
      <c r="D35" s="871"/>
      <c r="E35" s="500">
        <f>상품리스트!I13</f>
        <v>0.10069444444444445</v>
      </c>
      <c r="F35" s="34"/>
      <c r="G35" s="105"/>
      <c r="H35" s="117"/>
      <c r="I35" s="124"/>
      <c r="J35" s="126"/>
      <c r="K35" s="131"/>
      <c r="L35" s="139"/>
      <c r="M35" s="131"/>
      <c r="N35" s="139"/>
      <c r="O35" s="149">
        <f t="shared" si="0"/>
        <v>0</v>
      </c>
      <c r="P35" s="34"/>
      <c r="Q35" s="34"/>
      <c r="R35" s="34"/>
      <c r="S35" s="34"/>
      <c r="T35" s="34"/>
      <c r="U35" s="34"/>
      <c r="V35" s="493"/>
    </row>
    <row r="36" spans="2:22">
      <c r="B36" s="72"/>
      <c r="C36" s="72"/>
      <c r="D36" s="72"/>
      <c r="E36" s="72"/>
      <c r="F36" s="72"/>
      <c r="G36" s="72"/>
      <c r="H36" s="72"/>
      <c r="K36" s="132">
        <f>SUM(K10:K35)</f>
        <v>1410</v>
      </c>
      <c r="L36" s="72"/>
      <c r="M36" s="132">
        <f>SUM(M10:M35)</f>
        <v>1425</v>
      </c>
      <c r="N36" s="72"/>
      <c r="O36" s="150"/>
      <c r="P36" s="156"/>
      <c r="V36" s="493"/>
    </row>
    <row r="37" spans="2:22" ht="18" thickBot="1">
      <c r="O37" s="150"/>
      <c r="V37" s="493"/>
    </row>
    <row r="38" spans="2:22">
      <c r="B38" s="993" t="s">
        <v>246</v>
      </c>
      <c r="C38" s="995" t="s">
        <v>288</v>
      </c>
      <c r="D38" s="996"/>
      <c r="E38" s="997"/>
      <c r="F38" s="34"/>
      <c r="G38" s="998">
        <f>$C$4+$E$4</f>
        <v>5</v>
      </c>
      <c r="H38" s="999"/>
      <c r="I38" s="1000">
        <v>3</v>
      </c>
      <c r="J38" s="1001"/>
      <c r="K38" s="1002">
        <v>1</v>
      </c>
      <c r="L38" s="1003"/>
      <c r="M38" s="1003"/>
      <c r="N38" s="830"/>
      <c r="O38" s="151">
        <f>G38*I38*K38</f>
        <v>15</v>
      </c>
      <c r="V38" s="493"/>
    </row>
    <row r="39" spans="2:22" ht="18" thickBot="1">
      <c r="B39" s="994"/>
      <c r="C39" s="1004" t="s">
        <v>451</v>
      </c>
      <c r="D39" s="1005"/>
      <c r="E39" s="1006"/>
      <c r="F39" s="34"/>
      <c r="G39" s="1007">
        <v>50</v>
      </c>
      <c r="H39" s="1008"/>
      <c r="I39" s="1008"/>
      <c r="J39" s="1009"/>
      <c r="K39" s="1010">
        <f>C4</f>
        <v>5</v>
      </c>
      <c r="L39" s="1011"/>
      <c r="M39" s="1011"/>
      <c r="N39" s="1012"/>
      <c r="O39" s="152">
        <f>G39*K39</f>
        <v>250</v>
      </c>
      <c r="V39" s="493"/>
    </row>
    <row r="40" spans="2:22" ht="18" thickBot="1">
      <c r="O40" s="150"/>
      <c r="V40" s="493"/>
    </row>
    <row r="41" spans="2:22">
      <c r="B41" s="961" t="s">
        <v>337</v>
      </c>
      <c r="C41" s="1052" t="s">
        <v>251</v>
      </c>
      <c r="D41" s="1053"/>
      <c r="E41" s="1054"/>
      <c r="F41" s="165"/>
      <c r="G41" s="967">
        <v>0</v>
      </c>
      <c r="H41" s="1024"/>
      <c r="I41" s="969">
        <f>일정!G24</f>
        <v>30</v>
      </c>
      <c r="J41" s="970"/>
      <c r="K41" s="972">
        <f>C4</f>
        <v>5</v>
      </c>
      <c r="L41" s="972"/>
      <c r="M41" s="972"/>
      <c r="N41" s="973"/>
      <c r="O41" s="153">
        <f>G41*I41*K41</f>
        <v>0</v>
      </c>
    </row>
    <row r="42" spans="2:22">
      <c r="B42" s="1019"/>
      <c r="C42" s="1055" t="s">
        <v>250</v>
      </c>
      <c r="D42" s="1056"/>
      <c r="E42" s="1057"/>
      <c r="F42" s="165"/>
      <c r="G42" s="977">
        <v>0</v>
      </c>
      <c r="H42" s="1028"/>
      <c r="I42" s="979">
        <f>일정!G30</f>
        <v>28</v>
      </c>
      <c r="J42" s="980"/>
      <c r="K42" s="982">
        <f>C4</f>
        <v>5</v>
      </c>
      <c r="L42" s="982"/>
      <c r="M42" s="982"/>
      <c r="N42" s="983"/>
      <c r="O42" s="154">
        <f>G42*I42*K42</f>
        <v>0</v>
      </c>
    </row>
    <row r="43" spans="2:22">
      <c r="B43" s="1019"/>
      <c r="C43" s="1055" t="s">
        <v>249</v>
      </c>
      <c r="D43" s="1056"/>
      <c r="E43" s="1057"/>
      <c r="F43" s="165"/>
      <c r="G43" s="984">
        <v>0</v>
      </c>
      <c r="H43" s="1029"/>
      <c r="I43" s="979">
        <f>일정!G35</f>
        <v>36</v>
      </c>
      <c r="J43" s="980"/>
      <c r="K43" s="982">
        <f>C4</f>
        <v>5</v>
      </c>
      <c r="L43" s="982"/>
      <c r="M43" s="982"/>
      <c r="N43" s="983"/>
      <c r="O43" s="154">
        <f>G43*I43*K43</f>
        <v>0</v>
      </c>
    </row>
    <row r="44" spans="2:22" ht="18" thickBot="1">
      <c r="B44" s="1020"/>
      <c r="C44" s="1058" t="s">
        <v>252</v>
      </c>
      <c r="D44" s="1059"/>
      <c r="E44" s="1060"/>
      <c r="F44" s="165"/>
      <c r="G44" s="989">
        <v>0</v>
      </c>
      <c r="H44" s="1033"/>
      <c r="I44" s="991">
        <f>일정!G29</f>
        <v>40</v>
      </c>
      <c r="J44" s="992"/>
      <c r="K44" s="959">
        <f>C4</f>
        <v>5</v>
      </c>
      <c r="L44" s="959"/>
      <c r="M44" s="959"/>
      <c r="N44" s="960"/>
      <c r="O44" s="215">
        <f>G44*I44*K44</f>
        <v>0</v>
      </c>
    </row>
  </sheetData>
  <mergeCells count="75"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  <mergeCell ref="H7:K7"/>
    <mergeCell ref="M8:N8"/>
    <mergeCell ref="O8:O9"/>
    <mergeCell ref="B10:B13"/>
    <mergeCell ref="C10:D10"/>
    <mergeCell ref="C11:E11"/>
    <mergeCell ref="C13:E13"/>
    <mergeCell ref="G8:H8"/>
    <mergeCell ref="I8:J8"/>
    <mergeCell ref="K8:L8"/>
    <mergeCell ref="C12:E12"/>
    <mergeCell ref="B14:B22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B23:B28"/>
    <mergeCell ref="C23:E23"/>
    <mergeCell ref="C24:E24"/>
    <mergeCell ref="C25:E25"/>
    <mergeCell ref="C26:E26"/>
    <mergeCell ref="C27:E27"/>
    <mergeCell ref="C28:E28"/>
    <mergeCell ref="K38:N38"/>
    <mergeCell ref="C39:E39"/>
    <mergeCell ref="G39:J39"/>
    <mergeCell ref="K39:N39"/>
    <mergeCell ref="B29:B35"/>
    <mergeCell ref="C29:E29"/>
    <mergeCell ref="C30:E30"/>
    <mergeCell ref="C31:E31"/>
    <mergeCell ref="C32:E32"/>
    <mergeCell ref="C33:E33"/>
    <mergeCell ref="C34:E34"/>
    <mergeCell ref="C35:D35"/>
    <mergeCell ref="I44:J44"/>
    <mergeCell ref="B38:B39"/>
    <mergeCell ref="C38:E38"/>
    <mergeCell ref="G38:H38"/>
    <mergeCell ref="I38:J38"/>
    <mergeCell ref="K44:N44"/>
    <mergeCell ref="B41:B44"/>
    <mergeCell ref="C41:E41"/>
    <mergeCell ref="G41:H41"/>
    <mergeCell ref="I41:J41"/>
    <mergeCell ref="K41:N41"/>
    <mergeCell ref="C42:E42"/>
    <mergeCell ref="G42:H42"/>
    <mergeCell ref="I42:J42"/>
    <mergeCell ref="K42:N42"/>
    <mergeCell ref="C43:E43"/>
    <mergeCell ref="G43:H43"/>
    <mergeCell ref="I43:J43"/>
    <mergeCell ref="K43:N43"/>
    <mergeCell ref="C44:E44"/>
    <mergeCell ref="G44:H44"/>
  </mergeCells>
  <phoneticPr fontId="1" type="noConversion"/>
  <hyperlinks>
    <hyperlink ref="A1" location="상품리스트!A1" display="home" xr:uid="{33955BA2-D910-4EFE-B6CB-606FA1C58844}"/>
  </hyperlink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16C9-539F-4B35-863A-6B16EFCF11EA}">
  <dimension ref="A1:AD49"/>
  <sheetViews>
    <sheetView workbookViewId="0"/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10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533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M Hotel City Centre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210</v>
      </c>
      <c r="M2" s="140">
        <f>$I$1+$K$1</f>
        <v>10</v>
      </c>
      <c r="N2" s="106">
        <f>L2*M2</f>
        <v>2100</v>
      </c>
      <c r="O2" s="929">
        <f>SUM(N2:N6)</f>
        <v>8400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924</v>
      </c>
      <c r="AC2" s="10">
        <v>210</v>
      </c>
      <c r="AD2" s="10">
        <v>210</v>
      </c>
    </row>
    <row r="3" spans="1:30" ht="28">
      <c r="B3" s="74" t="s">
        <v>239</v>
      </c>
      <c r="C3" s="938" t="s">
        <v>341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M Hotel City Centre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210</v>
      </c>
      <c r="M3" s="140">
        <f>$I$1+$K$1</f>
        <v>10</v>
      </c>
      <c r="N3" s="106">
        <f>L3*M3</f>
        <v>2100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20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927" t="str">
        <f>J2</f>
        <v>M Hotel City Centre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210</v>
      </c>
      <c r="M4" s="141">
        <f>$I$1+$K$1</f>
        <v>10</v>
      </c>
      <c r="N4" s="106">
        <f>L4*M4</f>
        <v>2100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4</v>
      </c>
      <c r="E5" s="93">
        <f>C5+D5</f>
        <v>45736</v>
      </c>
      <c r="F5" s="72"/>
      <c r="G5" s="921"/>
      <c r="H5" s="925">
        <f>H4+1</f>
        <v>45735</v>
      </c>
      <c r="I5" s="926"/>
      <c r="J5" s="927" t="str">
        <f>J3</f>
        <v>M Hotel City Centre</v>
      </c>
      <c r="K5" s="928"/>
      <c r="L5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210</v>
      </c>
      <c r="M5" s="141">
        <f>$I$1+$K$1</f>
        <v>10</v>
      </c>
      <c r="N5" s="106">
        <f>L5*M5</f>
        <v>2100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(SUM(O10:O49)+O2)/C4+R5+T6</f>
        <v>1129.9000000000001</v>
      </c>
      <c r="D6" s="86" t="s">
        <v>254</v>
      </c>
      <c r="E6" s="94">
        <f>C6*$E$1</f>
        <v>1242890</v>
      </c>
      <c r="F6" s="72"/>
      <c r="G6" s="922"/>
      <c r="H6" s="925">
        <f>H5+1</f>
        <v>45736</v>
      </c>
      <c r="I6" s="926"/>
      <c r="J6" s="935"/>
      <c r="K6" s="935"/>
      <c r="L6" s="136"/>
      <c r="M6" s="89"/>
      <c r="N6" s="107">
        <f>L6*M6</f>
        <v>0</v>
      </c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2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67" t="s">
        <v>960</v>
      </c>
      <c r="D10" s="916"/>
      <c r="E10" s="499">
        <f>상품리스트!F3</f>
        <v>0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280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430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40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630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1005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865"/>
      <c r="C14" s="907" t="s">
        <v>322</v>
      </c>
      <c r="D14" s="900"/>
      <c r="E14" s="901"/>
      <c r="F14" s="72"/>
      <c r="G14" s="102"/>
      <c r="H14" s="115"/>
      <c r="I14" s="120"/>
      <c r="J14" s="110"/>
      <c r="K14" s="123"/>
      <c r="L14" s="91"/>
      <c r="M14" s="123"/>
      <c r="N14" s="91"/>
      <c r="O14" s="144">
        <f t="shared" si="0"/>
        <v>0</v>
      </c>
      <c r="Q14" s="7"/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865"/>
      <c r="C15" s="876" t="s">
        <v>323</v>
      </c>
      <c r="D15" s="877"/>
      <c r="E15" s="878"/>
      <c r="F15" s="72"/>
      <c r="G15" s="99"/>
      <c r="H15" s="110"/>
      <c r="I15" s="122">
        <f>식사!E10</f>
        <v>45</v>
      </c>
      <c r="J15" s="115">
        <f>$C$4+$E$4</f>
        <v>20</v>
      </c>
      <c r="K15" s="120"/>
      <c r="L15" s="91"/>
      <c r="M15" s="120"/>
      <c r="N15" s="91"/>
      <c r="O15" s="144">
        <f t="shared" si="0"/>
        <v>900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922</v>
      </c>
      <c r="AC15" s="10">
        <v>185</v>
      </c>
      <c r="AD15" s="10">
        <v>185</v>
      </c>
    </row>
    <row r="16" spans="1:30">
      <c r="B16" s="865"/>
      <c r="C16" s="879" t="s">
        <v>304</v>
      </c>
      <c r="D16" s="880"/>
      <c r="E16" s="881"/>
      <c r="F16" s="72"/>
      <c r="G16" s="101">
        <f>일정!E39</f>
        <v>28.5</v>
      </c>
      <c r="H16" s="115">
        <f>$C$4+$E$4</f>
        <v>20</v>
      </c>
      <c r="I16" s="102"/>
      <c r="J16" s="115"/>
      <c r="K16" s="120"/>
      <c r="L16" s="91"/>
      <c r="M16" s="120"/>
      <c r="N16" s="91"/>
      <c r="O16" s="144">
        <f t="shared" si="0"/>
        <v>570</v>
      </c>
      <c r="Q16" s="7"/>
      <c r="AB16" s="496" t="s">
        <v>923</v>
      </c>
      <c r="AC16" s="10">
        <v>185</v>
      </c>
      <c r="AD16" s="10">
        <v>185</v>
      </c>
    </row>
    <row r="17" spans="2:30">
      <c r="B17" s="865"/>
      <c r="C17" s="890" t="s">
        <v>550</v>
      </c>
      <c r="D17" s="891"/>
      <c r="E17" s="892"/>
      <c r="F17" s="72"/>
      <c r="G17" s="102"/>
      <c r="H17" s="115"/>
      <c r="I17" s="123"/>
      <c r="J17" s="110"/>
      <c r="K17" s="123"/>
      <c r="L17" s="91"/>
      <c r="M17" s="123"/>
      <c r="N17" s="91"/>
      <c r="O17" s="144">
        <f t="shared" si="0"/>
        <v>0</v>
      </c>
      <c r="Q17" s="7"/>
      <c r="AB17" s="496" t="s">
        <v>931</v>
      </c>
      <c r="AC17" s="10">
        <v>155</v>
      </c>
      <c r="AD17" s="10">
        <v>155</v>
      </c>
    </row>
    <row r="18" spans="2:30">
      <c r="B18" s="865"/>
      <c r="C18" s="879" t="str">
        <f>일정!C27</f>
        <v>가든스바이더베이 2돔 ( 쥬랴기 )</v>
      </c>
      <c r="D18" s="891"/>
      <c r="E18" s="892"/>
      <c r="F18" s="72"/>
      <c r="G18" s="101">
        <f>일정!E27</f>
        <v>28.3</v>
      </c>
      <c r="H18" s="115">
        <f>$C$4+$E$4</f>
        <v>20</v>
      </c>
      <c r="I18" s="123"/>
      <c r="J18" s="110"/>
      <c r="K18" s="123"/>
      <c r="L18" s="91"/>
      <c r="M18" s="123"/>
      <c r="N18" s="91"/>
      <c r="O18" s="144">
        <f t="shared" si="0"/>
        <v>566</v>
      </c>
      <c r="Q18" s="7"/>
      <c r="AB18" s="497" t="s">
        <v>928</v>
      </c>
      <c r="AC18" s="10">
        <v>280</v>
      </c>
      <c r="AD18" s="10">
        <v>280</v>
      </c>
    </row>
    <row r="19" spans="2:30">
      <c r="B19" s="865"/>
      <c r="C19" s="876" t="s">
        <v>630</v>
      </c>
      <c r="D19" s="877"/>
      <c r="E19" s="878"/>
      <c r="F19" s="72"/>
      <c r="G19" s="123"/>
      <c r="H19" s="110"/>
      <c r="I19" s="122">
        <f>식사!E7</f>
        <v>18</v>
      </c>
      <c r="J19" s="115">
        <f>$C$4+$E$4</f>
        <v>20</v>
      </c>
      <c r="K19" s="120"/>
      <c r="L19" s="91"/>
      <c r="M19" s="120"/>
      <c r="N19" s="91"/>
      <c r="O19" s="144">
        <f t="shared" si="0"/>
        <v>360</v>
      </c>
      <c r="Q19" s="7"/>
      <c r="AB19" s="497" t="s">
        <v>442</v>
      </c>
      <c r="AC19" s="10">
        <v>366</v>
      </c>
      <c r="AD19" s="10">
        <v>366</v>
      </c>
    </row>
    <row r="20" spans="2:30">
      <c r="B20" s="865"/>
      <c r="C20" s="941" t="s">
        <v>325</v>
      </c>
      <c r="D20" s="911"/>
      <c r="E20" s="912"/>
      <c r="F20" s="72"/>
      <c r="G20" s="205"/>
      <c r="H20" s="115"/>
      <c r="I20" s="102"/>
      <c r="J20" s="115"/>
      <c r="K20" s="120"/>
      <c r="L20" s="91"/>
      <c r="M20" s="120"/>
      <c r="N20" s="91"/>
      <c r="O20" s="144">
        <f t="shared" si="0"/>
        <v>0</v>
      </c>
      <c r="Q20" s="7"/>
    </row>
    <row r="21" spans="2:30" ht="18" thickBot="1">
      <c r="B21" s="906"/>
      <c r="C21" s="893" t="s">
        <v>1005</v>
      </c>
      <c r="D21" s="894"/>
      <c r="E21" s="895"/>
      <c r="F21" s="72"/>
      <c r="G21" s="102"/>
      <c r="H21" s="115"/>
      <c r="I21" s="123"/>
      <c r="J21" s="110"/>
      <c r="K21" s="123"/>
      <c r="L21" s="91"/>
      <c r="M21" s="123"/>
      <c r="N21" s="91"/>
      <c r="O21" s="144">
        <f t="shared" si="0"/>
        <v>0</v>
      </c>
      <c r="Q21" s="7"/>
    </row>
    <row r="22" spans="2:30">
      <c r="B22" s="864" t="str">
        <f>TEXT(C5+2,"m월 d일 aaaa")</f>
        <v>3월 18일 화요일</v>
      </c>
      <c r="C22" s="896" t="s">
        <v>240</v>
      </c>
      <c r="D22" s="897"/>
      <c r="E22" s="898"/>
      <c r="F22" s="72"/>
      <c r="G22" s="353"/>
      <c r="H22" s="109"/>
      <c r="I22" s="119"/>
      <c r="J22" s="109"/>
      <c r="K22" s="128">
        <f>IF(C4+E4&lt;8,'가이드&amp;차량'!C47, IF(C4+E4&lt;=14,'가이드&amp;차량'!C39,'가이드&amp;차량'!C23))</f>
        <v>630</v>
      </c>
      <c r="L22" s="90">
        <v>1</v>
      </c>
      <c r="M22" s="128">
        <f>'가이드&amp;차량'!C6</f>
        <v>375</v>
      </c>
      <c r="N22" s="90">
        <v>1</v>
      </c>
      <c r="O22" s="143">
        <f t="shared" ref="O22:O27" si="1">(G22*H22)+(I22*J22)+(K22*L22)+(M22*N22)</f>
        <v>1005</v>
      </c>
      <c r="Q22" s="159" t="s">
        <v>277</v>
      </c>
      <c r="V22" s="498"/>
    </row>
    <row r="23" spans="2:30">
      <c r="B23" s="888"/>
      <c r="C23" s="899" t="s">
        <v>329</v>
      </c>
      <c r="D23" s="883"/>
      <c r="E23" s="884"/>
      <c r="F23" s="72"/>
      <c r="G23" s="101">
        <f>일정!E40</f>
        <v>24.5</v>
      </c>
      <c r="H23" s="115">
        <f>$C$4+$E$4</f>
        <v>20</v>
      </c>
      <c r="I23" s="123"/>
      <c r="J23" s="110"/>
      <c r="K23" s="123"/>
      <c r="L23" s="91"/>
      <c r="M23" s="123"/>
      <c r="N23" s="91"/>
      <c r="O23" s="144">
        <f t="shared" si="1"/>
        <v>490</v>
      </c>
      <c r="Q23" s="7"/>
    </row>
    <row r="24" spans="2:30">
      <c r="B24" s="888"/>
      <c r="C24" s="902" t="s">
        <v>326</v>
      </c>
      <c r="D24" s="903"/>
      <c r="E24" s="904"/>
      <c r="F24" s="72"/>
      <c r="G24" s="123"/>
      <c r="H24" s="110"/>
      <c r="I24" s="122">
        <f>식사!E36</f>
        <v>20</v>
      </c>
      <c r="J24" s="115">
        <f>$C$4+$E$4</f>
        <v>20</v>
      </c>
      <c r="K24" s="123"/>
      <c r="L24" s="91"/>
      <c r="M24" s="102"/>
      <c r="N24" s="91"/>
      <c r="O24" s="146">
        <f t="shared" si="1"/>
        <v>400</v>
      </c>
      <c r="Q24" s="7"/>
    </row>
    <row r="25" spans="2:30">
      <c r="B25" s="888"/>
      <c r="C25" s="907" t="s">
        <v>765</v>
      </c>
      <c r="D25" s="900"/>
      <c r="E25" s="901"/>
      <c r="F25" s="72"/>
      <c r="G25" s="102"/>
      <c r="H25" s="115"/>
      <c r="I25" s="102"/>
      <c r="J25" s="115"/>
      <c r="K25" s="123"/>
      <c r="L25" s="91"/>
      <c r="M25" s="102"/>
      <c r="N25" s="91"/>
      <c r="O25" s="146">
        <f t="shared" si="1"/>
        <v>0</v>
      </c>
      <c r="Q25" s="7"/>
    </row>
    <row r="26" spans="2:30">
      <c r="B26" s="888"/>
      <c r="C26" s="902" t="s">
        <v>328</v>
      </c>
      <c r="D26" s="903"/>
      <c r="E26" s="904"/>
      <c r="F26" s="72"/>
      <c r="G26" s="123"/>
      <c r="H26" s="110"/>
      <c r="I26" s="122">
        <v>20</v>
      </c>
      <c r="J26" s="115">
        <f>$C$4+$E$4</f>
        <v>20</v>
      </c>
      <c r="K26" s="123"/>
      <c r="L26" s="91"/>
      <c r="M26" s="123"/>
      <c r="N26" s="91"/>
      <c r="O26" s="146">
        <f t="shared" si="1"/>
        <v>400</v>
      </c>
      <c r="Q26" s="7"/>
    </row>
    <row r="27" spans="2:30" ht="18" thickBot="1">
      <c r="B27" s="866"/>
      <c r="C27" s="917" t="s">
        <v>248</v>
      </c>
      <c r="D27" s="918"/>
      <c r="E27" s="919"/>
      <c r="F27" s="72"/>
      <c r="G27" s="129"/>
      <c r="H27" s="111"/>
      <c r="I27" s="124"/>
      <c r="J27" s="126"/>
      <c r="K27" s="129"/>
      <c r="L27" s="137"/>
      <c r="M27" s="124"/>
      <c r="N27" s="137"/>
      <c r="O27" s="147">
        <f t="shared" si="1"/>
        <v>0</v>
      </c>
      <c r="Q27" s="7"/>
    </row>
    <row r="28" spans="2:30">
      <c r="B28" s="864" t="str">
        <f>TEXT(C5+3,"m월 d일 aaaa")</f>
        <v>3월 19일 수요일</v>
      </c>
      <c r="C28" s="896" t="s">
        <v>240</v>
      </c>
      <c r="D28" s="897"/>
      <c r="E28" s="898"/>
      <c r="F28" s="72"/>
      <c r="G28" s="353"/>
      <c r="H28" s="109"/>
      <c r="I28" s="119"/>
      <c r="J28" s="109"/>
      <c r="K28" s="128">
        <f>IF(C4+E4&lt;8,'가이드&amp;차량'!C47, IF(C4+E4&lt;=14,'가이드&amp;차량'!C39,'가이드&amp;차량'!C23))</f>
        <v>630</v>
      </c>
      <c r="L28" s="90">
        <f>L10</f>
        <v>1</v>
      </c>
      <c r="M28" s="128">
        <f>'가이드&amp;차량'!C6</f>
        <v>375</v>
      </c>
      <c r="N28" s="90">
        <f>N10</f>
        <v>1</v>
      </c>
      <c r="O28" s="143">
        <f t="shared" si="0"/>
        <v>1005</v>
      </c>
      <c r="Q28" s="159" t="s">
        <v>277</v>
      </c>
    </row>
    <row r="29" spans="2:30">
      <c r="B29" s="888"/>
      <c r="C29" s="902" t="s">
        <v>339</v>
      </c>
      <c r="D29" s="903"/>
      <c r="E29" s="904"/>
      <c r="F29" s="72"/>
      <c r="G29" s="123"/>
      <c r="H29" s="110"/>
      <c r="I29" s="122"/>
      <c r="J29" s="115"/>
      <c r="K29" s="123"/>
      <c r="L29" s="91"/>
      <c r="M29" s="102"/>
      <c r="N29" s="91"/>
      <c r="O29" s="146">
        <f t="shared" si="0"/>
        <v>0</v>
      </c>
      <c r="Q29" s="7"/>
    </row>
    <row r="30" spans="2:30">
      <c r="B30" s="888"/>
      <c r="C30" s="899" t="s">
        <v>280</v>
      </c>
      <c r="D30" s="900"/>
      <c r="E30" s="901"/>
      <c r="F30" s="72"/>
      <c r="G30" s="101">
        <f>일정!E3</f>
        <v>75.3</v>
      </c>
      <c r="H30" s="115">
        <f>$C$4+$E$4</f>
        <v>20</v>
      </c>
      <c r="I30" s="102"/>
      <c r="J30" s="115"/>
      <c r="K30" s="123"/>
      <c r="L30" s="91"/>
      <c r="M30" s="102"/>
      <c r="N30" s="91"/>
      <c r="O30" s="146">
        <f t="shared" si="0"/>
        <v>1506</v>
      </c>
      <c r="Q30" s="7"/>
    </row>
    <row r="31" spans="2:30">
      <c r="B31" s="888"/>
      <c r="C31" s="902" t="s">
        <v>328</v>
      </c>
      <c r="D31" s="903"/>
      <c r="E31" s="904"/>
      <c r="F31" s="72"/>
      <c r="G31" s="123"/>
      <c r="H31" s="110"/>
      <c r="I31" s="122">
        <v>20</v>
      </c>
      <c r="J31" s="115">
        <f>$C$4+$E$4</f>
        <v>20</v>
      </c>
      <c r="K31" s="123"/>
      <c r="L31" s="91"/>
      <c r="M31" s="123"/>
      <c r="N31" s="91"/>
      <c r="O31" s="146">
        <f t="shared" si="0"/>
        <v>400</v>
      </c>
      <c r="Q31" s="7"/>
    </row>
    <row r="32" spans="2:30">
      <c r="B32" s="888"/>
      <c r="C32" s="879" t="s">
        <v>340</v>
      </c>
      <c r="D32" s="880"/>
      <c r="E32" s="881"/>
      <c r="F32" s="72"/>
      <c r="G32" s="167" t="str">
        <f>일정!E13</f>
        <v>11</v>
      </c>
      <c r="H32" s="115">
        <f>$C$4+$E$4</f>
        <v>20</v>
      </c>
      <c r="I32" s="102"/>
      <c r="J32" s="115"/>
      <c r="K32" s="123"/>
      <c r="L32" s="91"/>
      <c r="M32" s="102"/>
      <c r="N32" s="91"/>
      <c r="O32" s="146">
        <f t="shared" si="0"/>
        <v>220</v>
      </c>
      <c r="Q32" s="7"/>
    </row>
    <row r="33" spans="2:21" ht="18" thickBot="1">
      <c r="B33" s="866"/>
      <c r="C33" s="917" t="s">
        <v>248</v>
      </c>
      <c r="D33" s="918"/>
      <c r="E33" s="919"/>
      <c r="F33" s="72"/>
      <c r="G33" s="129"/>
      <c r="H33" s="111"/>
      <c r="I33" s="124"/>
      <c r="J33" s="126"/>
      <c r="K33" s="129"/>
      <c r="L33" s="137"/>
      <c r="M33" s="124"/>
      <c r="N33" s="137"/>
      <c r="O33" s="147">
        <f t="shared" si="0"/>
        <v>0</v>
      </c>
      <c r="Q33" s="7"/>
    </row>
    <row r="34" spans="2:21">
      <c r="B34" s="864" t="str">
        <f>TEXT(C5+4,"m월 d일 aaaa")</f>
        <v>3월 20일 목요일</v>
      </c>
      <c r="C34" s="896" t="s">
        <v>753</v>
      </c>
      <c r="D34" s="897"/>
      <c r="E34" s="898"/>
      <c r="F34" s="72"/>
      <c r="G34" s="353"/>
      <c r="H34" s="109"/>
      <c r="I34" s="119"/>
      <c r="J34" s="109"/>
      <c r="K34" s="128">
        <f>IF(C4+E4&lt;8,'가이드&amp;차량'!C47, IF(C4+E4&lt;=14,'가이드&amp;차량'!C39,'가이드&amp;차량'!C23))</f>
        <v>630</v>
      </c>
      <c r="L34" s="90">
        <f>L10</f>
        <v>1</v>
      </c>
      <c r="M34" s="128">
        <f>'가이드&amp;차량'!C6+'가이드&amp;차량'!C3</f>
        <v>525</v>
      </c>
      <c r="N34" s="90">
        <f>N10</f>
        <v>1</v>
      </c>
      <c r="O34" s="143">
        <f t="shared" si="0"/>
        <v>1155</v>
      </c>
      <c r="Q34" s="159" t="s">
        <v>278</v>
      </c>
    </row>
    <row r="35" spans="2:21">
      <c r="B35" s="888"/>
      <c r="C35" s="902" t="s">
        <v>629</v>
      </c>
      <c r="D35" s="903"/>
      <c r="E35" s="904"/>
      <c r="F35" s="72"/>
      <c r="G35" s="123"/>
      <c r="H35" s="110"/>
      <c r="I35" s="122">
        <f>식사!E20</f>
        <v>20</v>
      </c>
      <c r="J35" s="115">
        <f>$C$4+$E$4</f>
        <v>20</v>
      </c>
      <c r="K35" s="120"/>
      <c r="L35" s="91"/>
      <c r="M35" s="120"/>
      <c r="N35" s="91"/>
      <c r="O35" s="144">
        <f t="shared" si="0"/>
        <v>400</v>
      </c>
    </row>
    <row r="36" spans="2:21">
      <c r="B36" s="888"/>
      <c r="C36" s="899" t="s">
        <v>754</v>
      </c>
      <c r="D36" s="883"/>
      <c r="E36" s="884"/>
      <c r="F36" s="72"/>
      <c r="G36" s="101">
        <f>일정!E10+일정!E20+일정!E19</f>
        <v>76.3</v>
      </c>
      <c r="H36" s="115">
        <f>$C$4+$E$4</f>
        <v>20</v>
      </c>
      <c r="I36" s="123"/>
      <c r="J36" s="110"/>
      <c r="K36" s="123"/>
      <c r="L36" s="91"/>
      <c r="M36" s="123"/>
      <c r="N36" s="91"/>
      <c r="O36" s="144">
        <f t="shared" si="0"/>
        <v>1526</v>
      </c>
    </row>
    <row r="37" spans="2:21">
      <c r="B37" s="888"/>
      <c r="C37" s="1013" t="s">
        <v>333</v>
      </c>
      <c r="D37" s="1014"/>
      <c r="E37" s="1015"/>
      <c r="F37" s="72"/>
      <c r="G37" s="206"/>
      <c r="H37" s="164"/>
      <c r="I37" s="122">
        <f>식사!E33</f>
        <v>10</v>
      </c>
      <c r="J37" s="115">
        <f>$C$4+$E$4</f>
        <v>20</v>
      </c>
      <c r="K37" s="161"/>
      <c r="L37" s="138"/>
      <c r="M37" s="161"/>
      <c r="N37" s="138"/>
      <c r="O37" s="148">
        <f t="shared" si="0"/>
        <v>200</v>
      </c>
    </row>
    <row r="38" spans="2:21">
      <c r="B38" s="888"/>
      <c r="C38" s="907" t="s">
        <v>327</v>
      </c>
      <c r="D38" s="908"/>
      <c r="E38" s="909"/>
      <c r="F38" s="72"/>
      <c r="G38" s="206"/>
      <c r="H38" s="164"/>
      <c r="I38" s="123"/>
      <c r="J38" s="110"/>
      <c r="K38" s="161"/>
      <c r="L38" s="138"/>
      <c r="M38" s="161"/>
      <c r="N38" s="138"/>
      <c r="O38" s="148">
        <f t="shared" si="0"/>
        <v>0</v>
      </c>
    </row>
    <row r="39" spans="2:21">
      <c r="B39" s="888"/>
      <c r="C39" s="902" t="s">
        <v>298</v>
      </c>
      <c r="D39" s="903"/>
      <c r="E39" s="904"/>
      <c r="F39" s="72"/>
      <c r="G39" s="104"/>
      <c r="H39" s="116"/>
      <c r="I39" s="122">
        <f>식사!E3</f>
        <v>25</v>
      </c>
      <c r="J39" s="115">
        <f>$C$4+$E$4</f>
        <v>20</v>
      </c>
      <c r="K39" s="130"/>
      <c r="L39" s="138"/>
      <c r="M39" s="130"/>
      <c r="N39" s="138"/>
      <c r="O39" s="148">
        <f t="shared" si="0"/>
        <v>500</v>
      </c>
    </row>
    <row r="40" spans="2:21" ht="18" thickBot="1">
      <c r="B40" s="866"/>
      <c r="C40" s="870" t="s">
        <v>1206</v>
      </c>
      <c r="D40" s="871"/>
      <c r="E40" s="500">
        <f>상품리스트!I7</f>
        <v>0</v>
      </c>
      <c r="F40" s="34"/>
      <c r="G40" s="105"/>
      <c r="H40" s="117"/>
      <c r="I40" s="124"/>
      <c r="J40" s="126"/>
      <c r="K40" s="131"/>
      <c r="L40" s="139"/>
      <c r="M40" s="131"/>
      <c r="N40" s="139"/>
      <c r="O40" s="149">
        <f t="shared" si="0"/>
        <v>0</v>
      </c>
      <c r="P40" s="34"/>
      <c r="Q40" s="34"/>
      <c r="R40" s="34"/>
      <c r="S40" s="34"/>
      <c r="T40" s="34"/>
      <c r="U40" s="34"/>
    </row>
    <row r="41" spans="2:21">
      <c r="B41" s="72"/>
      <c r="C41" s="72"/>
      <c r="D41" s="72"/>
      <c r="E41" s="72"/>
      <c r="F41" s="72"/>
      <c r="G41" s="72"/>
      <c r="H41" s="72"/>
      <c r="K41" s="132">
        <f>SUM(K10:K40)</f>
        <v>2800</v>
      </c>
      <c r="L41" s="72"/>
      <c r="M41" s="132">
        <f>SUM(M10:M40)</f>
        <v>1800</v>
      </c>
      <c r="N41" s="72"/>
      <c r="O41" s="150"/>
      <c r="P41" s="156"/>
    </row>
    <row r="42" spans="2:21" ht="18" thickBot="1">
      <c r="O42" s="150"/>
    </row>
    <row r="43" spans="2:21">
      <c r="B43" s="993" t="s">
        <v>246</v>
      </c>
      <c r="C43" s="995" t="s">
        <v>288</v>
      </c>
      <c r="D43" s="996"/>
      <c r="E43" s="997"/>
      <c r="F43" s="34"/>
      <c r="G43" s="998">
        <f>$C$4+$E$4</f>
        <v>20</v>
      </c>
      <c r="H43" s="999"/>
      <c r="I43" s="1000">
        <v>3</v>
      </c>
      <c r="J43" s="1001"/>
      <c r="K43" s="1002">
        <v>1</v>
      </c>
      <c r="L43" s="1003"/>
      <c r="M43" s="1003"/>
      <c r="N43" s="830"/>
      <c r="O43" s="151">
        <f>G43*I43*K43</f>
        <v>60</v>
      </c>
    </row>
    <row r="44" spans="2:21" ht="18" thickBot="1">
      <c r="B44" s="994"/>
      <c r="C44" s="1004" t="s">
        <v>451</v>
      </c>
      <c r="D44" s="1005"/>
      <c r="E44" s="1006"/>
      <c r="F44" s="34"/>
      <c r="G44" s="1007">
        <v>50</v>
      </c>
      <c r="H44" s="1008"/>
      <c r="I44" s="1008"/>
      <c r="J44" s="1009"/>
      <c r="K44" s="1010">
        <f>C4</f>
        <v>20</v>
      </c>
      <c r="L44" s="1011"/>
      <c r="M44" s="1011"/>
      <c r="N44" s="1012"/>
      <c r="O44" s="152">
        <f>G44*K44</f>
        <v>1000</v>
      </c>
    </row>
    <row r="45" spans="2:21">
      <c r="O45" s="150"/>
    </row>
    <row r="46" spans="2:21">
      <c r="B46" s="961" t="s">
        <v>337</v>
      </c>
      <c r="C46" s="1021" t="s">
        <v>251</v>
      </c>
      <c r="D46" s="1022"/>
      <c r="E46" s="1023"/>
      <c r="F46" s="165"/>
      <c r="G46" s="967"/>
      <c r="H46" s="1024"/>
      <c r="I46" s="969">
        <f>일정!G24</f>
        <v>30</v>
      </c>
      <c r="J46" s="970"/>
      <c r="K46" s="972">
        <f>C4</f>
        <v>20</v>
      </c>
      <c r="L46" s="972"/>
      <c r="M46" s="972"/>
      <c r="N46" s="973"/>
      <c r="O46" s="153">
        <f>G46*I46*K46</f>
        <v>0</v>
      </c>
    </row>
    <row r="47" spans="2:21">
      <c r="B47" s="1019"/>
      <c r="C47" s="1025" t="s">
        <v>250</v>
      </c>
      <c r="D47" s="1026"/>
      <c r="E47" s="1027"/>
      <c r="F47" s="165"/>
      <c r="G47" s="977"/>
      <c r="H47" s="1028"/>
      <c r="I47" s="979">
        <f>일정!G30</f>
        <v>28</v>
      </c>
      <c r="J47" s="980"/>
      <c r="K47" s="982">
        <f>C4</f>
        <v>20</v>
      </c>
      <c r="L47" s="982"/>
      <c r="M47" s="982"/>
      <c r="N47" s="983"/>
      <c r="O47" s="154">
        <f>G47*I47*K47</f>
        <v>0</v>
      </c>
    </row>
    <row r="48" spans="2:21">
      <c r="B48" s="1019"/>
      <c r="C48" s="1025" t="s">
        <v>249</v>
      </c>
      <c r="D48" s="1026"/>
      <c r="E48" s="1027"/>
      <c r="F48" s="165"/>
      <c r="G48" s="977"/>
      <c r="H48" s="1028"/>
      <c r="I48" s="979">
        <f>일정!G35</f>
        <v>36</v>
      </c>
      <c r="J48" s="980"/>
      <c r="K48" s="982">
        <f>C4</f>
        <v>20</v>
      </c>
      <c r="L48" s="982"/>
      <c r="M48" s="982"/>
      <c r="N48" s="983"/>
      <c r="O48" s="154">
        <f>G48*I48*K48</f>
        <v>0</v>
      </c>
    </row>
    <row r="49" spans="2:15" ht="18" thickBot="1">
      <c r="B49" s="1020"/>
      <c r="C49" s="1030" t="s">
        <v>252</v>
      </c>
      <c r="D49" s="1031"/>
      <c r="E49" s="1032"/>
      <c r="F49" s="165"/>
      <c r="G49" s="989"/>
      <c r="H49" s="1033"/>
      <c r="I49" s="991">
        <f>일정!G29</f>
        <v>40</v>
      </c>
      <c r="J49" s="992"/>
      <c r="K49" s="959">
        <f>C4</f>
        <v>20</v>
      </c>
      <c r="L49" s="959"/>
      <c r="M49" s="959"/>
      <c r="N49" s="960"/>
      <c r="O49" s="215">
        <f>G49*I49*K49</f>
        <v>0</v>
      </c>
    </row>
  </sheetData>
  <mergeCells count="81">
    <mergeCell ref="C19:E19"/>
    <mergeCell ref="C21:E21"/>
    <mergeCell ref="K49:N49"/>
    <mergeCell ref="C17:E17"/>
    <mergeCell ref="K47:N47"/>
    <mergeCell ref="K48:N48"/>
    <mergeCell ref="K46:N46"/>
    <mergeCell ref="C20:E20"/>
    <mergeCell ref="B22:B27"/>
    <mergeCell ref="C22:E22"/>
    <mergeCell ref="C23:E23"/>
    <mergeCell ref="C24:E24"/>
    <mergeCell ref="C25:E25"/>
    <mergeCell ref="C26:E26"/>
    <mergeCell ref="C27:E27"/>
    <mergeCell ref="B46:B49"/>
    <mergeCell ref="C46:E46"/>
    <mergeCell ref="G46:H46"/>
    <mergeCell ref="I46:J46"/>
    <mergeCell ref="C48:E48"/>
    <mergeCell ref="G48:H48"/>
    <mergeCell ref="I48:J48"/>
    <mergeCell ref="C49:E49"/>
    <mergeCell ref="G49:H49"/>
    <mergeCell ref="I49:J49"/>
    <mergeCell ref="C47:E47"/>
    <mergeCell ref="G47:H47"/>
    <mergeCell ref="I47:J47"/>
    <mergeCell ref="B34:B40"/>
    <mergeCell ref="C34:E34"/>
    <mergeCell ref="C35:E35"/>
    <mergeCell ref="C36:E36"/>
    <mergeCell ref="C37:E37"/>
    <mergeCell ref="C38:E38"/>
    <mergeCell ref="C39:E39"/>
    <mergeCell ref="C40:D40"/>
    <mergeCell ref="B43:B44"/>
    <mergeCell ref="C43:E43"/>
    <mergeCell ref="G43:H43"/>
    <mergeCell ref="I43:J43"/>
    <mergeCell ref="K43:N43"/>
    <mergeCell ref="C44:E44"/>
    <mergeCell ref="G44:J44"/>
    <mergeCell ref="K44:N44"/>
    <mergeCell ref="B28:B33"/>
    <mergeCell ref="C28:E28"/>
    <mergeCell ref="C29:E29"/>
    <mergeCell ref="C30:E30"/>
    <mergeCell ref="C31:E31"/>
    <mergeCell ref="C32:E32"/>
    <mergeCell ref="C33:E33"/>
    <mergeCell ref="H7:K7"/>
    <mergeCell ref="C16:E16"/>
    <mergeCell ref="M8:N8"/>
    <mergeCell ref="O8:O9"/>
    <mergeCell ref="B10:B12"/>
    <mergeCell ref="C11:E11"/>
    <mergeCell ref="C12:E12"/>
    <mergeCell ref="G8:H8"/>
    <mergeCell ref="I8:J8"/>
    <mergeCell ref="K8:L8"/>
    <mergeCell ref="B13:B21"/>
    <mergeCell ref="C13:E13"/>
    <mergeCell ref="C14:E14"/>
    <mergeCell ref="C15:E15"/>
    <mergeCell ref="C18:E18"/>
    <mergeCell ref="C10:D10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06E1196C-1190-4C17-8CA8-33E49C8F7F96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FDEDD-25FA-4B11-8244-94D8031D65D1}">
  <dimension ref="A1:AD42"/>
  <sheetViews>
    <sheetView topLeftCell="A3" workbookViewId="0">
      <selection activeCell="O25" sqref="O25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7" max="27" width="1.1640625" customWidth="1"/>
    <col min="28" max="28" width="16.5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4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965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M Hotel City Centre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210</v>
      </c>
      <c r="M2" s="140">
        <f>$I$1+$K$1</f>
        <v>4</v>
      </c>
      <c r="N2" s="106">
        <f>L2*M2</f>
        <v>840</v>
      </c>
      <c r="O2" s="929">
        <f>SUM(N2:N6)</f>
        <v>2520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924</v>
      </c>
      <c r="AC2" s="10">
        <v>210</v>
      </c>
      <c r="AD2" s="10">
        <v>210</v>
      </c>
    </row>
    <row r="3" spans="1:30" ht="28">
      <c r="B3" s="74" t="s">
        <v>239</v>
      </c>
      <c r="C3" s="938" t="s">
        <v>964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M Hotel City Centre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210</v>
      </c>
      <c r="M3" s="140">
        <f>$I$1+$K$1</f>
        <v>4</v>
      </c>
      <c r="N3" s="106">
        <f>L3*M3</f>
        <v>840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8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927" t="str">
        <f>J2</f>
        <v>M Hotel City Centre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210</v>
      </c>
      <c r="M4" s="141">
        <f>$I$1+$K$1</f>
        <v>4</v>
      </c>
      <c r="N4" s="106">
        <f>L4*M4</f>
        <v>840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/>
      <c r="I5" s="926"/>
      <c r="J5" s="939"/>
      <c r="K5" s="940"/>
      <c r="L5" s="135"/>
      <c r="M5" s="140"/>
      <c r="N5" s="106"/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(SUM(O10:O42)+O2)/C4+R2+T5</f>
        <v>939.47499999999991</v>
      </c>
      <c r="D6" s="86" t="s">
        <v>254</v>
      </c>
      <c r="E6" s="94">
        <f>C6*$E$1</f>
        <v>1033422.4999999999</v>
      </c>
      <c r="F6" s="72"/>
      <c r="G6" s="922"/>
      <c r="H6" s="925"/>
      <c r="I6" s="926"/>
      <c r="J6" s="935"/>
      <c r="K6" s="935"/>
      <c r="L6" s="136"/>
      <c r="M6" s="89"/>
      <c r="N6" s="107"/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5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67" t="s">
        <v>960</v>
      </c>
      <c r="D10" s="916"/>
      <c r="E10" s="499">
        <f>상품리스트!F15</f>
        <v>1.7361111111111112E-2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200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350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2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530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905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865"/>
      <c r="C14" s="899" t="s">
        <v>967</v>
      </c>
      <c r="D14" s="900"/>
      <c r="E14" s="901"/>
      <c r="F14" s="72"/>
      <c r="G14" s="103">
        <f>일정!E38</f>
        <v>23.5</v>
      </c>
      <c r="H14" s="115">
        <f>$C$4+$E$4</f>
        <v>8</v>
      </c>
      <c r="I14" s="123"/>
      <c r="J14" s="110"/>
      <c r="K14" s="123"/>
      <c r="L14" s="91"/>
      <c r="M14" s="123"/>
      <c r="N14" s="91"/>
      <c r="O14" s="144">
        <f>(G14*H14)+(I14*J14)+(K14*L14)+(M14*N14)</f>
        <v>188</v>
      </c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865"/>
      <c r="C15" s="876" t="s">
        <v>332</v>
      </c>
      <c r="D15" s="877"/>
      <c r="E15" s="878"/>
      <c r="F15" s="72"/>
      <c r="G15" s="99"/>
      <c r="H15" s="110"/>
      <c r="I15" s="122">
        <f>식사!E19</f>
        <v>17</v>
      </c>
      <c r="J15" s="115">
        <f>$C$4+$E$4</f>
        <v>8</v>
      </c>
      <c r="K15" s="120"/>
      <c r="L15" s="91"/>
      <c r="M15" s="120"/>
      <c r="N15" s="91"/>
      <c r="O15" s="144">
        <f t="shared" si="0"/>
        <v>136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922</v>
      </c>
      <c r="AC15" s="10">
        <v>185</v>
      </c>
      <c r="AD15" s="10">
        <v>185</v>
      </c>
    </row>
    <row r="16" spans="1:30">
      <c r="B16" s="865"/>
      <c r="C16" s="890" t="s">
        <v>686</v>
      </c>
      <c r="D16" s="891"/>
      <c r="E16" s="892"/>
      <c r="F16" s="72"/>
      <c r="G16" s="102"/>
      <c r="H16" s="115"/>
      <c r="I16" s="123"/>
      <c r="J16" s="110"/>
      <c r="K16" s="123"/>
      <c r="L16" s="91"/>
      <c r="M16" s="123"/>
      <c r="N16" s="91"/>
      <c r="O16" s="144">
        <f t="shared" si="0"/>
        <v>0</v>
      </c>
      <c r="Q16" s="7"/>
      <c r="AB16" s="496" t="s">
        <v>923</v>
      </c>
      <c r="AC16" s="10">
        <v>185</v>
      </c>
      <c r="AD16" s="10">
        <v>185</v>
      </c>
    </row>
    <row r="17" spans="2:30">
      <c r="B17" s="865"/>
      <c r="C17" s="879" t="str">
        <f>일정!C27</f>
        <v>가든스바이더베이 2돔 ( 쥬랴기 )</v>
      </c>
      <c r="D17" s="891"/>
      <c r="E17" s="892"/>
      <c r="F17" s="72"/>
      <c r="G17" s="101">
        <f>일정!E27</f>
        <v>28.3</v>
      </c>
      <c r="H17" s="115">
        <f>$C$4+$E$4</f>
        <v>8</v>
      </c>
      <c r="I17" s="123"/>
      <c r="J17" s="110"/>
      <c r="K17" s="123"/>
      <c r="L17" s="91"/>
      <c r="M17" s="123"/>
      <c r="N17" s="91"/>
      <c r="O17" s="144">
        <f>(G17*H17)+(I17*J17)+(K17*L17)+(M17*N17)</f>
        <v>226.4</v>
      </c>
      <c r="AB17" s="496" t="s">
        <v>931</v>
      </c>
      <c r="AC17" s="10">
        <v>155</v>
      </c>
      <c r="AD17" s="10">
        <v>155</v>
      </c>
    </row>
    <row r="18" spans="2:30">
      <c r="B18" s="865"/>
      <c r="C18" s="902" t="s">
        <v>840</v>
      </c>
      <c r="D18" s="903"/>
      <c r="E18" s="904"/>
      <c r="F18" s="72"/>
      <c r="G18" s="104"/>
      <c r="H18" s="116"/>
      <c r="I18" s="122">
        <f>식사!E3</f>
        <v>25</v>
      </c>
      <c r="J18" s="115">
        <f>$C$4+$E$4</f>
        <v>8</v>
      </c>
      <c r="K18" s="130"/>
      <c r="L18" s="138"/>
      <c r="M18" s="130"/>
      <c r="N18" s="138"/>
      <c r="O18" s="148">
        <f>(G18*H18)+(I18*J18)+(K18*L18)+(M18*N18)</f>
        <v>200</v>
      </c>
      <c r="AB18" s="497" t="s">
        <v>928</v>
      </c>
      <c r="AC18" s="10">
        <v>280</v>
      </c>
      <c r="AD18" s="10">
        <v>280</v>
      </c>
    </row>
    <row r="19" spans="2:30">
      <c r="B19" s="865"/>
      <c r="C19" s="941" t="s">
        <v>325</v>
      </c>
      <c r="D19" s="911"/>
      <c r="E19" s="912"/>
      <c r="F19" s="72"/>
      <c r="G19" s="205"/>
      <c r="H19" s="115"/>
      <c r="I19" s="102"/>
      <c r="J19" s="115"/>
      <c r="K19" s="120"/>
      <c r="L19" s="91"/>
      <c r="M19" s="120"/>
      <c r="N19" s="91"/>
      <c r="O19" s="144">
        <f t="shared" si="0"/>
        <v>0</v>
      </c>
      <c r="Q19" s="7"/>
      <c r="AB19" s="497" t="s">
        <v>442</v>
      </c>
      <c r="AC19" s="10">
        <v>366</v>
      </c>
      <c r="AD19" s="10">
        <v>366</v>
      </c>
    </row>
    <row r="20" spans="2:30" ht="18" thickBot="1">
      <c r="B20" s="906"/>
      <c r="C20" s="893" t="s">
        <v>1005</v>
      </c>
      <c r="D20" s="894"/>
      <c r="E20" s="895"/>
      <c r="F20" s="72"/>
      <c r="G20" s="102"/>
      <c r="H20" s="115"/>
      <c r="I20" s="123"/>
      <c r="J20" s="110"/>
      <c r="K20" s="123"/>
      <c r="L20" s="91"/>
      <c r="M20" s="123"/>
      <c r="N20" s="91"/>
      <c r="O20" s="144">
        <f t="shared" si="0"/>
        <v>0</v>
      </c>
      <c r="Q20" s="7"/>
    </row>
    <row r="21" spans="2:30">
      <c r="B21" s="864" t="str">
        <f>TEXT(C5+2,"m월 d일 aaaa")</f>
        <v>3월 18일 화요일</v>
      </c>
      <c r="C21" s="896" t="s">
        <v>240</v>
      </c>
      <c r="D21" s="897"/>
      <c r="E21" s="898"/>
      <c r="F21" s="72"/>
      <c r="G21" s="98"/>
      <c r="H21" s="109"/>
      <c r="I21" s="119"/>
      <c r="J21" s="109"/>
      <c r="K21" s="128">
        <f>IF(C4+E4&lt;8,'가이드&amp;차량'!C47, IF(C4+E4&lt;=14,'가이드&amp;차량'!C39,'가이드&amp;차량'!C23))</f>
        <v>530</v>
      </c>
      <c r="L21" s="90">
        <f>L10</f>
        <v>1</v>
      </c>
      <c r="M21" s="128">
        <f>'가이드&amp;차량'!C6</f>
        <v>375</v>
      </c>
      <c r="N21" s="90">
        <f>N10</f>
        <v>1</v>
      </c>
      <c r="O21" s="143">
        <f t="shared" si="0"/>
        <v>905</v>
      </c>
      <c r="Q21" s="159" t="s">
        <v>277</v>
      </c>
    </row>
    <row r="22" spans="2:30">
      <c r="B22" s="944"/>
      <c r="C22" s="907" t="s">
        <v>968</v>
      </c>
      <c r="D22" s="908"/>
      <c r="E22" s="909"/>
      <c r="F22" s="72"/>
      <c r="G22" s="99"/>
      <c r="H22" s="110"/>
      <c r="I22" s="102"/>
      <c r="J22" s="115"/>
      <c r="K22" s="123"/>
      <c r="L22" s="91"/>
      <c r="M22" s="102"/>
      <c r="N22" s="91"/>
      <c r="O22" s="146">
        <f t="shared" si="0"/>
        <v>0</v>
      </c>
      <c r="Q22" s="7"/>
      <c r="V22" s="498"/>
    </row>
    <row r="23" spans="2:30">
      <c r="B23" s="944"/>
      <c r="C23" s="876" t="s">
        <v>969</v>
      </c>
      <c r="D23" s="877"/>
      <c r="E23" s="878"/>
      <c r="F23" s="72"/>
      <c r="G23" s="99"/>
      <c r="H23" s="110"/>
      <c r="I23" s="122">
        <f>식사!E21</f>
        <v>18</v>
      </c>
      <c r="J23" s="115">
        <f>$C$4+$E$4</f>
        <v>8</v>
      </c>
      <c r="K23" s="120"/>
      <c r="L23" s="91"/>
      <c r="M23" s="120"/>
      <c r="N23" s="91"/>
      <c r="O23" s="144">
        <f>(G23*H23)+(I23*J23)+(K23*L23)+(M23*N23)</f>
        <v>144</v>
      </c>
      <c r="Q23" s="7"/>
    </row>
    <row r="24" spans="2:30">
      <c r="B24" s="888"/>
      <c r="C24" s="907" t="s">
        <v>970</v>
      </c>
      <c r="D24" s="908"/>
      <c r="E24" s="909"/>
      <c r="F24" s="72"/>
      <c r="G24" s="99"/>
      <c r="H24" s="110"/>
      <c r="I24" s="102"/>
      <c r="J24" s="115"/>
      <c r="K24" s="123"/>
      <c r="L24" s="91"/>
      <c r="M24" s="102"/>
      <c r="N24" s="91"/>
      <c r="O24" s="146">
        <f t="shared" si="0"/>
        <v>0</v>
      </c>
      <c r="Q24" s="7"/>
    </row>
    <row r="25" spans="2:30">
      <c r="B25" s="888"/>
      <c r="C25" s="902" t="s">
        <v>971</v>
      </c>
      <c r="D25" s="903"/>
      <c r="E25" s="904"/>
      <c r="F25" s="72"/>
      <c r="G25" s="99"/>
      <c r="H25" s="110"/>
      <c r="I25" s="122">
        <f>식사!E39</f>
        <v>20</v>
      </c>
      <c r="J25" s="115">
        <f>$C$4+$E$4</f>
        <v>8</v>
      </c>
      <c r="K25" s="123"/>
      <c r="L25" s="91"/>
      <c r="M25" s="123"/>
      <c r="N25" s="91"/>
      <c r="O25" s="146">
        <f t="shared" si="0"/>
        <v>160</v>
      </c>
      <c r="Q25" s="7"/>
    </row>
    <row r="26" spans="2:30" ht="18" thickBot="1">
      <c r="B26" s="866"/>
      <c r="C26" s="917" t="s">
        <v>248</v>
      </c>
      <c r="D26" s="918"/>
      <c r="E26" s="919"/>
      <c r="F26" s="72"/>
      <c r="G26" s="100"/>
      <c r="H26" s="111"/>
      <c r="I26" s="124"/>
      <c r="J26" s="126"/>
      <c r="K26" s="129"/>
      <c r="L26" s="137"/>
      <c r="M26" s="124"/>
      <c r="N26" s="137"/>
      <c r="O26" s="147">
        <f t="shared" si="0"/>
        <v>0</v>
      </c>
      <c r="Q26" s="7"/>
    </row>
    <row r="27" spans="2:30">
      <c r="B27" s="864" t="str">
        <f>TEXT(C5+3,"m월 d일 aaaa")</f>
        <v>3월 19일 수요일</v>
      </c>
      <c r="C27" s="896" t="s">
        <v>330</v>
      </c>
      <c r="D27" s="897"/>
      <c r="E27" s="898"/>
      <c r="F27" s="72"/>
      <c r="G27" s="98"/>
      <c r="H27" s="109"/>
      <c r="I27" s="119"/>
      <c r="J27" s="109"/>
      <c r="K27" s="128">
        <f>IF(C4+E4&lt;8,'가이드&amp;차량'!C47, IF(C4+E4&lt;=14,'가이드&amp;차량'!C39,'가이드&amp;차량'!C23))</f>
        <v>530</v>
      </c>
      <c r="L27" s="90">
        <f>L10</f>
        <v>1</v>
      </c>
      <c r="M27" s="128">
        <f>'가이드&amp;차량'!C6+'가이드&amp;차량'!C3</f>
        <v>525</v>
      </c>
      <c r="N27" s="90">
        <f>N10</f>
        <v>1</v>
      </c>
      <c r="O27" s="143">
        <f t="shared" si="0"/>
        <v>1055</v>
      </c>
      <c r="Q27" s="159" t="s">
        <v>278</v>
      </c>
    </row>
    <row r="28" spans="2:30">
      <c r="B28" s="944"/>
      <c r="C28" s="882" t="s">
        <v>972</v>
      </c>
      <c r="D28" s="883"/>
      <c r="E28" s="884"/>
      <c r="F28" s="72"/>
      <c r="G28" s="103">
        <f>일정!E10+일정!E19</f>
        <v>44.8</v>
      </c>
      <c r="H28" s="115">
        <f>$C$4+$E$4</f>
        <v>8</v>
      </c>
      <c r="I28" s="123"/>
      <c r="J28" s="110"/>
      <c r="K28" s="123"/>
      <c r="L28" s="91"/>
      <c r="M28" s="123"/>
      <c r="N28" s="91"/>
      <c r="O28" s="144">
        <f t="shared" si="0"/>
        <v>358.4</v>
      </c>
    </row>
    <row r="29" spans="2:30">
      <c r="B29" s="888"/>
      <c r="C29" s="876" t="s">
        <v>973</v>
      </c>
      <c r="D29" s="877"/>
      <c r="E29" s="878"/>
      <c r="F29" s="72"/>
      <c r="G29" s="99"/>
      <c r="H29" s="110"/>
      <c r="I29" s="122">
        <f>식사!E40</f>
        <v>15</v>
      </c>
      <c r="J29" s="115">
        <f>$C$4+$E$4</f>
        <v>8</v>
      </c>
      <c r="K29" s="120"/>
      <c r="L29" s="91"/>
      <c r="M29" s="120"/>
      <c r="N29" s="91"/>
      <c r="O29" s="144">
        <f t="shared" si="0"/>
        <v>120</v>
      </c>
    </row>
    <row r="30" spans="2:30">
      <c r="B30" s="888"/>
      <c r="C30" s="907" t="s">
        <v>977</v>
      </c>
      <c r="D30" s="908"/>
      <c r="E30" s="909"/>
      <c r="F30" s="72"/>
      <c r="G30" s="206"/>
      <c r="H30" s="164"/>
      <c r="I30" s="123"/>
      <c r="J30" s="110"/>
      <c r="K30" s="161"/>
      <c r="L30" s="138"/>
      <c r="M30" s="161"/>
      <c r="N30" s="138"/>
      <c r="O30" s="148">
        <f t="shared" si="0"/>
        <v>0</v>
      </c>
      <c r="V30" s="498"/>
    </row>
    <row r="31" spans="2:30">
      <c r="B31" s="888"/>
      <c r="C31" s="902" t="s">
        <v>838</v>
      </c>
      <c r="D31" s="903"/>
      <c r="E31" s="904"/>
      <c r="F31" s="72"/>
      <c r="G31" s="104"/>
      <c r="H31" s="116"/>
      <c r="I31" s="122">
        <f>식사!E7</f>
        <v>18</v>
      </c>
      <c r="J31" s="115">
        <f>$C$4+$E$4</f>
        <v>8</v>
      </c>
      <c r="K31" s="130"/>
      <c r="L31" s="138"/>
      <c r="M31" s="130"/>
      <c r="N31" s="138"/>
      <c r="O31" s="148">
        <f t="shared" si="0"/>
        <v>144</v>
      </c>
    </row>
    <row r="32" spans="2:30" ht="18" thickBot="1">
      <c r="B32" s="866"/>
      <c r="C32" s="870" t="s">
        <v>1207</v>
      </c>
      <c r="D32" s="871"/>
      <c r="E32" s="500">
        <f>상품리스트!I15</f>
        <v>7.9861111111111105E-2</v>
      </c>
      <c r="F32" s="34"/>
      <c r="G32" s="105"/>
      <c r="H32" s="117"/>
      <c r="I32" s="124"/>
      <c r="J32" s="126"/>
      <c r="K32" s="131"/>
      <c r="L32" s="139"/>
      <c r="M32" s="131"/>
      <c r="N32" s="139"/>
      <c r="O32" s="149">
        <f t="shared" si="0"/>
        <v>0</v>
      </c>
      <c r="P32" s="34"/>
      <c r="Q32" s="34"/>
      <c r="R32" s="34"/>
      <c r="S32" s="34"/>
      <c r="T32" s="34"/>
      <c r="U32" s="34"/>
      <c r="V32" s="498"/>
    </row>
    <row r="33" spans="2:22">
      <c r="B33" s="72"/>
      <c r="C33" s="72"/>
      <c r="D33" s="72"/>
      <c r="E33" s="72"/>
      <c r="F33" s="72"/>
      <c r="G33" s="72"/>
      <c r="H33" s="72"/>
      <c r="K33" s="132">
        <f>SUM(K10:K32)</f>
        <v>1790</v>
      </c>
      <c r="L33" s="72"/>
      <c r="M33" s="132">
        <f>SUM(M10:M32)</f>
        <v>1425</v>
      </c>
      <c r="N33" s="72"/>
      <c r="O33" s="150"/>
      <c r="P33" s="156"/>
    </row>
    <row r="34" spans="2:22" ht="18" thickBot="1">
      <c r="O34" s="150"/>
    </row>
    <row r="35" spans="2:22">
      <c r="B35" s="872" t="s">
        <v>246</v>
      </c>
      <c r="C35" s="873" t="s">
        <v>288</v>
      </c>
      <c r="D35" s="874"/>
      <c r="E35" s="875"/>
      <c r="F35" s="34"/>
      <c r="G35" s="862">
        <f>$C$4+$E$4</f>
        <v>8</v>
      </c>
      <c r="H35" s="863"/>
      <c r="I35" s="854">
        <v>3</v>
      </c>
      <c r="J35" s="854"/>
      <c r="K35" s="855">
        <v>1</v>
      </c>
      <c r="L35" s="855"/>
      <c r="M35" s="855"/>
      <c r="N35" s="855"/>
      <c r="O35" s="151">
        <f>G35*I35*K35</f>
        <v>24</v>
      </c>
    </row>
    <row r="36" spans="2:22" ht="18" thickBot="1">
      <c r="B36" s="827"/>
      <c r="C36" s="856" t="s">
        <v>451</v>
      </c>
      <c r="D36" s="857"/>
      <c r="E36" s="858"/>
      <c r="F36" s="34"/>
      <c r="G36" s="859">
        <v>50</v>
      </c>
      <c r="H36" s="860"/>
      <c r="I36" s="860"/>
      <c r="J36" s="860"/>
      <c r="K36" s="861">
        <f>C4</f>
        <v>8</v>
      </c>
      <c r="L36" s="861"/>
      <c r="M36" s="861"/>
      <c r="N36" s="861"/>
      <c r="O36" s="152">
        <f>G36*K36</f>
        <v>400</v>
      </c>
      <c r="V36" s="493"/>
    </row>
    <row r="37" spans="2:22" ht="18" thickBot="1">
      <c r="O37" s="150"/>
      <c r="V37" s="493"/>
    </row>
    <row r="38" spans="2:22" ht="16.5" customHeight="1">
      <c r="B38" s="961" t="s">
        <v>337</v>
      </c>
      <c r="C38" s="1021" t="s">
        <v>251</v>
      </c>
      <c r="D38" s="1022"/>
      <c r="E38" s="1023"/>
      <c r="F38" s="165"/>
      <c r="G38" s="967"/>
      <c r="H38" s="1024"/>
      <c r="I38" s="969">
        <f>일정!G24</f>
        <v>30</v>
      </c>
      <c r="J38" s="970"/>
      <c r="K38" s="1044">
        <f>C4</f>
        <v>8</v>
      </c>
      <c r="L38" s="1044"/>
      <c r="M38" s="1044"/>
      <c r="N38" s="1045"/>
      <c r="O38" s="153">
        <f>G38*I38*K38</f>
        <v>0</v>
      </c>
      <c r="V38" s="493"/>
    </row>
    <row r="39" spans="2:22">
      <c r="B39" s="1019"/>
      <c r="C39" s="1025" t="s">
        <v>250</v>
      </c>
      <c r="D39" s="1026"/>
      <c r="E39" s="1027"/>
      <c r="F39" s="165"/>
      <c r="G39" s="977"/>
      <c r="H39" s="1028"/>
      <c r="I39" s="979">
        <f>일정!G30</f>
        <v>28</v>
      </c>
      <c r="J39" s="980"/>
      <c r="K39" s="1046">
        <f>C4</f>
        <v>8</v>
      </c>
      <c r="L39" s="1047"/>
      <c r="M39" s="1047"/>
      <c r="N39" s="1048"/>
      <c r="O39" s="154">
        <f>G39*I39*K39</f>
        <v>0</v>
      </c>
      <c r="V39" s="493"/>
    </row>
    <row r="40" spans="2:22">
      <c r="B40" s="1019"/>
      <c r="C40" s="1025" t="s">
        <v>249</v>
      </c>
      <c r="D40" s="1026"/>
      <c r="E40" s="1027"/>
      <c r="F40" s="165"/>
      <c r="G40" s="977"/>
      <c r="H40" s="1028"/>
      <c r="I40" s="979">
        <f>일정!G35</f>
        <v>36</v>
      </c>
      <c r="J40" s="980"/>
      <c r="K40" s="1046">
        <f>C4</f>
        <v>8</v>
      </c>
      <c r="L40" s="1047"/>
      <c r="M40" s="1047"/>
      <c r="N40" s="1048"/>
      <c r="O40" s="154">
        <f>G40*I40*K40</f>
        <v>0</v>
      </c>
    </row>
    <row r="41" spans="2:22">
      <c r="B41" s="1019"/>
      <c r="C41" s="1025" t="s">
        <v>336</v>
      </c>
      <c r="D41" s="1026"/>
      <c r="E41" s="1027"/>
      <c r="F41" s="165"/>
      <c r="G41" s="977"/>
      <c r="H41" s="1028"/>
      <c r="I41" s="979">
        <f>일정!G13</f>
        <v>19</v>
      </c>
      <c r="J41" s="980"/>
      <c r="K41" s="1046">
        <f>C4</f>
        <v>8</v>
      </c>
      <c r="L41" s="1047"/>
      <c r="M41" s="1047"/>
      <c r="N41" s="1048"/>
      <c r="O41" s="154">
        <f>G41*I41*K41</f>
        <v>0</v>
      </c>
    </row>
    <row r="42" spans="2:22">
      <c r="B42" s="1020"/>
      <c r="C42" s="1030" t="s">
        <v>252</v>
      </c>
      <c r="D42" s="1031"/>
      <c r="E42" s="1032"/>
      <c r="F42" s="165"/>
      <c r="G42" s="989"/>
      <c r="H42" s="1033"/>
      <c r="I42" s="991">
        <f>일정!G29</f>
        <v>40</v>
      </c>
      <c r="J42" s="992"/>
      <c r="K42" s="1049">
        <f>C4</f>
        <v>8</v>
      </c>
      <c r="L42" s="1050"/>
      <c r="M42" s="1050"/>
      <c r="N42" s="1051"/>
      <c r="O42" s="215">
        <f>G42*I42*K42</f>
        <v>0</v>
      </c>
    </row>
  </sheetData>
  <mergeCells count="76">
    <mergeCell ref="K40:N40"/>
    <mergeCell ref="C41:E41"/>
    <mergeCell ref="G41:H41"/>
    <mergeCell ref="I41:J41"/>
    <mergeCell ref="K41:N41"/>
    <mergeCell ref="B38:B42"/>
    <mergeCell ref="C38:E38"/>
    <mergeCell ref="G38:H38"/>
    <mergeCell ref="I38:J38"/>
    <mergeCell ref="K38:N38"/>
    <mergeCell ref="C39:E39"/>
    <mergeCell ref="G39:H39"/>
    <mergeCell ref="I39:J39"/>
    <mergeCell ref="K39:N39"/>
    <mergeCell ref="C40:E40"/>
    <mergeCell ref="C42:E42"/>
    <mergeCell ref="G42:H42"/>
    <mergeCell ref="I42:J42"/>
    <mergeCell ref="K42:N42"/>
    <mergeCell ref="G40:H40"/>
    <mergeCell ref="I40:J40"/>
    <mergeCell ref="B35:B36"/>
    <mergeCell ref="C35:E35"/>
    <mergeCell ref="G35:H35"/>
    <mergeCell ref="I35:J35"/>
    <mergeCell ref="K35:N35"/>
    <mergeCell ref="C36:E36"/>
    <mergeCell ref="G36:J36"/>
    <mergeCell ref="K36:N36"/>
    <mergeCell ref="B27:B32"/>
    <mergeCell ref="C27:E27"/>
    <mergeCell ref="C29:E29"/>
    <mergeCell ref="C30:E30"/>
    <mergeCell ref="C31:E31"/>
    <mergeCell ref="C32:D32"/>
    <mergeCell ref="C28:E28"/>
    <mergeCell ref="B21:B26"/>
    <mergeCell ref="C21:E21"/>
    <mergeCell ref="C24:E24"/>
    <mergeCell ref="C25:E25"/>
    <mergeCell ref="C26:E26"/>
    <mergeCell ref="C22:E22"/>
    <mergeCell ref="C23:E23"/>
    <mergeCell ref="B13:B20"/>
    <mergeCell ref="C13:E13"/>
    <mergeCell ref="C15:E15"/>
    <mergeCell ref="C16:E16"/>
    <mergeCell ref="C19:E19"/>
    <mergeCell ref="C20:E20"/>
    <mergeCell ref="C14:E14"/>
    <mergeCell ref="C17:E17"/>
    <mergeCell ref="C18:E18"/>
    <mergeCell ref="H7:K7"/>
    <mergeCell ref="M8:N8"/>
    <mergeCell ref="O8:O9"/>
    <mergeCell ref="B10:B12"/>
    <mergeCell ref="C11:E11"/>
    <mergeCell ref="C12:E12"/>
    <mergeCell ref="G8:H8"/>
    <mergeCell ref="I8:J8"/>
    <mergeCell ref="K8:L8"/>
    <mergeCell ref="C10:D10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5171DCDD-DF7D-4023-BDCF-0A5E565AD8BB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D031-BB76-4F09-9CEE-4B271AE11239}">
  <dimension ref="A1:AF46"/>
  <sheetViews>
    <sheetView workbookViewId="0">
      <selection activeCell="L2" sqref="L2:L4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7" max="27" width="1.1640625" customWidth="1"/>
    <col min="28" max="28" width="20.1640625" customWidth="1"/>
    <col min="29" max="30" width="4.5" bestFit="1" customWidth="1"/>
    <col min="31" max="32" width="4.1640625" bestFit="1" customWidth="1"/>
  </cols>
  <sheetData>
    <row r="1" spans="1:32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8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2">
      <c r="B2" s="73" t="s">
        <v>238</v>
      </c>
      <c r="C2" s="923" t="s">
        <v>1212</v>
      </c>
      <c r="D2" s="923"/>
      <c r="E2" s="924"/>
      <c r="F2" s="72"/>
      <c r="G2" s="921"/>
      <c r="H2" s="925">
        <f>C5</f>
        <v>45799</v>
      </c>
      <c r="I2" s="926"/>
      <c r="J2" s="927" t="str">
        <f>AB2</f>
        <v>Mercure Stevens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180</v>
      </c>
      <c r="M2" s="140">
        <f>$I$1+$K$1</f>
        <v>8</v>
      </c>
      <c r="N2" s="106">
        <f>L2*M2</f>
        <v>1440</v>
      </c>
      <c r="O2" s="929">
        <f>SUM(N2:N6)</f>
        <v>4320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925</v>
      </c>
      <c r="AC2" s="10">
        <v>180</v>
      </c>
      <c r="AD2" s="10">
        <v>180</v>
      </c>
    </row>
    <row r="3" spans="1:32" ht="28">
      <c r="B3" s="74" t="s">
        <v>239</v>
      </c>
      <c r="C3" s="938" t="s">
        <v>964</v>
      </c>
      <c r="D3" s="938"/>
      <c r="E3" s="770"/>
      <c r="F3" s="72"/>
      <c r="G3" s="921"/>
      <c r="H3" s="925">
        <f>H2+1</f>
        <v>45800</v>
      </c>
      <c r="I3" s="926"/>
      <c r="J3" s="927" t="str">
        <f>J2</f>
        <v>Mercure Stevens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180</v>
      </c>
      <c r="M3" s="140">
        <f>$I$1+$K$1</f>
        <v>8</v>
      </c>
      <c r="N3" s="106">
        <f>L3*M3</f>
        <v>1440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2" ht="18" thickBot="1">
      <c r="B4" s="75" t="s">
        <v>241</v>
      </c>
      <c r="C4" s="81">
        <v>16</v>
      </c>
      <c r="D4" s="84" t="s">
        <v>253</v>
      </c>
      <c r="E4" s="92">
        <v>0</v>
      </c>
      <c r="F4" s="72"/>
      <c r="G4" s="921"/>
      <c r="H4" s="925">
        <f>H3+1</f>
        <v>45801</v>
      </c>
      <c r="I4" s="926"/>
      <c r="J4" s="927" t="str">
        <f>J2</f>
        <v>Mercure Stevens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180</v>
      </c>
      <c r="M4" s="141">
        <f>$I$1+$K$1</f>
        <v>8</v>
      </c>
      <c r="N4" s="106">
        <f>L4*M4</f>
        <v>1440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tr">
        <f>'25메인호텔'!F2</f>
        <v>Momentus</v>
      </c>
      <c r="AC4" s="35">
        <f>'25메인호텔'!G2</f>
        <v>190</v>
      </c>
      <c r="AD4" s="35">
        <f>'25메인호텔'!H2</f>
        <v>180</v>
      </c>
      <c r="AE4" s="34"/>
      <c r="AF4" s="34"/>
    </row>
    <row r="5" spans="1:32" ht="18" thickBot="1">
      <c r="B5" s="76" t="s">
        <v>242</v>
      </c>
      <c r="C5" s="82">
        <v>45799</v>
      </c>
      <c r="D5" s="85">
        <v>3</v>
      </c>
      <c r="E5" s="93">
        <f>C5+D5</f>
        <v>45802</v>
      </c>
      <c r="F5" s="72"/>
      <c r="G5" s="921"/>
      <c r="H5" s="925"/>
      <c r="I5" s="926"/>
      <c r="J5" s="939"/>
      <c r="K5" s="940"/>
      <c r="L5" s="135"/>
      <c r="M5" s="140"/>
      <c r="N5" s="106"/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tr">
        <f>'25메인호텔'!F3</f>
        <v>Aloft Novena</v>
      </c>
      <c r="AC5" s="35">
        <f>'25메인호텔'!G3</f>
        <v>180</v>
      </c>
      <c r="AD5" s="35">
        <f>'25메인호텔'!H3</f>
        <v>180</v>
      </c>
      <c r="AE5" s="34"/>
      <c r="AF5" s="34"/>
    </row>
    <row r="6" spans="1:32" ht="17.25" customHeight="1" thickBot="1">
      <c r="B6" s="77" t="s">
        <v>243</v>
      </c>
      <c r="C6" s="83">
        <f>(SUM(O10:O46)+O2)/C4+R2+T5</f>
        <v>697.48749999999995</v>
      </c>
      <c r="D6" s="86" t="s">
        <v>254</v>
      </c>
      <c r="E6" s="94">
        <f>C6*$E$1</f>
        <v>767236.25</v>
      </c>
      <c r="F6" s="72"/>
      <c r="G6" s="922"/>
      <c r="H6" s="925"/>
      <c r="I6" s="926"/>
      <c r="J6" s="935"/>
      <c r="K6" s="935"/>
      <c r="L6" s="136"/>
      <c r="M6" s="89"/>
      <c r="N6" s="107"/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tr">
        <f>'25메인호텔'!F4</f>
        <v>Mercure Stevens</v>
      </c>
      <c r="AC6" s="35">
        <f>'25메인호텔'!G4</f>
        <v>180</v>
      </c>
      <c r="AD6" s="35">
        <f>'25메인호텔'!H4</f>
        <v>180</v>
      </c>
      <c r="AE6" s="34"/>
      <c r="AF6" s="34"/>
    </row>
    <row r="7" spans="1:32" ht="18" thickBot="1">
      <c r="B7" s="78" t="s">
        <v>244</v>
      </c>
      <c r="C7" s="183">
        <v>5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tr">
        <f>'25메인호텔'!F5</f>
        <v>M Hotel City Centre</v>
      </c>
      <c r="AC7" s="35">
        <f>'25메인호텔'!G5</f>
        <v>230</v>
      </c>
      <c r="AD7" s="35">
        <f>'25메인호텔'!H5</f>
        <v>230</v>
      </c>
      <c r="AE7" s="34"/>
      <c r="AF7" s="34"/>
    </row>
    <row r="8" spans="1:32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tr">
        <f>'25메인호텔'!F6</f>
        <v>Concorde Hotel</v>
      </c>
      <c r="AC8" s="35">
        <f>'25메인호텔'!G6</f>
        <v>230</v>
      </c>
      <c r="AD8" s="35">
        <f>'25메인호텔'!H6</f>
        <v>230</v>
      </c>
      <c r="AE8" s="34"/>
      <c r="AF8" s="34"/>
    </row>
    <row r="9" spans="1:32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tr">
        <f>'25메인호텔'!F7</f>
        <v>Oasia Novena</v>
      </c>
      <c r="AC9" s="35">
        <f>'25메인호텔'!G7</f>
        <v>210</v>
      </c>
      <c r="AD9" s="35">
        <f>'25메인호텔'!H7</f>
        <v>210</v>
      </c>
      <c r="AE9" s="34"/>
      <c r="AF9" s="34"/>
    </row>
    <row r="10" spans="1:32">
      <c r="B10" s="905" t="str">
        <f>TEXT(C5,"m월 d일 aaaa")</f>
        <v>5월 22일 목요일</v>
      </c>
      <c r="C10" s="867" t="s">
        <v>960</v>
      </c>
      <c r="D10" s="916"/>
      <c r="E10" s="499">
        <f>상품리스트!F15</f>
        <v>1.7361111111111112E-2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280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430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tr">
        <f>'25메인호텔'!F8</f>
        <v>Orchid Hotel</v>
      </c>
      <c r="AC10" s="35">
        <f>'25메인호텔'!G8</f>
        <v>220</v>
      </c>
      <c r="AD10" s="35">
        <f>'25메인호텔'!H8</f>
        <v>220</v>
      </c>
      <c r="AE10" s="34"/>
      <c r="AF10" s="34"/>
    </row>
    <row r="11" spans="1:32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6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tr">
        <f>'25메인호텔'!F9</f>
        <v>Amara Singapore</v>
      </c>
      <c r="AC11" s="35">
        <f>'25메인호텔'!G9</f>
        <v>230</v>
      </c>
      <c r="AD11" s="35">
        <f>'25메인호텔'!H9</f>
        <v>230</v>
      </c>
      <c r="AE11" s="34"/>
      <c r="AF11" s="34"/>
    </row>
    <row r="12" spans="1:32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tr">
        <f>'25메인호텔'!F10</f>
        <v>Orchard Hotel</v>
      </c>
      <c r="AC12" s="35">
        <f>'25메인호텔'!G10</f>
        <v>240</v>
      </c>
      <c r="AD12" s="35">
        <f>'25메인호텔'!H10</f>
        <v>240</v>
      </c>
      <c r="AE12" s="34"/>
      <c r="AF12" s="34"/>
    </row>
    <row r="13" spans="1:32">
      <c r="B13" s="905" t="str">
        <f>TEXT(C5+1,"m월 d일 aaaa")</f>
        <v>5월 23일 금요일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630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1005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tr">
        <f>'25메인호텔'!F11</f>
        <v>Grand Copthorne</v>
      </c>
      <c r="AC13" s="35">
        <f>'25메인호텔'!G11</f>
        <v>240</v>
      </c>
      <c r="AD13" s="35">
        <f>'25메인호텔'!H11</f>
        <v>240</v>
      </c>
      <c r="AE13" s="34"/>
      <c r="AF13" s="34"/>
    </row>
    <row r="14" spans="1:32">
      <c r="B14" s="865"/>
      <c r="C14" s="907" t="s">
        <v>1216</v>
      </c>
      <c r="D14" s="908"/>
      <c r="E14" s="909"/>
      <c r="F14" s="72"/>
      <c r="G14" s="340"/>
      <c r="H14" s="341"/>
      <c r="I14" s="342"/>
      <c r="J14" s="343"/>
      <c r="K14" s="344"/>
      <c r="L14" s="345"/>
      <c r="M14" s="344"/>
      <c r="N14" s="345"/>
      <c r="O14" s="466"/>
      <c r="Q14" s="159"/>
      <c r="V14" s="190"/>
      <c r="W14" s="189"/>
      <c r="X14" s="189"/>
      <c r="Y14" s="188"/>
      <c r="AB14" s="496" t="str">
        <f>'25메인호텔'!F12</f>
        <v>Mercure Tyrwhitt</v>
      </c>
      <c r="AC14" s="35">
        <f>'25메인호텔'!G12</f>
        <v>170</v>
      </c>
      <c r="AD14" s="35">
        <f>'25메인호텔'!H12</f>
        <v>170</v>
      </c>
      <c r="AE14" s="34"/>
      <c r="AF14" s="34"/>
    </row>
    <row r="15" spans="1:32">
      <c r="B15" s="865"/>
      <c r="C15" s="907" t="s">
        <v>1217</v>
      </c>
      <c r="D15" s="908"/>
      <c r="E15" s="909"/>
      <c r="F15" s="72"/>
      <c r="G15" s="340"/>
      <c r="H15" s="341"/>
      <c r="I15" s="342"/>
      <c r="J15" s="343"/>
      <c r="K15" s="344"/>
      <c r="L15" s="345"/>
      <c r="M15" s="344"/>
      <c r="N15" s="345"/>
      <c r="O15" s="466"/>
      <c r="Q15" s="159"/>
      <c r="V15" s="190"/>
      <c r="W15" s="189"/>
      <c r="X15" s="189"/>
      <c r="Y15" s="188"/>
      <c r="AB15" s="496" t="str">
        <f>'25메인호텔'!F13</f>
        <v>Hotel Boss</v>
      </c>
      <c r="AC15" s="35">
        <f>'25메인호텔'!G13</f>
        <v>185</v>
      </c>
      <c r="AD15" s="35">
        <f>'25메인호텔'!H13</f>
        <v>185</v>
      </c>
      <c r="AE15" s="34"/>
      <c r="AF15" s="34"/>
    </row>
    <row r="16" spans="1:32">
      <c r="B16" s="865"/>
      <c r="C16" s="876" t="s">
        <v>1218</v>
      </c>
      <c r="D16" s="877"/>
      <c r="E16" s="878"/>
      <c r="F16" s="72"/>
      <c r="G16" s="99"/>
      <c r="H16" s="110"/>
      <c r="I16" s="122">
        <f>식사!E7</f>
        <v>18</v>
      </c>
      <c r="J16" s="115">
        <f>$C$4+$E$4</f>
        <v>16</v>
      </c>
      <c r="K16" s="120"/>
      <c r="L16" s="91"/>
      <c r="M16" s="120"/>
      <c r="N16" s="91"/>
      <c r="O16" s="144">
        <f t="shared" si="0"/>
        <v>288</v>
      </c>
      <c r="Q16" s="7"/>
      <c r="V16" s="190" t="str">
        <f>서차지!B15</f>
        <v>National Day</v>
      </c>
      <c r="W16" s="189">
        <f>서차지!C15</f>
        <v>0</v>
      </c>
      <c r="X16" s="189">
        <f>서차지!D15</f>
        <v>0</v>
      </c>
      <c r="Y16" s="188">
        <f>서차지!E15</f>
        <v>0</v>
      </c>
      <c r="AB16" s="496" t="str">
        <f>'25메인호텔'!F14</f>
        <v>V Hotel Lavender</v>
      </c>
      <c r="AC16" s="35">
        <f>'25메인호텔'!G14</f>
        <v>185</v>
      </c>
      <c r="AD16" s="35">
        <f>'25메인호텔'!H14</f>
        <v>185</v>
      </c>
      <c r="AE16" s="34"/>
      <c r="AF16" s="34"/>
    </row>
    <row r="17" spans="2:32">
      <c r="B17" s="865"/>
      <c r="C17" s="882" t="s">
        <v>1221</v>
      </c>
      <c r="D17" s="883"/>
      <c r="E17" s="884"/>
      <c r="F17" s="72"/>
      <c r="G17" s="103">
        <f>일정!E10+일정!E20</f>
        <v>53.5</v>
      </c>
      <c r="H17" s="115">
        <f>$C$4+$E$4</f>
        <v>16</v>
      </c>
      <c r="I17" s="123"/>
      <c r="J17" s="110"/>
      <c r="K17" s="123"/>
      <c r="L17" s="91"/>
      <c r="M17" s="123"/>
      <c r="N17" s="91"/>
      <c r="O17" s="144">
        <f t="shared" si="0"/>
        <v>856</v>
      </c>
      <c r="Q17" s="7"/>
      <c r="AB17" s="496" t="str">
        <f>'25메인호텔'!F15</f>
        <v>IbIs Novena</v>
      </c>
      <c r="AC17" s="35">
        <f>'25메인호텔'!G15</f>
        <v>155</v>
      </c>
      <c r="AD17" s="35">
        <f>'25메인호텔'!H15</f>
        <v>155</v>
      </c>
      <c r="AE17" s="34"/>
      <c r="AF17" s="34"/>
    </row>
    <row r="18" spans="2:32">
      <c r="B18" s="865"/>
      <c r="C18" s="907" t="s">
        <v>553</v>
      </c>
      <c r="D18" s="908"/>
      <c r="E18" s="909"/>
      <c r="F18" s="560"/>
      <c r="G18" s="355"/>
      <c r="H18" s="113"/>
      <c r="I18" s="554"/>
      <c r="J18" s="114"/>
      <c r="K18" s="123"/>
      <c r="L18" s="91"/>
      <c r="M18" s="123"/>
      <c r="N18" s="91"/>
      <c r="O18" s="144">
        <f>(G18*H18)+(I18*J18)+(K18*L18)+(M18*N18)</f>
        <v>0</v>
      </c>
      <c r="AB18" s="496" t="str">
        <f>'25메인호텔'!F16</f>
        <v xml:space="preserve">IbIs bencoolen </v>
      </c>
      <c r="AC18" s="35">
        <f>'25메인호텔'!G16</f>
        <v>185</v>
      </c>
      <c r="AD18" s="35">
        <f>'25메인호텔'!H16</f>
        <v>185</v>
      </c>
      <c r="AE18" s="34"/>
      <c r="AF18" s="34"/>
    </row>
    <row r="19" spans="2:32">
      <c r="B19" s="865"/>
      <c r="C19" s="876" t="s">
        <v>651</v>
      </c>
      <c r="D19" s="877"/>
      <c r="E19" s="878"/>
      <c r="F19" s="72"/>
      <c r="G19" s="104"/>
      <c r="H19" s="116"/>
      <c r="I19" s="122">
        <f>식사!E21</f>
        <v>18</v>
      </c>
      <c r="J19" s="115">
        <f>$C$4+$E$4</f>
        <v>16</v>
      </c>
      <c r="K19" s="130"/>
      <c r="L19" s="138"/>
      <c r="M19" s="130"/>
      <c r="N19" s="138"/>
      <c r="O19" s="148">
        <f>(G19*H19)+(I19*J19)+(K19*L19)+(M19*N19)</f>
        <v>288</v>
      </c>
      <c r="AB19" s="497" t="str">
        <f>'25메인호텔'!F17</f>
        <v>Oasia Sentosa</v>
      </c>
      <c r="AC19" s="35">
        <f>'25메인호텔'!G17</f>
        <v>240</v>
      </c>
      <c r="AD19" s="35">
        <f>'25메인호텔'!H17</f>
        <v>240</v>
      </c>
      <c r="AE19" s="34"/>
      <c r="AF19" s="34"/>
    </row>
    <row r="20" spans="2:32">
      <c r="B20" s="865"/>
      <c r="C20" s="941" t="s">
        <v>325</v>
      </c>
      <c r="D20" s="911"/>
      <c r="E20" s="912"/>
      <c r="F20" s="72"/>
      <c r="G20" s="205"/>
      <c r="H20" s="115"/>
      <c r="I20" s="102"/>
      <c r="J20" s="115"/>
      <c r="K20" s="120"/>
      <c r="L20" s="91"/>
      <c r="M20" s="120"/>
      <c r="N20" s="91"/>
      <c r="O20" s="144">
        <f t="shared" si="0"/>
        <v>0</v>
      </c>
      <c r="Q20" s="7"/>
      <c r="AB20" s="497" t="str">
        <f>'25메인호텔'!F18</f>
        <v>Swissotel The stamford</v>
      </c>
      <c r="AC20" s="35">
        <f>'25메인호텔'!G18</f>
        <v>540</v>
      </c>
      <c r="AD20" s="35">
        <f>'25메인호텔'!H18</f>
        <v>540</v>
      </c>
      <c r="AE20" s="34" t="e">
        <f>'25메인호텔'!#REF!</f>
        <v>#REF!</v>
      </c>
      <c r="AF20" s="34" t="e">
        <f>'25메인호텔'!#REF!</f>
        <v>#REF!</v>
      </c>
    </row>
    <row r="21" spans="2:32" ht="18" thickBot="1">
      <c r="B21" s="906"/>
      <c r="C21" s="893" t="s">
        <v>1005</v>
      </c>
      <c r="D21" s="894"/>
      <c r="E21" s="895"/>
      <c r="F21" s="72"/>
      <c r="G21" s="102"/>
      <c r="H21" s="115"/>
      <c r="I21" s="123"/>
      <c r="J21" s="110"/>
      <c r="K21" s="123"/>
      <c r="L21" s="91"/>
      <c r="M21" s="123"/>
      <c r="N21" s="91"/>
      <c r="O21" s="144">
        <f t="shared" si="0"/>
        <v>0</v>
      </c>
      <c r="Q21" s="7"/>
    </row>
    <row r="22" spans="2:32">
      <c r="B22" s="864" t="str">
        <f>TEXT(C5+2,"m월 d일 aaaa")</f>
        <v>5월 24일 토요일</v>
      </c>
      <c r="C22" s="896" t="s">
        <v>240</v>
      </c>
      <c r="D22" s="897"/>
      <c r="E22" s="898"/>
      <c r="F22" s="72"/>
      <c r="G22" s="98"/>
      <c r="H22" s="109"/>
      <c r="I22" s="119"/>
      <c r="J22" s="109"/>
      <c r="K22" s="128">
        <f>IF(C4+E4&lt;8,'가이드&amp;차량'!C47, IF(C4+E4&lt;=14,'가이드&amp;차량'!C39,'가이드&amp;차량'!C23))</f>
        <v>630</v>
      </c>
      <c r="L22" s="90">
        <f>L10</f>
        <v>1</v>
      </c>
      <c r="M22" s="128">
        <f>'가이드&amp;차량'!C6</f>
        <v>375</v>
      </c>
      <c r="N22" s="90">
        <f>N10</f>
        <v>1</v>
      </c>
      <c r="O22" s="143">
        <f t="shared" si="0"/>
        <v>1005</v>
      </c>
      <c r="Q22" s="159" t="s">
        <v>277</v>
      </c>
    </row>
    <row r="23" spans="2:32">
      <c r="B23" s="944"/>
      <c r="C23" s="907" t="s">
        <v>1222</v>
      </c>
      <c r="D23" s="908"/>
      <c r="E23" s="909"/>
      <c r="F23" s="72"/>
      <c r="G23" s="99"/>
      <c r="H23" s="110"/>
      <c r="I23" s="102"/>
      <c r="J23" s="115"/>
      <c r="K23" s="123"/>
      <c r="L23" s="91"/>
      <c r="M23" s="102"/>
      <c r="N23" s="91"/>
      <c r="O23" s="146">
        <f t="shared" si="0"/>
        <v>0</v>
      </c>
      <c r="Q23" s="7"/>
      <c r="V23" s="498"/>
    </row>
    <row r="24" spans="2:32">
      <c r="B24" s="944"/>
      <c r="C24" s="907" t="s">
        <v>687</v>
      </c>
      <c r="D24" s="908"/>
      <c r="E24" s="909"/>
      <c r="F24" s="72"/>
      <c r="G24" s="99"/>
      <c r="H24" s="110"/>
      <c r="I24" s="102"/>
      <c r="J24" s="115"/>
      <c r="K24" s="123"/>
      <c r="L24" s="91"/>
      <c r="M24" s="102"/>
      <c r="N24" s="91"/>
      <c r="O24" s="146"/>
      <c r="Q24" s="7"/>
      <c r="V24" s="498"/>
    </row>
    <row r="25" spans="2:32">
      <c r="B25" s="944"/>
      <c r="C25" s="876" t="s">
        <v>507</v>
      </c>
      <c r="D25" s="877"/>
      <c r="E25" s="878"/>
      <c r="F25" s="72"/>
      <c r="G25" s="99"/>
      <c r="H25" s="110"/>
      <c r="I25" s="122">
        <f>식사!E12</f>
        <v>15</v>
      </c>
      <c r="J25" s="115">
        <f>$C$4+$E$4</f>
        <v>16</v>
      </c>
      <c r="K25" s="120"/>
      <c r="L25" s="91"/>
      <c r="M25" s="120"/>
      <c r="N25" s="91"/>
      <c r="O25" s="144">
        <f>(G25*H25)+(I25*J25)+(K25*L25)+(M25*N25)</f>
        <v>240</v>
      </c>
      <c r="Q25" s="7"/>
    </row>
    <row r="26" spans="2:32">
      <c r="B26" s="888"/>
      <c r="C26" s="907" t="s">
        <v>876</v>
      </c>
      <c r="D26" s="908"/>
      <c r="E26" s="909"/>
      <c r="F26" s="72"/>
      <c r="G26" s="99"/>
      <c r="H26" s="110"/>
      <c r="I26" s="102"/>
      <c r="J26" s="115"/>
      <c r="K26" s="123"/>
      <c r="L26" s="91"/>
      <c r="M26" s="102"/>
      <c r="N26" s="91"/>
      <c r="O26" s="146">
        <f t="shared" si="0"/>
        <v>0</v>
      </c>
      <c r="Q26" s="7"/>
    </row>
    <row r="27" spans="2:32">
      <c r="B27" s="888"/>
      <c r="C27" s="907" t="s">
        <v>995</v>
      </c>
      <c r="D27" s="908"/>
      <c r="E27" s="909"/>
      <c r="F27" s="72"/>
      <c r="G27" s="99"/>
      <c r="H27" s="110"/>
      <c r="I27" s="102"/>
      <c r="J27" s="115"/>
      <c r="K27" s="123"/>
      <c r="L27" s="91"/>
      <c r="M27" s="102"/>
      <c r="N27" s="91"/>
      <c r="O27" s="146"/>
      <c r="Q27" s="7"/>
    </row>
    <row r="28" spans="2:32">
      <c r="B28" s="888"/>
      <c r="C28" s="902" t="s">
        <v>1332</v>
      </c>
      <c r="D28" s="903"/>
      <c r="E28" s="904"/>
      <c r="F28" s="72"/>
      <c r="G28" s="99"/>
      <c r="H28" s="110"/>
      <c r="I28" s="122">
        <v>15</v>
      </c>
      <c r="J28" s="115">
        <f>$C$4+$E$4</f>
        <v>16</v>
      </c>
      <c r="K28" s="123"/>
      <c r="L28" s="91"/>
      <c r="M28" s="123"/>
      <c r="N28" s="91"/>
      <c r="O28" s="146">
        <f t="shared" si="0"/>
        <v>240</v>
      </c>
      <c r="Q28" s="7"/>
    </row>
    <row r="29" spans="2:32" ht="18" thickBot="1">
      <c r="B29" s="866"/>
      <c r="C29" s="917" t="s">
        <v>248</v>
      </c>
      <c r="D29" s="918"/>
      <c r="E29" s="919"/>
      <c r="F29" s="72"/>
      <c r="G29" s="100"/>
      <c r="H29" s="111"/>
      <c r="I29" s="124"/>
      <c r="J29" s="126"/>
      <c r="K29" s="129"/>
      <c r="L29" s="137"/>
      <c r="M29" s="124"/>
      <c r="N29" s="137"/>
      <c r="O29" s="147">
        <f t="shared" si="0"/>
        <v>0</v>
      </c>
      <c r="Q29" s="7"/>
    </row>
    <row r="30" spans="2:32">
      <c r="B30" s="864" t="str">
        <f>TEXT(C5+3,"m월 d일 aaaa")</f>
        <v>5월 25일 일요일</v>
      </c>
      <c r="C30" s="896" t="s">
        <v>330</v>
      </c>
      <c r="D30" s="897"/>
      <c r="E30" s="898"/>
      <c r="F30" s="72"/>
      <c r="G30" s="98"/>
      <c r="H30" s="109"/>
      <c r="I30" s="119"/>
      <c r="J30" s="109"/>
      <c r="K30" s="128">
        <f>IF(C4+E4&lt;8,'가이드&amp;차량'!C47, IF(C4+E4&lt;=14,'가이드&amp;차량'!C39,'가이드&amp;차량'!C23))</f>
        <v>630</v>
      </c>
      <c r="L30" s="90">
        <f>L10</f>
        <v>1</v>
      </c>
      <c r="M30" s="128">
        <f>'가이드&amp;차량'!C6+'가이드&amp;차량'!C3</f>
        <v>525</v>
      </c>
      <c r="N30" s="90">
        <f>N10</f>
        <v>1</v>
      </c>
      <c r="O30" s="143">
        <f t="shared" si="0"/>
        <v>1155</v>
      </c>
      <c r="Q30" s="159" t="s">
        <v>278</v>
      </c>
    </row>
    <row r="31" spans="2:32">
      <c r="B31" s="944"/>
      <c r="C31" s="907" t="s">
        <v>505</v>
      </c>
      <c r="D31" s="908"/>
      <c r="E31" s="909"/>
      <c r="F31" s="72"/>
      <c r="G31" s="99"/>
      <c r="H31" s="110"/>
      <c r="I31" s="123"/>
      <c r="J31" s="110"/>
      <c r="K31" s="123"/>
      <c r="L31" s="91"/>
      <c r="M31" s="123"/>
      <c r="N31" s="91"/>
      <c r="O31" s="144">
        <f t="shared" si="0"/>
        <v>0</v>
      </c>
    </row>
    <row r="32" spans="2:32">
      <c r="B32" s="888"/>
      <c r="C32" s="876" t="s">
        <v>559</v>
      </c>
      <c r="D32" s="877"/>
      <c r="E32" s="878"/>
      <c r="F32" s="72"/>
      <c r="G32" s="99"/>
      <c r="H32" s="110"/>
      <c r="I32" s="122">
        <f>식사!E19</f>
        <v>17</v>
      </c>
      <c r="J32" s="115">
        <f>$C$4+$E$4</f>
        <v>16</v>
      </c>
      <c r="K32" s="120"/>
      <c r="L32" s="91"/>
      <c r="M32" s="120"/>
      <c r="N32" s="91"/>
      <c r="O32" s="144">
        <f t="shared" si="0"/>
        <v>272</v>
      </c>
    </row>
    <row r="33" spans="2:22">
      <c r="B33" s="888"/>
      <c r="C33" s="879" t="str">
        <f>일정!C27</f>
        <v>가든스바이더베이 2돔 ( 쥬랴기 )</v>
      </c>
      <c r="D33" s="891"/>
      <c r="E33" s="892"/>
      <c r="F33" s="72"/>
      <c r="G33" s="103">
        <f>일정!E27</f>
        <v>28.3</v>
      </c>
      <c r="H33" s="115">
        <f>$C$4+$E$4</f>
        <v>16</v>
      </c>
      <c r="I33" s="123"/>
      <c r="J33" s="110"/>
      <c r="K33" s="161"/>
      <c r="L33" s="138"/>
      <c r="M33" s="161"/>
      <c r="N33" s="138"/>
      <c r="O33" s="148">
        <f t="shared" si="0"/>
        <v>452.8</v>
      </c>
      <c r="V33" s="498"/>
    </row>
    <row r="34" spans="2:22">
      <c r="B34" s="888"/>
      <c r="C34" s="907" t="s">
        <v>595</v>
      </c>
      <c r="D34" s="908"/>
      <c r="E34" s="909"/>
      <c r="F34" s="72"/>
      <c r="G34" s="206"/>
      <c r="H34" s="164"/>
      <c r="I34" s="123"/>
      <c r="J34" s="110"/>
      <c r="K34" s="161"/>
      <c r="L34" s="138"/>
      <c r="M34" s="161"/>
      <c r="N34" s="138"/>
      <c r="O34" s="148"/>
      <c r="V34" s="498"/>
    </row>
    <row r="35" spans="2:22">
      <c r="B35" s="888"/>
      <c r="C35" s="902" t="s">
        <v>298</v>
      </c>
      <c r="D35" s="903"/>
      <c r="E35" s="904"/>
      <c r="F35" s="72"/>
      <c r="G35" s="104"/>
      <c r="H35" s="314"/>
      <c r="I35" s="122">
        <f>식사!E3</f>
        <v>25</v>
      </c>
      <c r="J35" s="115">
        <f>$C$4+$E$4</f>
        <v>16</v>
      </c>
      <c r="K35" s="130"/>
      <c r="L35" s="138"/>
      <c r="M35" s="130"/>
      <c r="N35" s="138"/>
      <c r="O35" s="148">
        <f t="shared" si="0"/>
        <v>400</v>
      </c>
    </row>
    <row r="36" spans="2:22" ht="18" thickBot="1">
      <c r="B36" s="866"/>
      <c r="C36" s="870" t="s">
        <v>1207</v>
      </c>
      <c r="D36" s="871"/>
      <c r="E36" s="500">
        <f>상품리스트!I15</f>
        <v>7.9861111111111105E-2</v>
      </c>
      <c r="F36" s="34"/>
      <c r="G36" s="105"/>
      <c r="H36" s="117"/>
      <c r="I36" s="124"/>
      <c r="J36" s="126"/>
      <c r="K36" s="131"/>
      <c r="L36" s="139"/>
      <c r="M36" s="131"/>
      <c r="N36" s="139"/>
      <c r="O36" s="149">
        <f t="shared" si="0"/>
        <v>0</v>
      </c>
      <c r="P36" s="34"/>
      <c r="Q36" s="34"/>
      <c r="R36" s="34"/>
      <c r="S36" s="34"/>
      <c r="T36" s="34"/>
      <c r="U36" s="34"/>
      <c r="V36" s="498"/>
    </row>
    <row r="37" spans="2:22">
      <c r="B37" s="72"/>
      <c r="C37" s="72"/>
      <c r="D37" s="72"/>
      <c r="E37" s="72"/>
      <c r="F37" s="72"/>
      <c r="G37" s="72"/>
      <c r="H37" s="72"/>
      <c r="K37" s="132">
        <f>SUM(K10:K36)</f>
        <v>2170</v>
      </c>
      <c r="L37" s="72"/>
      <c r="M37" s="132">
        <f>SUM(M10:M36)</f>
        <v>1425</v>
      </c>
      <c r="N37" s="72"/>
      <c r="O37" s="150"/>
      <c r="P37" s="156"/>
    </row>
    <row r="38" spans="2:22">
      <c r="O38" s="150"/>
    </row>
    <row r="39" spans="2:22">
      <c r="B39" s="872" t="s">
        <v>246</v>
      </c>
      <c r="C39" s="873" t="s">
        <v>288</v>
      </c>
      <c r="D39" s="874"/>
      <c r="E39" s="875"/>
      <c r="F39" s="34"/>
      <c r="G39" s="862">
        <f>$C$4+$E$4</f>
        <v>16</v>
      </c>
      <c r="H39" s="863"/>
      <c r="I39" s="854">
        <v>3</v>
      </c>
      <c r="J39" s="854"/>
      <c r="K39" s="855">
        <v>1</v>
      </c>
      <c r="L39" s="855"/>
      <c r="M39" s="855"/>
      <c r="N39" s="855"/>
      <c r="O39" s="151">
        <f>G39*I39*K39</f>
        <v>48</v>
      </c>
    </row>
    <row r="40" spans="2:22" ht="18" thickBot="1">
      <c r="B40" s="827"/>
      <c r="C40" s="856" t="s">
        <v>451</v>
      </c>
      <c r="D40" s="857"/>
      <c r="E40" s="858"/>
      <c r="F40" s="34"/>
      <c r="G40" s="859">
        <v>50</v>
      </c>
      <c r="H40" s="860"/>
      <c r="I40" s="860"/>
      <c r="J40" s="860"/>
      <c r="K40" s="861">
        <f>C4</f>
        <v>16</v>
      </c>
      <c r="L40" s="861"/>
      <c r="M40" s="861"/>
      <c r="N40" s="861"/>
      <c r="O40" s="152">
        <f>G40*K40</f>
        <v>800</v>
      </c>
      <c r="V40" s="493"/>
    </row>
    <row r="41" spans="2:22" ht="18" thickBot="1">
      <c r="O41" s="150"/>
      <c r="V41" s="493"/>
    </row>
    <row r="42" spans="2:22" ht="16.5" customHeight="1">
      <c r="B42" s="961" t="s">
        <v>337</v>
      </c>
      <c r="C42" s="1021" t="s">
        <v>251</v>
      </c>
      <c r="D42" s="1022"/>
      <c r="E42" s="1023"/>
      <c r="F42" s="165"/>
      <c r="G42" s="967"/>
      <c r="H42" s="1024"/>
      <c r="I42" s="969">
        <f>일정!G24</f>
        <v>30</v>
      </c>
      <c r="J42" s="970"/>
      <c r="K42" s="1044">
        <f>C4</f>
        <v>16</v>
      </c>
      <c r="L42" s="1044"/>
      <c r="M42" s="1044"/>
      <c r="N42" s="1045"/>
      <c r="O42" s="153">
        <f>G42*I42*K42</f>
        <v>0</v>
      </c>
      <c r="V42" s="493"/>
    </row>
    <row r="43" spans="2:22">
      <c r="B43" s="1019"/>
      <c r="C43" s="1025" t="s">
        <v>250</v>
      </c>
      <c r="D43" s="1026"/>
      <c r="E43" s="1027"/>
      <c r="F43" s="165"/>
      <c r="G43" s="977"/>
      <c r="H43" s="1028"/>
      <c r="I43" s="979">
        <f>일정!G30</f>
        <v>28</v>
      </c>
      <c r="J43" s="980"/>
      <c r="K43" s="1046">
        <f>C4</f>
        <v>16</v>
      </c>
      <c r="L43" s="1047"/>
      <c r="M43" s="1047"/>
      <c r="N43" s="1048"/>
      <c r="O43" s="154">
        <f>G43*I43*K43</f>
        <v>0</v>
      </c>
      <c r="V43" s="493"/>
    </row>
    <row r="44" spans="2:22">
      <c r="B44" s="1019"/>
      <c r="C44" s="1025" t="s">
        <v>249</v>
      </c>
      <c r="D44" s="1026"/>
      <c r="E44" s="1027"/>
      <c r="F44" s="165"/>
      <c r="G44" s="977"/>
      <c r="H44" s="1028"/>
      <c r="I44" s="979">
        <f>일정!G35</f>
        <v>36</v>
      </c>
      <c r="J44" s="980"/>
      <c r="K44" s="1046">
        <f>C4</f>
        <v>16</v>
      </c>
      <c r="L44" s="1047"/>
      <c r="M44" s="1047"/>
      <c r="N44" s="1048"/>
      <c r="O44" s="154">
        <f>G44*I44*K44</f>
        <v>0</v>
      </c>
    </row>
    <row r="45" spans="2:22">
      <c r="B45" s="1019"/>
      <c r="C45" s="1025" t="s">
        <v>336</v>
      </c>
      <c r="D45" s="1026"/>
      <c r="E45" s="1027"/>
      <c r="F45" s="165"/>
      <c r="G45" s="977"/>
      <c r="H45" s="1028"/>
      <c r="I45" s="979">
        <f>일정!G13</f>
        <v>19</v>
      </c>
      <c r="J45" s="980"/>
      <c r="K45" s="1046">
        <f>C4</f>
        <v>16</v>
      </c>
      <c r="L45" s="1047"/>
      <c r="M45" s="1047"/>
      <c r="N45" s="1048"/>
      <c r="O45" s="154">
        <f>G45*I45*K45</f>
        <v>0</v>
      </c>
    </row>
    <row r="46" spans="2:22" ht="18" thickBot="1">
      <c r="B46" s="1020"/>
      <c r="C46" s="1030" t="s">
        <v>252</v>
      </c>
      <c r="D46" s="1031"/>
      <c r="E46" s="1032"/>
      <c r="F46" s="165"/>
      <c r="G46" s="989"/>
      <c r="H46" s="1033"/>
      <c r="I46" s="991">
        <f>일정!G29</f>
        <v>40</v>
      </c>
      <c r="J46" s="992"/>
      <c r="K46" s="1049">
        <f>C4</f>
        <v>16</v>
      </c>
      <c r="L46" s="1050"/>
      <c r="M46" s="1050"/>
      <c r="N46" s="1051"/>
      <c r="O46" s="215">
        <f>G46*I46*K46</f>
        <v>0</v>
      </c>
    </row>
  </sheetData>
  <mergeCells count="80"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  <mergeCell ref="H7:K7"/>
    <mergeCell ref="M8:N8"/>
    <mergeCell ref="O8:O9"/>
    <mergeCell ref="B10:B12"/>
    <mergeCell ref="C10:D10"/>
    <mergeCell ref="C11:E11"/>
    <mergeCell ref="C12:E12"/>
    <mergeCell ref="G8:H8"/>
    <mergeCell ref="I8:J8"/>
    <mergeCell ref="K8:L8"/>
    <mergeCell ref="B13:B21"/>
    <mergeCell ref="C13:E13"/>
    <mergeCell ref="C16:E16"/>
    <mergeCell ref="C17:E17"/>
    <mergeCell ref="C18:E18"/>
    <mergeCell ref="C19:E19"/>
    <mergeCell ref="C20:E20"/>
    <mergeCell ref="C21:E21"/>
    <mergeCell ref="C14:E14"/>
    <mergeCell ref="C15:E15"/>
    <mergeCell ref="B22:B29"/>
    <mergeCell ref="C22:E22"/>
    <mergeCell ref="C23:E23"/>
    <mergeCell ref="C25:E25"/>
    <mergeCell ref="C26:E26"/>
    <mergeCell ref="C28:E28"/>
    <mergeCell ref="C29:E29"/>
    <mergeCell ref="C24:E24"/>
    <mergeCell ref="C27:E27"/>
    <mergeCell ref="B30:B36"/>
    <mergeCell ref="C30:E30"/>
    <mergeCell ref="C31:E31"/>
    <mergeCell ref="C32:E32"/>
    <mergeCell ref="C33:E33"/>
    <mergeCell ref="C35:E35"/>
    <mergeCell ref="C36:D36"/>
    <mergeCell ref="C34:E34"/>
    <mergeCell ref="B39:B40"/>
    <mergeCell ref="C39:E39"/>
    <mergeCell ref="G39:H39"/>
    <mergeCell ref="I39:J39"/>
    <mergeCell ref="K39:N39"/>
    <mergeCell ref="C40:E40"/>
    <mergeCell ref="G40:J40"/>
    <mergeCell ref="K40:N40"/>
    <mergeCell ref="B42:B46"/>
    <mergeCell ref="C42:E42"/>
    <mergeCell ref="G42:H42"/>
    <mergeCell ref="I42:J42"/>
    <mergeCell ref="K42:N42"/>
    <mergeCell ref="C43:E43"/>
    <mergeCell ref="G43:H43"/>
    <mergeCell ref="I43:J43"/>
    <mergeCell ref="K43:N43"/>
    <mergeCell ref="C44:E44"/>
    <mergeCell ref="C46:E46"/>
    <mergeCell ref="G46:H46"/>
    <mergeCell ref="I46:J46"/>
    <mergeCell ref="K46:N46"/>
    <mergeCell ref="G44:H44"/>
    <mergeCell ref="I44:J44"/>
    <mergeCell ref="K44:N44"/>
    <mergeCell ref="C45:E45"/>
    <mergeCell ref="G45:H45"/>
    <mergeCell ref="I45:J45"/>
    <mergeCell ref="K45:N45"/>
  </mergeCells>
  <phoneticPr fontId="1" type="noConversion"/>
  <hyperlinks>
    <hyperlink ref="A1" location="상품리스트!A1" display="home" xr:uid="{D8D9BD5A-DE08-4DCB-9FA4-7125801EEC68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1CF1-8B17-4DC0-89B8-5EEC98F602AD}">
  <dimension ref="A1:AF46"/>
  <sheetViews>
    <sheetView workbookViewId="0">
      <selection activeCell="C3" sqref="C3:E3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7" max="27" width="1.1640625" customWidth="1"/>
    <col min="28" max="28" width="20.1640625" customWidth="1"/>
    <col min="29" max="30" width="4.5" bestFit="1" customWidth="1"/>
    <col min="31" max="32" width="4.1640625" bestFit="1" customWidth="1"/>
  </cols>
  <sheetData>
    <row r="1" spans="1:32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12.5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2">
      <c r="B2" s="73" t="s">
        <v>238</v>
      </c>
      <c r="C2" s="923" t="s">
        <v>1246</v>
      </c>
      <c r="D2" s="923"/>
      <c r="E2" s="924"/>
      <c r="F2" s="72"/>
      <c r="G2" s="921"/>
      <c r="H2" s="925">
        <f>C5</f>
        <v>45799</v>
      </c>
      <c r="I2" s="926"/>
      <c r="J2" s="927" t="str">
        <f>AB2</f>
        <v>Mercure Stevens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195</v>
      </c>
      <c r="M2" s="140">
        <f>$I$1+$K$1</f>
        <v>12.5</v>
      </c>
      <c r="N2" s="106">
        <f>L2*M2</f>
        <v>2437.5</v>
      </c>
      <c r="O2" s="929">
        <f>SUM(N2:N6)</f>
        <v>7312.5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925</v>
      </c>
      <c r="AC2" s="10">
        <v>195</v>
      </c>
      <c r="AD2" s="10">
        <v>195</v>
      </c>
    </row>
    <row r="3" spans="1:32" ht="28">
      <c r="B3" s="74" t="s">
        <v>239</v>
      </c>
      <c r="C3" s="938" t="s">
        <v>964</v>
      </c>
      <c r="D3" s="938"/>
      <c r="E3" s="770"/>
      <c r="F3" s="72"/>
      <c r="G3" s="921"/>
      <c r="H3" s="925">
        <f>H2+1</f>
        <v>45800</v>
      </c>
      <c r="I3" s="926"/>
      <c r="J3" s="927" t="str">
        <f>J2</f>
        <v>Mercure Stevens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195</v>
      </c>
      <c r="M3" s="140">
        <f>$I$1+$K$1</f>
        <v>12.5</v>
      </c>
      <c r="N3" s="106">
        <f>L3*M3</f>
        <v>2437.5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2" ht="18" thickBot="1">
      <c r="B4" s="75" t="s">
        <v>241</v>
      </c>
      <c r="C4" s="81">
        <v>25</v>
      </c>
      <c r="D4" s="84" t="s">
        <v>253</v>
      </c>
      <c r="E4" s="92">
        <v>0</v>
      </c>
      <c r="F4" s="72"/>
      <c r="G4" s="921"/>
      <c r="H4" s="925">
        <f>H3+1</f>
        <v>45801</v>
      </c>
      <c r="I4" s="926"/>
      <c r="J4" s="927" t="str">
        <f>J2</f>
        <v>Mercure Stevens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195</v>
      </c>
      <c r="M4" s="141">
        <f>$I$1+$K$1</f>
        <v>12.5</v>
      </c>
      <c r="N4" s="106">
        <f>L4*M4</f>
        <v>2437.5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tr">
        <f>'25메인호텔'!F2</f>
        <v>Momentus</v>
      </c>
      <c r="AC4" s="35">
        <f>'25메인호텔'!G2</f>
        <v>190</v>
      </c>
      <c r="AD4" s="35">
        <f>'25메인호텔'!H2</f>
        <v>180</v>
      </c>
      <c r="AE4" s="34"/>
      <c r="AF4" s="34"/>
    </row>
    <row r="5" spans="1:32" ht="18" thickBot="1">
      <c r="B5" s="76" t="s">
        <v>242</v>
      </c>
      <c r="C5" s="82">
        <v>45799</v>
      </c>
      <c r="D5" s="85">
        <v>3</v>
      </c>
      <c r="E5" s="93">
        <f>C5+D5</f>
        <v>45802</v>
      </c>
      <c r="F5" s="72"/>
      <c r="G5" s="921"/>
      <c r="H5" s="925"/>
      <c r="I5" s="926"/>
      <c r="J5" s="939"/>
      <c r="K5" s="940"/>
      <c r="L5" s="135"/>
      <c r="M5" s="140"/>
      <c r="N5" s="106"/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tr">
        <f>'25메인호텔'!F3</f>
        <v>Aloft Novena</v>
      </c>
      <c r="AC5" s="35">
        <f>'25메인호텔'!G3</f>
        <v>180</v>
      </c>
      <c r="AD5" s="35">
        <f>'25메인호텔'!H3</f>
        <v>180</v>
      </c>
      <c r="AE5" s="34"/>
      <c r="AF5" s="34"/>
    </row>
    <row r="6" spans="1:32" ht="17.25" customHeight="1" thickBot="1">
      <c r="B6" s="77" t="s">
        <v>243</v>
      </c>
      <c r="C6" s="83">
        <f>(SUM(O10:O46)+O2)/C4+R2+T5</f>
        <v>644.1</v>
      </c>
      <c r="D6" s="86" t="s">
        <v>254</v>
      </c>
      <c r="E6" s="94">
        <f>C6*$E$1</f>
        <v>708510</v>
      </c>
      <c r="F6" s="72"/>
      <c r="G6" s="922"/>
      <c r="H6" s="925"/>
      <c r="I6" s="926"/>
      <c r="J6" s="935"/>
      <c r="K6" s="935"/>
      <c r="L6" s="136"/>
      <c r="M6" s="89"/>
      <c r="N6" s="107"/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tr">
        <f>'25메인호텔'!F4</f>
        <v>Mercure Stevens</v>
      </c>
      <c r="AC6" s="35">
        <f>'25메인호텔'!G4</f>
        <v>180</v>
      </c>
      <c r="AD6" s="35">
        <f>'25메인호텔'!H4</f>
        <v>180</v>
      </c>
      <c r="AE6" s="34"/>
      <c r="AF6" s="34"/>
    </row>
    <row r="7" spans="1:32" ht="18" thickBot="1">
      <c r="B7" s="78" t="s">
        <v>244</v>
      </c>
      <c r="C7" s="183">
        <v>5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tr">
        <f>'25메인호텔'!F5</f>
        <v>M Hotel City Centre</v>
      </c>
      <c r="AC7" s="35">
        <f>'25메인호텔'!G5</f>
        <v>230</v>
      </c>
      <c r="AD7" s="35">
        <f>'25메인호텔'!H5</f>
        <v>230</v>
      </c>
      <c r="AE7" s="34"/>
      <c r="AF7" s="34"/>
    </row>
    <row r="8" spans="1:32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tr">
        <f>'25메인호텔'!F6</f>
        <v>Concorde Hotel</v>
      </c>
      <c r="AC8" s="35">
        <f>'25메인호텔'!G6</f>
        <v>230</v>
      </c>
      <c r="AD8" s="35">
        <f>'25메인호텔'!H6</f>
        <v>230</v>
      </c>
      <c r="AE8" s="34"/>
      <c r="AF8" s="34"/>
    </row>
    <row r="9" spans="1:32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tr">
        <f>'25메인호텔'!F7</f>
        <v>Oasia Novena</v>
      </c>
      <c r="AC9" s="35">
        <f>'25메인호텔'!G7</f>
        <v>210</v>
      </c>
      <c r="AD9" s="35">
        <f>'25메인호텔'!H7</f>
        <v>210</v>
      </c>
      <c r="AE9" s="34"/>
      <c r="AF9" s="34"/>
    </row>
    <row r="10" spans="1:32">
      <c r="B10" s="905" t="str">
        <f>TEXT(C5,"m월 d일 aaaa")</f>
        <v>5월 22일 목요일</v>
      </c>
      <c r="C10" s="867" t="s">
        <v>960</v>
      </c>
      <c r="D10" s="916"/>
      <c r="E10" s="499">
        <f>상품리스트!F17</f>
        <v>0.82986111111111116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280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430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tr">
        <f>'25메인호텔'!F8</f>
        <v>Orchid Hotel</v>
      </c>
      <c r="AC10" s="35">
        <f>'25메인호텔'!G8</f>
        <v>220</v>
      </c>
      <c r="AD10" s="35">
        <f>'25메인호텔'!H8</f>
        <v>220</v>
      </c>
      <c r="AE10" s="34"/>
      <c r="AF10" s="34"/>
    </row>
    <row r="11" spans="1:32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6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tr">
        <f>'25메인호텔'!F9</f>
        <v>Amara Singapore</v>
      </c>
      <c r="AC11" s="35">
        <f>'25메인호텔'!G9</f>
        <v>230</v>
      </c>
      <c r="AD11" s="35">
        <f>'25메인호텔'!H9</f>
        <v>230</v>
      </c>
      <c r="AE11" s="34"/>
      <c r="AF11" s="34"/>
    </row>
    <row r="12" spans="1:32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tr">
        <f>'25메인호텔'!F10</f>
        <v>Orchard Hotel</v>
      </c>
      <c r="AC12" s="35">
        <f>'25메인호텔'!G10</f>
        <v>240</v>
      </c>
      <c r="AD12" s="35">
        <f>'25메인호텔'!H10</f>
        <v>240</v>
      </c>
      <c r="AE12" s="34"/>
      <c r="AF12" s="34"/>
    </row>
    <row r="13" spans="1:32">
      <c r="B13" s="905" t="str">
        <f>TEXT(C5+1,"m월 d일 aaaa")</f>
        <v>5월 23일 금요일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630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1005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tr">
        <f>'25메인호텔'!F11</f>
        <v>Grand Copthorne</v>
      </c>
      <c r="AC13" s="35">
        <f>'25메인호텔'!G11</f>
        <v>240</v>
      </c>
      <c r="AD13" s="35">
        <f>'25메인호텔'!H11</f>
        <v>240</v>
      </c>
      <c r="AE13" s="34"/>
      <c r="AF13" s="34"/>
    </row>
    <row r="14" spans="1:32">
      <c r="B14" s="865"/>
      <c r="C14" s="907" t="s">
        <v>1216</v>
      </c>
      <c r="D14" s="908"/>
      <c r="E14" s="909"/>
      <c r="F14" s="72"/>
      <c r="G14" s="340"/>
      <c r="H14" s="341"/>
      <c r="I14" s="342"/>
      <c r="J14" s="343"/>
      <c r="K14" s="344"/>
      <c r="L14" s="345"/>
      <c r="M14" s="344"/>
      <c r="N14" s="345"/>
      <c r="O14" s="466"/>
      <c r="Q14" s="159"/>
      <c r="V14" s="190"/>
      <c r="W14" s="189"/>
      <c r="X14" s="189"/>
      <c r="Y14" s="188"/>
      <c r="AB14" s="496" t="str">
        <f>'25메인호텔'!F12</f>
        <v>Mercure Tyrwhitt</v>
      </c>
      <c r="AC14" s="35">
        <f>'25메인호텔'!G12</f>
        <v>170</v>
      </c>
      <c r="AD14" s="35">
        <f>'25메인호텔'!H12</f>
        <v>170</v>
      </c>
      <c r="AE14" s="34"/>
      <c r="AF14" s="34"/>
    </row>
    <row r="15" spans="1:32">
      <c r="B15" s="865"/>
      <c r="C15" s="907" t="s">
        <v>1217</v>
      </c>
      <c r="D15" s="908"/>
      <c r="E15" s="909"/>
      <c r="F15" s="72"/>
      <c r="G15" s="340"/>
      <c r="H15" s="341"/>
      <c r="I15" s="342"/>
      <c r="J15" s="343"/>
      <c r="K15" s="344"/>
      <c r="L15" s="345"/>
      <c r="M15" s="344"/>
      <c r="N15" s="345"/>
      <c r="O15" s="466"/>
      <c r="Q15" s="159"/>
      <c r="V15" s="190"/>
      <c r="W15" s="189"/>
      <c r="X15" s="189"/>
      <c r="Y15" s="188"/>
      <c r="AB15" s="496" t="str">
        <f>'25메인호텔'!F13</f>
        <v>Hotel Boss</v>
      </c>
      <c r="AC15" s="35">
        <f>'25메인호텔'!G13</f>
        <v>185</v>
      </c>
      <c r="AD15" s="35">
        <f>'25메인호텔'!H13</f>
        <v>185</v>
      </c>
      <c r="AE15" s="34"/>
      <c r="AF15" s="34"/>
    </row>
    <row r="16" spans="1:32">
      <c r="B16" s="865"/>
      <c r="C16" s="876" t="s">
        <v>1218</v>
      </c>
      <c r="D16" s="877"/>
      <c r="E16" s="878"/>
      <c r="F16" s="72"/>
      <c r="G16" s="99"/>
      <c r="H16" s="110"/>
      <c r="I16" s="122">
        <f>식사!E7</f>
        <v>18</v>
      </c>
      <c r="J16" s="115">
        <f>$C$4+$E$4</f>
        <v>25</v>
      </c>
      <c r="K16" s="120"/>
      <c r="L16" s="91"/>
      <c r="M16" s="120"/>
      <c r="N16" s="91"/>
      <c r="O16" s="144">
        <f t="shared" si="0"/>
        <v>450</v>
      </c>
      <c r="Q16" s="7"/>
      <c r="V16" s="190" t="str">
        <f>서차지!B15</f>
        <v>National Day</v>
      </c>
      <c r="W16" s="189">
        <f>서차지!C15</f>
        <v>0</v>
      </c>
      <c r="X16" s="189">
        <f>서차지!D15</f>
        <v>0</v>
      </c>
      <c r="Y16" s="188">
        <f>서차지!E15</f>
        <v>0</v>
      </c>
      <c r="AB16" s="496" t="str">
        <f>'25메인호텔'!F14</f>
        <v>V Hotel Lavender</v>
      </c>
      <c r="AC16" s="35">
        <f>'25메인호텔'!G14</f>
        <v>185</v>
      </c>
      <c r="AD16" s="35">
        <f>'25메인호텔'!H14</f>
        <v>185</v>
      </c>
      <c r="AE16" s="34"/>
      <c r="AF16" s="34"/>
    </row>
    <row r="17" spans="2:32">
      <c r="B17" s="865"/>
      <c r="C17" s="882" t="s">
        <v>1221</v>
      </c>
      <c r="D17" s="883"/>
      <c r="E17" s="884"/>
      <c r="F17" s="72"/>
      <c r="G17" s="103">
        <f>일정!E10+일정!E20</f>
        <v>53.5</v>
      </c>
      <c r="H17" s="115">
        <f>$C$4+$E$4</f>
        <v>25</v>
      </c>
      <c r="I17" s="123"/>
      <c r="J17" s="110"/>
      <c r="K17" s="123"/>
      <c r="L17" s="91"/>
      <c r="M17" s="123"/>
      <c r="N17" s="91"/>
      <c r="O17" s="144">
        <f t="shared" si="0"/>
        <v>1337.5</v>
      </c>
      <c r="Q17" s="7"/>
      <c r="AB17" s="496" t="str">
        <f>'25메인호텔'!F15</f>
        <v>IbIs Novena</v>
      </c>
      <c r="AC17" s="35">
        <f>'25메인호텔'!G15</f>
        <v>155</v>
      </c>
      <c r="AD17" s="35">
        <f>'25메인호텔'!H15</f>
        <v>155</v>
      </c>
      <c r="AE17" s="34"/>
      <c r="AF17" s="34"/>
    </row>
    <row r="18" spans="2:32">
      <c r="B18" s="865"/>
      <c r="C18" s="907" t="s">
        <v>553</v>
      </c>
      <c r="D18" s="908"/>
      <c r="E18" s="909"/>
      <c r="F18" s="560"/>
      <c r="G18" s="355"/>
      <c r="H18" s="113"/>
      <c r="I18" s="554"/>
      <c r="J18" s="114">
        <f>$C$4+$E$4</f>
        <v>25</v>
      </c>
      <c r="K18" s="123"/>
      <c r="L18" s="91"/>
      <c r="M18" s="123"/>
      <c r="N18" s="91"/>
      <c r="O18" s="144">
        <f>(G18*H18)+(I18*J18)+(K18*L18)+(M18*N18)</f>
        <v>0</v>
      </c>
      <c r="AB18" s="496" t="str">
        <f>'25메인호텔'!F16</f>
        <v xml:space="preserve">IbIs bencoolen </v>
      </c>
      <c r="AC18" s="35">
        <f>'25메인호텔'!G16</f>
        <v>185</v>
      </c>
      <c r="AD18" s="35">
        <f>'25메인호텔'!H16</f>
        <v>185</v>
      </c>
      <c r="AE18" s="34"/>
      <c r="AF18" s="34"/>
    </row>
    <row r="19" spans="2:32">
      <c r="B19" s="865"/>
      <c r="C19" s="876" t="s">
        <v>651</v>
      </c>
      <c r="D19" s="877"/>
      <c r="E19" s="878"/>
      <c r="F19" s="72"/>
      <c r="G19" s="104"/>
      <c r="H19" s="116"/>
      <c r="I19" s="122">
        <f>식사!E21</f>
        <v>18</v>
      </c>
      <c r="J19" s="115">
        <f>$C$4+$E$4</f>
        <v>25</v>
      </c>
      <c r="K19" s="130"/>
      <c r="L19" s="138"/>
      <c r="M19" s="130"/>
      <c r="N19" s="138"/>
      <c r="O19" s="148">
        <f>(G19*H19)+(I19*J19)+(K19*L19)+(M19*N19)</f>
        <v>450</v>
      </c>
      <c r="AB19" s="497" t="str">
        <f>'25메인호텔'!F17</f>
        <v>Oasia Sentosa</v>
      </c>
      <c r="AC19" s="35">
        <f>'25메인호텔'!G17</f>
        <v>240</v>
      </c>
      <c r="AD19" s="35">
        <f>'25메인호텔'!H17</f>
        <v>240</v>
      </c>
      <c r="AE19" s="34"/>
      <c r="AF19" s="34"/>
    </row>
    <row r="20" spans="2:32">
      <c r="B20" s="865"/>
      <c r="C20" s="941" t="s">
        <v>325</v>
      </c>
      <c r="D20" s="911"/>
      <c r="E20" s="912"/>
      <c r="F20" s="72"/>
      <c r="G20" s="205"/>
      <c r="H20" s="115"/>
      <c r="I20" s="102"/>
      <c r="J20" s="115"/>
      <c r="K20" s="120"/>
      <c r="L20" s="91"/>
      <c r="M20" s="120"/>
      <c r="N20" s="91"/>
      <c r="O20" s="144">
        <f t="shared" si="0"/>
        <v>0</v>
      </c>
      <c r="Q20" s="7"/>
      <c r="AB20" s="497" t="str">
        <f>'25메인호텔'!F18</f>
        <v>Swissotel The stamford</v>
      </c>
      <c r="AC20" s="35">
        <f>'25메인호텔'!G18</f>
        <v>540</v>
      </c>
      <c r="AD20" s="35">
        <f>'25메인호텔'!H18</f>
        <v>540</v>
      </c>
      <c r="AE20" s="34" t="e">
        <f>'25메인호텔'!#REF!</f>
        <v>#REF!</v>
      </c>
      <c r="AF20" s="34" t="e">
        <f>'25메인호텔'!#REF!</f>
        <v>#REF!</v>
      </c>
    </row>
    <row r="21" spans="2:32" ht="18" thickBot="1">
      <c r="B21" s="906"/>
      <c r="C21" s="893" t="s">
        <v>1005</v>
      </c>
      <c r="D21" s="894"/>
      <c r="E21" s="895"/>
      <c r="F21" s="72"/>
      <c r="G21" s="102"/>
      <c r="H21" s="115"/>
      <c r="I21" s="123"/>
      <c r="J21" s="110"/>
      <c r="K21" s="123"/>
      <c r="L21" s="91"/>
      <c r="M21" s="123"/>
      <c r="N21" s="91"/>
      <c r="O21" s="144">
        <f t="shared" si="0"/>
        <v>0</v>
      </c>
      <c r="Q21" s="7"/>
    </row>
    <row r="22" spans="2:32">
      <c r="B22" s="864" t="str">
        <f>TEXT(C5+2,"m월 d일 aaaa")</f>
        <v>5월 24일 토요일</v>
      </c>
      <c r="C22" s="896" t="s">
        <v>240</v>
      </c>
      <c r="D22" s="897"/>
      <c r="E22" s="898"/>
      <c r="F22" s="72"/>
      <c r="G22" s="98"/>
      <c r="H22" s="109"/>
      <c r="I22" s="119"/>
      <c r="J22" s="109"/>
      <c r="K22" s="128">
        <f>IF(C4+E4&lt;8,'가이드&amp;차량'!C47, IF(C4+E4&lt;=14,'가이드&amp;차량'!C39,'가이드&amp;차량'!C23))</f>
        <v>630</v>
      </c>
      <c r="L22" s="90">
        <f>L10</f>
        <v>1</v>
      </c>
      <c r="M22" s="128">
        <f>'가이드&amp;차량'!C6</f>
        <v>375</v>
      </c>
      <c r="N22" s="90">
        <f>N10</f>
        <v>1</v>
      </c>
      <c r="O22" s="143">
        <f t="shared" si="0"/>
        <v>1005</v>
      </c>
      <c r="Q22" s="159" t="s">
        <v>277</v>
      </c>
    </row>
    <row r="23" spans="2:32">
      <c r="B23" s="944"/>
      <c r="C23" s="907" t="s">
        <v>1222</v>
      </c>
      <c r="D23" s="908"/>
      <c r="E23" s="909"/>
      <c r="F23" s="72"/>
      <c r="G23" s="99"/>
      <c r="H23" s="110"/>
      <c r="I23" s="102"/>
      <c r="J23" s="115"/>
      <c r="K23" s="123"/>
      <c r="L23" s="91"/>
      <c r="M23" s="102"/>
      <c r="N23" s="91"/>
      <c r="O23" s="146">
        <f t="shared" si="0"/>
        <v>0</v>
      </c>
      <c r="Q23" s="7"/>
      <c r="V23" s="498"/>
    </row>
    <row r="24" spans="2:32">
      <c r="B24" s="944"/>
      <c r="C24" s="907" t="s">
        <v>687</v>
      </c>
      <c r="D24" s="908"/>
      <c r="E24" s="909"/>
      <c r="F24" s="72"/>
      <c r="G24" s="99"/>
      <c r="H24" s="110"/>
      <c r="I24" s="102"/>
      <c r="J24" s="115"/>
      <c r="K24" s="123"/>
      <c r="L24" s="91"/>
      <c r="M24" s="102"/>
      <c r="N24" s="91"/>
      <c r="O24" s="146"/>
      <c r="Q24" s="7"/>
      <c r="V24" s="498"/>
    </row>
    <row r="25" spans="2:32">
      <c r="B25" s="944"/>
      <c r="C25" s="876" t="s">
        <v>507</v>
      </c>
      <c r="D25" s="877"/>
      <c r="E25" s="878"/>
      <c r="F25" s="72"/>
      <c r="G25" s="99"/>
      <c r="H25" s="110"/>
      <c r="I25" s="122">
        <f>식사!E12</f>
        <v>15</v>
      </c>
      <c r="J25" s="115">
        <f>$C$4+$E$4</f>
        <v>25</v>
      </c>
      <c r="K25" s="120"/>
      <c r="L25" s="91"/>
      <c r="M25" s="120"/>
      <c r="N25" s="91"/>
      <c r="O25" s="144">
        <f>(G25*H25)+(I25*J25)+(K25*L25)+(M25*N25)</f>
        <v>375</v>
      </c>
      <c r="Q25" s="7"/>
    </row>
    <row r="26" spans="2:32">
      <c r="B26" s="888"/>
      <c r="C26" s="907" t="s">
        <v>876</v>
      </c>
      <c r="D26" s="908"/>
      <c r="E26" s="909"/>
      <c r="F26" s="72"/>
      <c r="G26" s="99"/>
      <c r="H26" s="110"/>
      <c r="I26" s="102"/>
      <c r="J26" s="115"/>
      <c r="K26" s="123"/>
      <c r="L26" s="91"/>
      <c r="M26" s="102"/>
      <c r="N26" s="91"/>
      <c r="O26" s="146">
        <f t="shared" si="0"/>
        <v>0</v>
      </c>
      <c r="Q26" s="7"/>
    </row>
    <row r="27" spans="2:32">
      <c r="B27" s="888"/>
      <c r="C27" s="907" t="s">
        <v>995</v>
      </c>
      <c r="D27" s="908"/>
      <c r="E27" s="909"/>
      <c r="F27" s="72"/>
      <c r="G27" s="99"/>
      <c r="H27" s="110"/>
      <c r="I27" s="102"/>
      <c r="J27" s="115"/>
      <c r="K27" s="123"/>
      <c r="L27" s="91"/>
      <c r="M27" s="102"/>
      <c r="N27" s="91"/>
      <c r="O27" s="146"/>
      <c r="Q27" s="7"/>
    </row>
    <row r="28" spans="2:32">
      <c r="B28" s="888"/>
      <c r="C28" s="902" t="s">
        <v>971</v>
      </c>
      <c r="D28" s="903"/>
      <c r="E28" s="904"/>
      <c r="F28" s="72"/>
      <c r="G28" s="99"/>
      <c r="H28" s="110"/>
      <c r="I28" s="122">
        <f>식사!E39</f>
        <v>20</v>
      </c>
      <c r="J28" s="115">
        <f>$C$4+$E$4</f>
        <v>25</v>
      </c>
      <c r="K28" s="123"/>
      <c r="L28" s="91"/>
      <c r="M28" s="123"/>
      <c r="N28" s="91"/>
      <c r="O28" s="146">
        <f t="shared" si="0"/>
        <v>500</v>
      </c>
      <c r="Q28" s="7"/>
    </row>
    <row r="29" spans="2:32" ht="18" thickBot="1">
      <c r="B29" s="866"/>
      <c r="C29" s="917" t="s">
        <v>248</v>
      </c>
      <c r="D29" s="918"/>
      <c r="E29" s="919"/>
      <c r="F29" s="72"/>
      <c r="G29" s="100"/>
      <c r="H29" s="111"/>
      <c r="I29" s="124"/>
      <c r="J29" s="126"/>
      <c r="K29" s="129"/>
      <c r="L29" s="137"/>
      <c r="M29" s="124"/>
      <c r="N29" s="137"/>
      <c r="O29" s="147">
        <f t="shared" si="0"/>
        <v>0</v>
      </c>
      <c r="Q29" s="7"/>
    </row>
    <row r="30" spans="2:32">
      <c r="B30" s="864" t="str">
        <f>TEXT(C5+3,"m월 d일 aaaa")</f>
        <v>5월 25일 일요일</v>
      </c>
      <c r="C30" s="896" t="s">
        <v>330</v>
      </c>
      <c r="D30" s="897"/>
      <c r="E30" s="898"/>
      <c r="F30" s="72"/>
      <c r="G30" s="98"/>
      <c r="H30" s="109"/>
      <c r="I30" s="119"/>
      <c r="J30" s="109"/>
      <c r="K30" s="128">
        <f>IF(C4+E4&lt;8,'가이드&amp;차량'!C47, IF(C4+E4&lt;=14,'가이드&amp;차량'!C39,'가이드&amp;차량'!C23))</f>
        <v>630</v>
      </c>
      <c r="L30" s="90">
        <f>L10</f>
        <v>1</v>
      </c>
      <c r="M30" s="128">
        <f>'가이드&amp;차량'!C6+'가이드&amp;차량'!C3</f>
        <v>525</v>
      </c>
      <c r="N30" s="90">
        <f>N10</f>
        <v>1</v>
      </c>
      <c r="O30" s="143">
        <f t="shared" si="0"/>
        <v>1155</v>
      </c>
      <c r="Q30" s="159" t="s">
        <v>278</v>
      </c>
    </row>
    <row r="31" spans="2:32">
      <c r="B31" s="944"/>
      <c r="C31" s="907" t="s">
        <v>505</v>
      </c>
      <c r="D31" s="908"/>
      <c r="E31" s="909"/>
      <c r="F31" s="72"/>
      <c r="G31" s="99"/>
      <c r="H31" s="110"/>
      <c r="I31" s="123"/>
      <c r="J31" s="110"/>
      <c r="K31" s="123"/>
      <c r="L31" s="91"/>
      <c r="M31" s="123"/>
      <c r="N31" s="91"/>
      <c r="O31" s="144">
        <f t="shared" si="0"/>
        <v>0</v>
      </c>
    </row>
    <row r="32" spans="2:32">
      <c r="B32" s="888"/>
      <c r="C32" s="876" t="s">
        <v>559</v>
      </c>
      <c r="D32" s="877"/>
      <c r="E32" s="878"/>
      <c r="F32" s="72"/>
      <c r="G32" s="99"/>
      <c r="H32" s="110"/>
      <c r="I32" s="122">
        <f>식사!E19</f>
        <v>17</v>
      </c>
      <c r="J32" s="115">
        <f>$C$4+$E$4</f>
        <v>25</v>
      </c>
      <c r="K32" s="120"/>
      <c r="L32" s="91"/>
      <c r="M32" s="120"/>
      <c r="N32" s="91"/>
      <c r="O32" s="144">
        <f t="shared" si="0"/>
        <v>425</v>
      </c>
    </row>
    <row r="33" spans="2:22">
      <c r="B33" s="888"/>
      <c r="C33" s="879" t="str">
        <f>일정!C27</f>
        <v>가든스바이더베이 2돔 ( 쥬랴기 )</v>
      </c>
      <c r="D33" s="891"/>
      <c r="E33" s="892"/>
      <c r="F33" s="72"/>
      <c r="G33" s="103">
        <f>일정!E27</f>
        <v>28.3</v>
      </c>
      <c r="H33" s="115">
        <f>$C$4+$E$4</f>
        <v>25</v>
      </c>
      <c r="I33" s="123"/>
      <c r="J33" s="110"/>
      <c r="K33" s="161"/>
      <c r="L33" s="138"/>
      <c r="M33" s="161"/>
      <c r="N33" s="138"/>
      <c r="O33" s="148">
        <f t="shared" si="0"/>
        <v>707.5</v>
      </c>
      <c r="V33" s="498"/>
    </row>
    <row r="34" spans="2:22">
      <c r="B34" s="888"/>
      <c r="C34" s="907" t="s">
        <v>595</v>
      </c>
      <c r="D34" s="908"/>
      <c r="E34" s="909"/>
      <c r="F34" s="72"/>
      <c r="G34" s="206"/>
      <c r="H34" s="164"/>
      <c r="I34" s="123"/>
      <c r="J34" s="110"/>
      <c r="K34" s="161"/>
      <c r="L34" s="138"/>
      <c r="M34" s="161"/>
      <c r="N34" s="138"/>
      <c r="O34" s="148"/>
      <c r="V34" s="498"/>
    </row>
    <row r="35" spans="2:22">
      <c r="B35" s="888"/>
      <c r="C35" s="902" t="s">
        <v>298</v>
      </c>
      <c r="D35" s="903"/>
      <c r="E35" s="904"/>
      <c r="F35" s="72"/>
      <c r="G35" s="104"/>
      <c r="H35" s="116"/>
      <c r="I35" s="122">
        <f>식사!E3</f>
        <v>25</v>
      </c>
      <c r="J35" s="115">
        <f>$C$4+$E$4</f>
        <v>25</v>
      </c>
      <c r="K35" s="130"/>
      <c r="L35" s="138"/>
      <c r="M35" s="130"/>
      <c r="N35" s="138"/>
      <c r="O35" s="148">
        <f t="shared" si="0"/>
        <v>625</v>
      </c>
    </row>
    <row r="36" spans="2:22" ht="18" thickBot="1">
      <c r="B36" s="866"/>
      <c r="C36" s="870" t="s">
        <v>1207</v>
      </c>
      <c r="D36" s="871"/>
      <c r="E36" s="500">
        <f>상품리스트!I17</f>
        <v>0.9375</v>
      </c>
      <c r="F36" s="34"/>
      <c r="G36" s="105"/>
      <c r="H36" s="117"/>
      <c r="I36" s="124"/>
      <c r="J36" s="126"/>
      <c r="K36" s="131"/>
      <c r="L36" s="139"/>
      <c r="M36" s="131"/>
      <c r="N36" s="139"/>
      <c r="O36" s="149">
        <f t="shared" si="0"/>
        <v>0</v>
      </c>
      <c r="P36" s="34"/>
      <c r="Q36" s="34"/>
      <c r="R36" s="34"/>
      <c r="S36" s="34"/>
      <c r="T36" s="34"/>
      <c r="U36" s="34"/>
      <c r="V36" s="498"/>
    </row>
    <row r="37" spans="2:22">
      <c r="B37" s="72"/>
      <c r="C37" s="72"/>
      <c r="D37" s="72"/>
      <c r="E37" s="72"/>
      <c r="F37" s="72"/>
      <c r="G37" s="72"/>
      <c r="H37" s="72"/>
      <c r="K37" s="132">
        <f>SUM(K10:K36)</f>
        <v>2170</v>
      </c>
      <c r="L37" s="72"/>
      <c r="M37" s="132">
        <f>SUM(M10:M36)</f>
        <v>1425</v>
      </c>
      <c r="N37" s="72"/>
      <c r="O37" s="150"/>
      <c r="P37" s="156"/>
    </row>
    <row r="38" spans="2:22" ht="18" thickBot="1">
      <c r="O38" s="150"/>
    </row>
    <row r="39" spans="2:22">
      <c r="B39" s="872" t="s">
        <v>246</v>
      </c>
      <c r="C39" s="873" t="s">
        <v>288</v>
      </c>
      <c r="D39" s="874"/>
      <c r="E39" s="875"/>
      <c r="F39" s="34"/>
      <c r="G39" s="862">
        <f>$C$4+$E$4</f>
        <v>25</v>
      </c>
      <c r="H39" s="863"/>
      <c r="I39" s="854">
        <v>3</v>
      </c>
      <c r="J39" s="854"/>
      <c r="K39" s="855">
        <v>1</v>
      </c>
      <c r="L39" s="855"/>
      <c r="M39" s="855"/>
      <c r="N39" s="855"/>
      <c r="O39" s="151">
        <f>G39*I39*K39</f>
        <v>75</v>
      </c>
    </row>
    <row r="40" spans="2:22" ht="18" thickBot="1">
      <c r="B40" s="827"/>
      <c r="C40" s="856" t="s">
        <v>451</v>
      </c>
      <c r="D40" s="857"/>
      <c r="E40" s="858"/>
      <c r="F40" s="34"/>
      <c r="G40" s="859">
        <v>50</v>
      </c>
      <c r="H40" s="860"/>
      <c r="I40" s="860"/>
      <c r="J40" s="860"/>
      <c r="K40" s="861">
        <f>C4</f>
        <v>25</v>
      </c>
      <c r="L40" s="861"/>
      <c r="M40" s="861"/>
      <c r="N40" s="861"/>
      <c r="O40" s="152">
        <f>G40*K40</f>
        <v>1250</v>
      </c>
      <c r="V40" s="493"/>
    </row>
    <row r="41" spans="2:22" ht="18" thickBot="1">
      <c r="O41" s="150"/>
      <c r="V41" s="493"/>
    </row>
    <row r="42" spans="2:22" ht="16.5" customHeight="1">
      <c r="B42" s="961" t="s">
        <v>337</v>
      </c>
      <c r="C42" s="1021" t="s">
        <v>251</v>
      </c>
      <c r="D42" s="1022"/>
      <c r="E42" s="1023"/>
      <c r="F42" s="165"/>
      <c r="G42" s="967"/>
      <c r="H42" s="1024"/>
      <c r="I42" s="969">
        <f>일정!G24</f>
        <v>30</v>
      </c>
      <c r="J42" s="970"/>
      <c r="K42" s="1044">
        <f>$C$4+$E$4</f>
        <v>25</v>
      </c>
      <c r="L42" s="1044"/>
      <c r="M42" s="1044"/>
      <c r="N42" s="1045"/>
      <c r="O42" s="153">
        <f>G42*I42*K42</f>
        <v>0</v>
      </c>
      <c r="V42" s="493"/>
    </row>
    <row r="43" spans="2:22">
      <c r="B43" s="1019"/>
      <c r="C43" s="1025" t="s">
        <v>250</v>
      </c>
      <c r="D43" s="1026"/>
      <c r="E43" s="1027"/>
      <c r="F43" s="165"/>
      <c r="G43" s="977"/>
      <c r="H43" s="1028"/>
      <c r="I43" s="979">
        <f>일정!G30</f>
        <v>28</v>
      </c>
      <c r="J43" s="980"/>
      <c r="K43" s="1046">
        <f>$C$4+$E$4</f>
        <v>25</v>
      </c>
      <c r="L43" s="1047"/>
      <c r="M43" s="1047"/>
      <c r="N43" s="1048"/>
      <c r="O43" s="154">
        <f>G43*I43*K43</f>
        <v>0</v>
      </c>
      <c r="V43" s="493"/>
    </row>
    <row r="44" spans="2:22">
      <c r="B44" s="1019"/>
      <c r="C44" s="1025" t="s">
        <v>249</v>
      </c>
      <c r="D44" s="1026"/>
      <c r="E44" s="1027"/>
      <c r="F44" s="165"/>
      <c r="G44" s="977"/>
      <c r="H44" s="1028"/>
      <c r="I44" s="979">
        <f>일정!G35</f>
        <v>36</v>
      </c>
      <c r="J44" s="980"/>
      <c r="K44" s="1046">
        <f>$C$4+$E$4</f>
        <v>25</v>
      </c>
      <c r="L44" s="1047"/>
      <c r="M44" s="1047"/>
      <c r="N44" s="1048"/>
      <c r="O44" s="154">
        <f>G44*I44*K44</f>
        <v>0</v>
      </c>
    </row>
    <row r="45" spans="2:22">
      <c r="B45" s="1019"/>
      <c r="C45" s="1025" t="s">
        <v>336</v>
      </c>
      <c r="D45" s="1026"/>
      <c r="E45" s="1027"/>
      <c r="F45" s="165"/>
      <c r="G45" s="977"/>
      <c r="H45" s="1028"/>
      <c r="I45" s="979">
        <f>일정!G13</f>
        <v>19</v>
      </c>
      <c r="J45" s="980"/>
      <c r="K45" s="1046">
        <f>$C$4+$E$4</f>
        <v>25</v>
      </c>
      <c r="L45" s="1047"/>
      <c r="M45" s="1047"/>
      <c r="N45" s="1048"/>
      <c r="O45" s="154">
        <f>G45*I45*K45</f>
        <v>0</v>
      </c>
    </row>
    <row r="46" spans="2:22" ht="18" thickBot="1">
      <c r="B46" s="1020"/>
      <c r="C46" s="1030" t="s">
        <v>252</v>
      </c>
      <c r="D46" s="1031"/>
      <c r="E46" s="1032"/>
      <c r="F46" s="165"/>
      <c r="G46" s="989"/>
      <c r="H46" s="1033"/>
      <c r="I46" s="991">
        <f>일정!G29</f>
        <v>40</v>
      </c>
      <c r="J46" s="992"/>
      <c r="K46" s="1049">
        <f>$C$4+$E$4</f>
        <v>25</v>
      </c>
      <c r="L46" s="1050"/>
      <c r="M46" s="1050"/>
      <c r="N46" s="1051"/>
      <c r="O46" s="215">
        <f>G46*I46*K46</f>
        <v>0</v>
      </c>
    </row>
  </sheetData>
  <mergeCells count="80">
    <mergeCell ref="K44:N44"/>
    <mergeCell ref="C45:E45"/>
    <mergeCell ref="G45:H45"/>
    <mergeCell ref="I45:J45"/>
    <mergeCell ref="K45:N45"/>
    <mergeCell ref="B42:B46"/>
    <mergeCell ref="C42:E42"/>
    <mergeCell ref="G42:H42"/>
    <mergeCell ref="I42:J42"/>
    <mergeCell ref="K42:N42"/>
    <mergeCell ref="C43:E43"/>
    <mergeCell ref="G43:H43"/>
    <mergeCell ref="I43:J43"/>
    <mergeCell ref="K43:N43"/>
    <mergeCell ref="C44:E44"/>
    <mergeCell ref="C46:E46"/>
    <mergeCell ref="G46:H46"/>
    <mergeCell ref="I46:J46"/>
    <mergeCell ref="K46:N46"/>
    <mergeCell ref="G44:H44"/>
    <mergeCell ref="I44:J44"/>
    <mergeCell ref="B39:B40"/>
    <mergeCell ref="C39:E39"/>
    <mergeCell ref="G39:H39"/>
    <mergeCell ref="I39:J39"/>
    <mergeCell ref="K39:N39"/>
    <mergeCell ref="C40:E40"/>
    <mergeCell ref="G40:J40"/>
    <mergeCell ref="K40:N40"/>
    <mergeCell ref="B30:B36"/>
    <mergeCell ref="C30:E30"/>
    <mergeCell ref="C31:E31"/>
    <mergeCell ref="C32:E32"/>
    <mergeCell ref="C33:E33"/>
    <mergeCell ref="C34:E34"/>
    <mergeCell ref="C35:E35"/>
    <mergeCell ref="C36:D36"/>
    <mergeCell ref="B22:B29"/>
    <mergeCell ref="C22:E22"/>
    <mergeCell ref="C23:E23"/>
    <mergeCell ref="C24:E24"/>
    <mergeCell ref="C25:E25"/>
    <mergeCell ref="C26:E26"/>
    <mergeCell ref="C27:E27"/>
    <mergeCell ref="C28:E28"/>
    <mergeCell ref="C29:E29"/>
    <mergeCell ref="B13:B21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H7:K7"/>
    <mergeCell ref="M8:N8"/>
    <mergeCell ref="O8:O9"/>
    <mergeCell ref="B10:B12"/>
    <mergeCell ref="C10:D10"/>
    <mergeCell ref="C11:E11"/>
    <mergeCell ref="C12:E12"/>
    <mergeCell ref="G8:H8"/>
    <mergeCell ref="I8:J8"/>
    <mergeCell ref="K8:L8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0BA38BA4-0AD4-40B4-9486-FFD75D5D4BB1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DC03-13B8-4A93-8316-166B69F108E2}">
  <dimension ref="A1:AD43"/>
  <sheetViews>
    <sheetView workbookViewId="0"/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7" max="27" width="1.1640625" customWidth="1"/>
    <col min="28" max="28" width="16.5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3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1007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M Hotel City Centre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210</v>
      </c>
      <c r="M2" s="140">
        <f>$I$1+$K$1</f>
        <v>3</v>
      </c>
      <c r="N2" s="106">
        <f>L2*M2</f>
        <v>630</v>
      </c>
      <c r="O2" s="929">
        <f>SUM(N2:N6)</f>
        <v>1260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924</v>
      </c>
      <c r="AC2" s="10">
        <v>210</v>
      </c>
      <c r="AD2" s="10">
        <v>210</v>
      </c>
    </row>
    <row r="3" spans="1:30" ht="28">
      <c r="B3" s="74" t="s">
        <v>239</v>
      </c>
      <c r="C3" s="938" t="s">
        <v>1102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M Hotel City Centre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210</v>
      </c>
      <c r="M3" s="140">
        <f>$I$1+$K$1</f>
        <v>3</v>
      </c>
      <c r="N3" s="106">
        <f>L3*M3</f>
        <v>630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6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1064" t="s">
        <v>1012</v>
      </c>
      <c r="K4" s="1065"/>
      <c r="L4" s="507"/>
      <c r="M4" s="508"/>
      <c r="N4" s="509"/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/>
      <c r="I5" s="926"/>
      <c r="J5" s="939"/>
      <c r="K5" s="940"/>
      <c r="L5" s="135"/>
      <c r="M5" s="140"/>
      <c r="N5" s="106"/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(SUM(O10:O43)+O2)/C4+R2+T5</f>
        <v>718.13333333333333</v>
      </c>
      <c r="D6" s="86" t="s">
        <v>254</v>
      </c>
      <c r="E6" s="94">
        <f>C6*$E$1</f>
        <v>789946.66666666663</v>
      </c>
      <c r="F6" s="72"/>
      <c r="G6" s="922"/>
      <c r="H6" s="925"/>
      <c r="I6" s="926"/>
      <c r="J6" s="935"/>
      <c r="K6" s="935"/>
      <c r="L6" s="136"/>
      <c r="M6" s="89"/>
      <c r="N6" s="107"/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5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67" t="s">
        <v>960</v>
      </c>
      <c r="D10" s="916"/>
      <c r="E10" s="499">
        <f>상품리스트!F18</f>
        <v>0.91319444444444442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120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270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3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430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805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865"/>
      <c r="C14" s="907" t="s">
        <v>1011</v>
      </c>
      <c r="D14" s="908"/>
      <c r="E14" s="909"/>
      <c r="F14" s="72"/>
      <c r="G14" s="206"/>
      <c r="H14" s="164"/>
      <c r="I14" s="123"/>
      <c r="J14" s="110"/>
      <c r="K14" s="161"/>
      <c r="L14" s="138"/>
      <c r="M14" s="161"/>
      <c r="N14" s="138"/>
      <c r="O14" s="148">
        <f>(G14*H14)+(I14*J14)+(K14*L14)+(M14*N14)</f>
        <v>0</v>
      </c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865"/>
      <c r="C15" s="876" t="s">
        <v>332</v>
      </c>
      <c r="D15" s="877"/>
      <c r="E15" s="878"/>
      <c r="F15" s="72"/>
      <c r="G15" s="99"/>
      <c r="H15" s="110"/>
      <c r="I15" s="122">
        <f>식사!E19</f>
        <v>17</v>
      </c>
      <c r="J15" s="115">
        <f>$C$4+$E$4</f>
        <v>6</v>
      </c>
      <c r="K15" s="120"/>
      <c r="L15" s="91"/>
      <c r="M15" s="120"/>
      <c r="N15" s="91"/>
      <c r="O15" s="144">
        <f t="shared" si="0"/>
        <v>102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922</v>
      </c>
      <c r="AC15" s="10">
        <v>185</v>
      </c>
      <c r="AD15" s="10">
        <v>185</v>
      </c>
    </row>
    <row r="16" spans="1:30">
      <c r="B16" s="865"/>
      <c r="C16" s="882" t="s">
        <v>875</v>
      </c>
      <c r="D16" s="883"/>
      <c r="E16" s="884"/>
      <c r="F16" s="72"/>
      <c r="G16" s="103">
        <f>일정!E10+일정!E20</f>
        <v>53.5</v>
      </c>
      <c r="H16" s="115">
        <f>$C$4+$E$4</f>
        <v>6</v>
      </c>
      <c r="I16" s="123"/>
      <c r="J16" s="110"/>
      <c r="K16" s="123"/>
      <c r="L16" s="91"/>
      <c r="M16" s="123"/>
      <c r="N16" s="91"/>
      <c r="O16" s="144">
        <f>(G16*H16)+(I16*J16)+(K16*L16)+(M16*N16)</f>
        <v>321</v>
      </c>
      <c r="AB16" s="496" t="s">
        <v>923</v>
      </c>
      <c r="AC16" s="10">
        <v>185</v>
      </c>
      <c r="AD16" s="10">
        <v>185</v>
      </c>
    </row>
    <row r="17" spans="2:30">
      <c r="B17" s="865"/>
      <c r="C17" s="890" t="s">
        <v>505</v>
      </c>
      <c r="D17" s="891"/>
      <c r="E17" s="892"/>
      <c r="F17" s="72"/>
      <c r="G17" s="102"/>
      <c r="H17" s="115"/>
      <c r="I17" s="123"/>
      <c r="J17" s="110"/>
      <c r="K17" s="123"/>
      <c r="L17" s="91"/>
      <c r="M17" s="123"/>
      <c r="N17" s="91"/>
      <c r="O17" s="144">
        <f t="shared" si="0"/>
        <v>0</v>
      </c>
      <c r="Q17" s="7"/>
      <c r="AB17" s="496" t="s">
        <v>931</v>
      </c>
      <c r="AC17" s="10">
        <v>155</v>
      </c>
      <c r="AD17" s="10">
        <v>155</v>
      </c>
    </row>
    <row r="18" spans="2:30">
      <c r="B18" s="865"/>
      <c r="C18" s="902" t="s">
        <v>1101</v>
      </c>
      <c r="D18" s="903"/>
      <c r="E18" s="904"/>
      <c r="F18" s="72"/>
      <c r="G18" s="104"/>
      <c r="H18" s="116"/>
      <c r="I18" s="122">
        <f>식사!E25</f>
        <v>22</v>
      </c>
      <c r="J18" s="115">
        <f>$C$4+$E$4</f>
        <v>6</v>
      </c>
      <c r="K18" s="130"/>
      <c r="L18" s="138"/>
      <c r="M18" s="130"/>
      <c r="N18" s="138"/>
      <c r="O18" s="148">
        <f t="shared" si="0"/>
        <v>132</v>
      </c>
      <c r="AB18" s="497" t="s">
        <v>928</v>
      </c>
      <c r="AC18" s="10">
        <v>280</v>
      </c>
      <c r="AD18" s="10">
        <v>280</v>
      </c>
    </row>
    <row r="19" spans="2:30">
      <c r="B19" s="865"/>
      <c r="C19" s="941" t="s">
        <v>325</v>
      </c>
      <c r="D19" s="911"/>
      <c r="E19" s="912"/>
      <c r="F19" s="72"/>
      <c r="G19" s="205"/>
      <c r="H19" s="115"/>
      <c r="I19" s="102"/>
      <c r="J19" s="115"/>
      <c r="K19" s="120"/>
      <c r="L19" s="91"/>
      <c r="M19" s="120"/>
      <c r="N19" s="91"/>
      <c r="O19" s="144">
        <f t="shared" si="0"/>
        <v>0</v>
      </c>
      <c r="Q19" s="7"/>
      <c r="AB19" s="497" t="s">
        <v>442</v>
      </c>
      <c r="AC19" s="10">
        <v>366</v>
      </c>
      <c r="AD19" s="10">
        <v>366</v>
      </c>
    </row>
    <row r="20" spans="2:30" ht="18" thickBot="1">
      <c r="B20" s="906"/>
      <c r="C20" s="1035" t="s">
        <v>1005</v>
      </c>
      <c r="D20" s="1036"/>
      <c r="E20" s="1037"/>
      <c r="F20" s="72"/>
      <c r="G20" s="102"/>
      <c r="H20" s="115"/>
      <c r="I20" s="123"/>
      <c r="J20" s="110"/>
      <c r="K20" s="123"/>
      <c r="L20" s="91"/>
      <c r="M20" s="123"/>
      <c r="N20" s="91"/>
      <c r="O20" s="144">
        <f t="shared" si="0"/>
        <v>0</v>
      </c>
      <c r="Q20" s="7"/>
    </row>
    <row r="21" spans="2:30">
      <c r="B21" s="872" t="str">
        <f>TEXT(C5+2,"m월 d일 aaaa")</f>
        <v>3월 18일 화요일</v>
      </c>
      <c r="C21" s="905" t="s">
        <v>562</v>
      </c>
      <c r="D21" s="1038"/>
      <c r="E21" s="1039"/>
      <c r="F21" s="72"/>
      <c r="G21" s="98"/>
      <c r="H21" s="109"/>
      <c r="I21" s="119"/>
      <c r="J21" s="109"/>
      <c r="K21" s="128"/>
      <c r="L21" s="90"/>
      <c r="M21" s="128"/>
      <c r="N21" s="90"/>
      <c r="O21" s="143">
        <f t="shared" si="0"/>
        <v>0</v>
      </c>
      <c r="Q21" s="159" t="s">
        <v>277</v>
      </c>
    </row>
    <row r="22" spans="2:30">
      <c r="B22" s="1061"/>
      <c r="C22" s="865"/>
      <c r="D22" s="1040"/>
      <c r="E22" s="1041"/>
      <c r="F22" s="72"/>
      <c r="G22" s="99"/>
      <c r="H22" s="110"/>
      <c r="I22" s="102"/>
      <c r="J22" s="115"/>
      <c r="K22" s="123"/>
      <c r="L22" s="91"/>
      <c r="M22" s="102"/>
      <c r="N22" s="91"/>
      <c r="O22" s="146">
        <f t="shared" si="0"/>
        <v>0</v>
      </c>
      <c r="Q22" s="7"/>
      <c r="V22" s="498"/>
    </row>
    <row r="23" spans="2:30">
      <c r="B23" s="1061"/>
      <c r="C23" s="865"/>
      <c r="D23" s="1040"/>
      <c r="E23" s="1041"/>
      <c r="F23" s="72"/>
      <c r="G23" s="99"/>
      <c r="H23" s="110"/>
      <c r="I23" s="122"/>
      <c r="J23" s="115"/>
      <c r="K23" s="120"/>
      <c r="L23" s="91"/>
      <c r="M23" s="120"/>
      <c r="N23" s="91"/>
      <c r="O23" s="144">
        <f t="shared" si="0"/>
        <v>0</v>
      </c>
      <c r="Q23" s="7"/>
    </row>
    <row r="24" spans="2:30">
      <c r="B24" s="1062"/>
      <c r="C24" s="865"/>
      <c r="D24" s="1040"/>
      <c r="E24" s="1041"/>
      <c r="F24" s="72"/>
      <c r="G24" s="99"/>
      <c r="H24" s="110"/>
      <c r="I24" s="102"/>
      <c r="J24" s="115"/>
      <c r="K24" s="123"/>
      <c r="L24" s="91"/>
      <c r="M24" s="102"/>
      <c r="N24" s="91"/>
      <c r="O24" s="146">
        <f t="shared" si="0"/>
        <v>0</v>
      </c>
      <c r="Q24" s="7"/>
    </row>
    <row r="25" spans="2:30">
      <c r="B25" s="1062"/>
      <c r="C25" s="865"/>
      <c r="D25" s="1040"/>
      <c r="E25" s="1041"/>
      <c r="F25" s="72"/>
      <c r="G25" s="99"/>
      <c r="H25" s="110"/>
      <c r="I25" s="122"/>
      <c r="J25" s="115"/>
      <c r="K25" s="123"/>
      <c r="L25" s="91"/>
      <c r="M25" s="123"/>
      <c r="N25" s="91"/>
      <c r="O25" s="146">
        <f t="shared" si="0"/>
        <v>0</v>
      </c>
      <c r="Q25" s="7"/>
    </row>
    <row r="26" spans="2:30" ht="18" thickBot="1">
      <c r="B26" s="1063"/>
      <c r="C26" s="906"/>
      <c r="D26" s="1042"/>
      <c r="E26" s="1043"/>
      <c r="F26" s="72"/>
      <c r="G26" s="100"/>
      <c r="H26" s="111"/>
      <c r="I26" s="124"/>
      <c r="J26" s="126"/>
      <c r="K26" s="129"/>
      <c r="L26" s="137"/>
      <c r="M26" s="124"/>
      <c r="N26" s="137"/>
      <c r="O26" s="147">
        <f t="shared" si="0"/>
        <v>0</v>
      </c>
      <c r="Q26" s="7"/>
    </row>
    <row r="27" spans="2:30">
      <c r="B27" s="944" t="str">
        <f>TEXT(C5+3,"m월 d일 aaaa")</f>
        <v>3월 19일 수요일</v>
      </c>
      <c r="C27" s="949" t="s">
        <v>330</v>
      </c>
      <c r="D27" s="950"/>
      <c r="E27" s="951"/>
      <c r="F27" s="72"/>
      <c r="G27" s="98"/>
      <c r="H27" s="109"/>
      <c r="I27" s="119"/>
      <c r="J27" s="109"/>
      <c r="K27" s="128">
        <f>IF(C4+E4&lt;8,'가이드&amp;차량'!C47, IF(C4+E4&lt;=14,'가이드&amp;차량'!C39,'가이드&amp;차량'!C23))</f>
        <v>430</v>
      </c>
      <c r="L27" s="90">
        <f>L10</f>
        <v>1</v>
      </c>
      <c r="M27" s="128">
        <f>'가이드&amp;차량'!C6+'가이드&amp;차량'!C3</f>
        <v>525</v>
      </c>
      <c r="N27" s="90">
        <f>N10</f>
        <v>1</v>
      </c>
      <c r="O27" s="143">
        <f t="shared" si="0"/>
        <v>955</v>
      </c>
      <c r="Q27" s="159" t="s">
        <v>278</v>
      </c>
    </row>
    <row r="28" spans="2:30">
      <c r="B28" s="944"/>
      <c r="C28" s="948" t="s">
        <v>650</v>
      </c>
      <c r="D28" s="946"/>
      <c r="E28" s="947"/>
      <c r="F28" s="72"/>
      <c r="G28" s="340"/>
      <c r="H28" s="343"/>
      <c r="I28" s="342"/>
      <c r="J28" s="343"/>
      <c r="K28" s="344"/>
      <c r="L28" s="345"/>
      <c r="M28" s="344"/>
      <c r="N28" s="345"/>
      <c r="O28" s="466">
        <f t="shared" si="0"/>
        <v>0</v>
      </c>
      <c r="Q28" s="159"/>
    </row>
    <row r="29" spans="2:30">
      <c r="B29" s="888"/>
      <c r="C29" s="876" t="s">
        <v>912</v>
      </c>
      <c r="D29" s="877"/>
      <c r="E29" s="878"/>
      <c r="F29" s="72"/>
      <c r="G29" s="99"/>
      <c r="H29" s="110"/>
      <c r="I29" s="122">
        <f>식사!E7</f>
        <v>18</v>
      </c>
      <c r="J29" s="115">
        <f>$C$4+$E$4</f>
        <v>6</v>
      </c>
      <c r="K29" s="120"/>
      <c r="L29" s="91"/>
      <c r="M29" s="120"/>
      <c r="N29" s="91"/>
      <c r="O29" s="144">
        <f t="shared" si="0"/>
        <v>108</v>
      </c>
    </row>
    <row r="30" spans="2:30">
      <c r="B30" s="888"/>
      <c r="C30" s="879" t="str">
        <f>일정!C27</f>
        <v>가든스바이더베이 2돔 ( 쥬랴기 )</v>
      </c>
      <c r="D30" s="891"/>
      <c r="E30" s="892"/>
      <c r="F30" s="72"/>
      <c r="G30" s="103">
        <f>일정!E27</f>
        <v>28.3</v>
      </c>
      <c r="H30" s="115">
        <f>$C$4+$E$4</f>
        <v>6</v>
      </c>
      <c r="I30" s="123"/>
      <c r="J30" s="110"/>
      <c r="K30" s="123"/>
      <c r="L30" s="91"/>
      <c r="M30" s="123"/>
      <c r="N30" s="91"/>
      <c r="O30" s="144">
        <f>(G30*H30)+(I30*J30)+(K30*L30)+(M30*N30)</f>
        <v>169.8</v>
      </c>
      <c r="V30" s="498"/>
    </row>
    <row r="31" spans="2:30">
      <c r="B31" s="888"/>
      <c r="C31" s="907" t="s">
        <v>658</v>
      </c>
      <c r="D31" s="908"/>
      <c r="E31" s="909"/>
      <c r="F31" s="72"/>
      <c r="G31" s="206"/>
      <c r="H31" s="164"/>
      <c r="I31" s="123"/>
      <c r="J31" s="110"/>
      <c r="K31" s="161"/>
      <c r="L31" s="138"/>
      <c r="M31" s="161"/>
      <c r="N31" s="138"/>
      <c r="O31" s="148">
        <f t="shared" si="0"/>
        <v>0</v>
      </c>
      <c r="V31" s="498"/>
    </row>
    <row r="32" spans="2:30">
      <c r="B32" s="888"/>
      <c r="C32" s="902" t="s">
        <v>838</v>
      </c>
      <c r="D32" s="903"/>
      <c r="E32" s="904"/>
      <c r="F32" s="72"/>
      <c r="G32" s="104"/>
      <c r="H32" s="116"/>
      <c r="I32" s="122">
        <f>식사!E7</f>
        <v>18</v>
      </c>
      <c r="J32" s="115">
        <f>$C$4+$E$4</f>
        <v>6</v>
      </c>
      <c r="K32" s="130"/>
      <c r="L32" s="138"/>
      <c r="M32" s="130"/>
      <c r="N32" s="138"/>
      <c r="O32" s="148">
        <f t="shared" si="0"/>
        <v>108</v>
      </c>
    </row>
    <row r="33" spans="2:22" ht="18" thickBot="1">
      <c r="B33" s="866"/>
      <c r="C33" s="870" t="s">
        <v>1207</v>
      </c>
      <c r="D33" s="871"/>
      <c r="E33" s="500">
        <f>상품리스트!I18</f>
        <v>0.97916666666666663</v>
      </c>
      <c r="F33" s="34"/>
      <c r="G33" s="105"/>
      <c r="H33" s="117"/>
      <c r="I33" s="124"/>
      <c r="J33" s="126"/>
      <c r="K33" s="131"/>
      <c r="L33" s="139"/>
      <c r="M33" s="131"/>
      <c r="N33" s="139"/>
      <c r="O33" s="149">
        <f t="shared" si="0"/>
        <v>0</v>
      </c>
      <c r="P33" s="34"/>
      <c r="Q33" s="34"/>
      <c r="R33" s="34"/>
      <c r="S33" s="34"/>
      <c r="T33" s="34"/>
      <c r="U33" s="34"/>
      <c r="V33" s="498"/>
    </row>
    <row r="34" spans="2:22">
      <c r="B34" s="72"/>
      <c r="C34" s="72"/>
      <c r="D34" s="72"/>
      <c r="E34" s="72"/>
      <c r="F34" s="72"/>
      <c r="G34" s="72"/>
      <c r="H34" s="72"/>
      <c r="K34" s="132">
        <f>SUM(K10:K33)</f>
        <v>980</v>
      </c>
      <c r="L34" s="72"/>
      <c r="M34" s="132">
        <f>SUM(M10:M33)</f>
        <v>1050</v>
      </c>
      <c r="N34" s="72"/>
      <c r="O34" s="150"/>
      <c r="P34" s="156"/>
    </row>
    <row r="35" spans="2:22" ht="18" thickBot="1">
      <c r="O35" s="150"/>
    </row>
    <row r="36" spans="2:22">
      <c r="B36" s="872" t="s">
        <v>246</v>
      </c>
      <c r="C36" s="873" t="s">
        <v>288</v>
      </c>
      <c r="D36" s="874"/>
      <c r="E36" s="875"/>
      <c r="F36" s="34"/>
      <c r="G36" s="862">
        <f>$C$4+$E$4</f>
        <v>6</v>
      </c>
      <c r="H36" s="863"/>
      <c r="I36" s="854">
        <v>3</v>
      </c>
      <c r="J36" s="854"/>
      <c r="K36" s="855">
        <v>1</v>
      </c>
      <c r="L36" s="855"/>
      <c r="M36" s="855"/>
      <c r="N36" s="855"/>
      <c r="O36" s="151">
        <f>G36*I36*K36</f>
        <v>18</v>
      </c>
    </row>
    <row r="37" spans="2:22" ht="18" thickBot="1">
      <c r="B37" s="827"/>
      <c r="C37" s="856" t="s">
        <v>451</v>
      </c>
      <c r="D37" s="857"/>
      <c r="E37" s="858"/>
      <c r="F37" s="34"/>
      <c r="G37" s="859">
        <v>50</v>
      </c>
      <c r="H37" s="860"/>
      <c r="I37" s="860"/>
      <c r="J37" s="860"/>
      <c r="K37" s="861">
        <f>C4</f>
        <v>6</v>
      </c>
      <c r="L37" s="861"/>
      <c r="M37" s="861"/>
      <c r="N37" s="861"/>
      <c r="O37" s="152">
        <f>G37*K37</f>
        <v>300</v>
      </c>
      <c r="V37" s="493"/>
    </row>
    <row r="38" spans="2:22" ht="18" thickBot="1">
      <c r="O38" s="150"/>
      <c r="V38" s="493"/>
    </row>
    <row r="39" spans="2:22" ht="16.5" customHeight="1">
      <c r="B39" s="961" t="s">
        <v>337</v>
      </c>
      <c r="C39" s="1021" t="s">
        <v>251</v>
      </c>
      <c r="D39" s="1022"/>
      <c r="E39" s="1023"/>
      <c r="F39" s="165"/>
      <c r="G39" s="967"/>
      <c r="H39" s="1024"/>
      <c r="I39" s="969">
        <f>일정!G24</f>
        <v>30</v>
      </c>
      <c r="J39" s="970"/>
      <c r="K39" s="1044">
        <f>$C$4+$E$4</f>
        <v>6</v>
      </c>
      <c r="L39" s="1044"/>
      <c r="M39" s="1044"/>
      <c r="N39" s="1045"/>
      <c r="O39" s="153">
        <f>G39*I39*K39</f>
        <v>0</v>
      </c>
      <c r="V39" s="493"/>
    </row>
    <row r="40" spans="2:22">
      <c r="B40" s="1019"/>
      <c r="C40" s="1025" t="s">
        <v>250</v>
      </c>
      <c r="D40" s="1026"/>
      <c r="E40" s="1027"/>
      <c r="F40" s="165"/>
      <c r="G40" s="977"/>
      <c r="H40" s="1028"/>
      <c r="I40" s="979">
        <f>일정!G30</f>
        <v>28</v>
      </c>
      <c r="J40" s="980"/>
      <c r="K40" s="1046">
        <f>$C$4+$E$4</f>
        <v>6</v>
      </c>
      <c r="L40" s="1047"/>
      <c r="M40" s="1047"/>
      <c r="N40" s="1048"/>
      <c r="O40" s="154">
        <f>G40*I40*K40</f>
        <v>0</v>
      </c>
      <c r="V40" s="493"/>
    </row>
    <row r="41" spans="2:22">
      <c r="B41" s="1019"/>
      <c r="C41" s="1025" t="s">
        <v>249</v>
      </c>
      <c r="D41" s="1026"/>
      <c r="E41" s="1027"/>
      <c r="F41" s="165"/>
      <c r="G41" s="977"/>
      <c r="H41" s="1028"/>
      <c r="I41" s="979">
        <f>일정!G35</f>
        <v>36</v>
      </c>
      <c r="J41" s="980"/>
      <c r="K41" s="1046">
        <f>$C$4+$E$4</f>
        <v>6</v>
      </c>
      <c r="L41" s="1047"/>
      <c r="M41" s="1047"/>
      <c r="N41" s="1048"/>
      <c r="O41" s="154">
        <f>G41*I41*K41</f>
        <v>0</v>
      </c>
    </row>
    <row r="42" spans="2:22">
      <c r="B42" s="1019"/>
      <c r="C42" s="1025" t="s">
        <v>336</v>
      </c>
      <c r="D42" s="1026"/>
      <c r="E42" s="1027"/>
      <c r="F42" s="165"/>
      <c r="G42" s="977"/>
      <c r="H42" s="1028"/>
      <c r="I42" s="979">
        <f>일정!G13</f>
        <v>19</v>
      </c>
      <c r="J42" s="980"/>
      <c r="K42" s="1046">
        <f>$C$4+$E$4</f>
        <v>6</v>
      </c>
      <c r="L42" s="1047"/>
      <c r="M42" s="1047"/>
      <c r="N42" s="1048"/>
      <c r="O42" s="154">
        <f>G42*I42*K42</f>
        <v>0</v>
      </c>
    </row>
    <row r="43" spans="2:22">
      <c r="B43" s="1020"/>
      <c r="C43" s="1030" t="s">
        <v>252</v>
      </c>
      <c r="D43" s="1031"/>
      <c r="E43" s="1032"/>
      <c r="F43" s="165"/>
      <c r="G43" s="989"/>
      <c r="H43" s="1033"/>
      <c r="I43" s="991">
        <f>일정!G29</f>
        <v>40</v>
      </c>
      <c r="J43" s="992"/>
      <c r="K43" s="1049">
        <f>$C$4+$E$4</f>
        <v>6</v>
      </c>
      <c r="L43" s="1050"/>
      <c r="M43" s="1050"/>
      <c r="N43" s="1051"/>
      <c r="O43" s="215">
        <f>G43*I43*K43</f>
        <v>0</v>
      </c>
    </row>
  </sheetData>
  <mergeCells count="72"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  <mergeCell ref="H7:K7"/>
    <mergeCell ref="M8:N8"/>
    <mergeCell ref="O8:O9"/>
    <mergeCell ref="B10:B12"/>
    <mergeCell ref="C10:D10"/>
    <mergeCell ref="C11:E11"/>
    <mergeCell ref="C12:E12"/>
    <mergeCell ref="G8:H8"/>
    <mergeCell ref="I8:J8"/>
    <mergeCell ref="K8:L8"/>
    <mergeCell ref="B21:B26"/>
    <mergeCell ref="B13:B20"/>
    <mergeCell ref="C13:E13"/>
    <mergeCell ref="C15:E15"/>
    <mergeCell ref="C17:E17"/>
    <mergeCell ref="C18:E18"/>
    <mergeCell ref="C19:E19"/>
    <mergeCell ref="C20:E20"/>
    <mergeCell ref="C14:E14"/>
    <mergeCell ref="C16:E16"/>
    <mergeCell ref="C21:E26"/>
    <mergeCell ref="B27:B33"/>
    <mergeCell ref="C27:E27"/>
    <mergeCell ref="C29:E29"/>
    <mergeCell ref="C31:E31"/>
    <mergeCell ref="C32:E32"/>
    <mergeCell ref="C33:D33"/>
    <mergeCell ref="C28:E28"/>
    <mergeCell ref="C30:E30"/>
    <mergeCell ref="B36:B37"/>
    <mergeCell ref="C36:E36"/>
    <mergeCell ref="G36:H36"/>
    <mergeCell ref="I36:J36"/>
    <mergeCell ref="K36:N36"/>
    <mergeCell ref="C37:E37"/>
    <mergeCell ref="G37:J37"/>
    <mergeCell ref="K37:N37"/>
    <mergeCell ref="B39:B43"/>
    <mergeCell ref="C39:E39"/>
    <mergeCell ref="G39:H39"/>
    <mergeCell ref="I39:J39"/>
    <mergeCell ref="K39:N39"/>
    <mergeCell ref="C40:E40"/>
    <mergeCell ref="G40:H40"/>
    <mergeCell ref="I40:J40"/>
    <mergeCell ref="K40:N40"/>
    <mergeCell ref="C41:E41"/>
    <mergeCell ref="C43:E43"/>
    <mergeCell ref="G43:H43"/>
    <mergeCell ref="I43:J43"/>
    <mergeCell ref="K43:N43"/>
    <mergeCell ref="G41:H41"/>
    <mergeCell ref="I41:J41"/>
    <mergeCell ref="K41:N41"/>
    <mergeCell ref="C42:E42"/>
    <mergeCell ref="G42:H42"/>
    <mergeCell ref="I42:J42"/>
    <mergeCell ref="K42:N42"/>
  </mergeCells>
  <phoneticPr fontId="1" type="noConversion"/>
  <hyperlinks>
    <hyperlink ref="A1" location="상품리스트!A1" display="home" xr:uid="{0BAE22B2-55C7-4970-86A8-AF7ABE57856C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E987F-9804-4411-9E7A-4526B323158D}">
  <dimension ref="A1:AD43"/>
  <sheetViews>
    <sheetView workbookViewId="0">
      <selection activeCell="X10" sqref="X10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7" max="27" width="1.1640625" customWidth="1"/>
    <col min="28" max="28" width="16.5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15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1015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M Hotel City Centre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210</v>
      </c>
      <c r="M2" s="140">
        <f>$I$1+$K$1</f>
        <v>15</v>
      </c>
      <c r="N2" s="106">
        <f>L2*M2</f>
        <v>3150</v>
      </c>
      <c r="O2" s="929">
        <f>SUM(N2:N6)</f>
        <v>9450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924</v>
      </c>
      <c r="AC2" s="10">
        <v>210</v>
      </c>
      <c r="AD2" s="10">
        <v>210</v>
      </c>
    </row>
    <row r="3" spans="1:30" ht="28">
      <c r="B3" s="74" t="s">
        <v>239</v>
      </c>
      <c r="C3" s="938" t="s">
        <v>1016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M Hotel City Centre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210</v>
      </c>
      <c r="M3" s="140">
        <f>$I$1+$K$1</f>
        <v>15</v>
      </c>
      <c r="N3" s="106">
        <f>L3*M3</f>
        <v>3150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30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927" t="str">
        <f>J2</f>
        <v>M Hotel City Centre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210</v>
      </c>
      <c r="M4" s="141">
        <f>$I$1+$K$1</f>
        <v>15</v>
      </c>
      <c r="N4" s="106">
        <f>L4*M4</f>
        <v>3150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/>
      <c r="I5" s="926"/>
      <c r="J5" s="939"/>
      <c r="K5" s="940"/>
      <c r="L5" s="135"/>
      <c r="M5" s="140"/>
      <c r="N5" s="106"/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(SUM(O10:O43)+O2)/C4+R2+T5</f>
        <v>621.63333333333333</v>
      </c>
      <c r="D6" s="86" t="s">
        <v>254</v>
      </c>
      <c r="E6" s="94">
        <f>C6*$E$1</f>
        <v>683796.66666666663</v>
      </c>
      <c r="F6" s="72"/>
      <c r="G6" s="922"/>
      <c r="H6" s="925"/>
      <c r="I6" s="926"/>
      <c r="J6" s="935"/>
      <c r="K6" s="935"/>
      <c r="L6" s="136"/>
      <c r="M6" s="89"/>
      <c r="N6" s="107"/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5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67" t="s">
        <v>960</v>
      </c>
      <c r="D10" s="916"/>
      <c r="E10" s="499">
        <f>상품리스트!F18</f>
        <v>0.91319444444444442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280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430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3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630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1005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865"/>
      <c r="C14" s="907" t="s">
        <v>1011</v>
      </c>
      <c r="D14" s="908"/>
      <c r="E14" s="909"/>
      <c r="F14" s="72"/>
      <c r="G14" s="206"/>
      <c r="H14" s="164"/>
      <c r="I14" s="123"/>
      <c r="J14" s="110"/>
      <c r="K14" s="161"/>
      <c r="L14" s="138"/>
      <c r="M14" s="161"/>
      <c r="N14" s="138"/>
      <c r="O14" s="148">
        <f t="shared" si="0"/>
        <v>0</v>
      </c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865"/>
      <c r="C15" s="876" t="s">
        <v>332</v>
      </c>
      <c r="D15" s="877"/>
      <c r="E15" s="878"/>
      <c r="F15" s="72"/>
      <c r="G15" s="99"/>
      <c r="H15" s="110"/>
      <c r="I15" s="122">
        <f>식사!E19</f>
        <v>17</v>
      </c>
      <c r="J15" s="115">
        <f>$C$4+$E$4</f>
        <v>30</v>
      </c>
      <c r="K15" s="120"/>
      <c r="L15" s="91"/>
      <c r="M15" s="120"/>
      <c r="N15" s="91"/>
      <c r="O15" s="144">
        <f t="shared" si="0"/>
        <v>510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922</v>
      </c>
      <c r="AC15" s="10">
        <v>185</v>
      </c>
      <c r="AD15" s="10">
        <v>185</v>
      </c>
    </row>
    <row r="16" spans="1:30">
      <c r="B16" s="865"/>
      <c r="C16" s="882" t="s">
        <v>875</v>
      </c>
      <c r="D16" s="883"/>
      <c r="E16" s="884"/>
      <c r="F16" s="72"/>
      <c r="G16" s="103">
        <f>일정!E10+일정!E20</f>
        <v>53.5</v>
      </c>
      <c r="H16" s="115">
        <f>$C$4+$E$4</f>
        <v>30</v>
      </c>
      <c r="I16" s="123"/>
      <c r="J16" s="110"/>
      <c r="K16" s="123"/>
      <c r="L16" s="91"/>
      <c r="M16" s="123"/>
      <c r="N16" s="91"/>
      <c r="O16" s="144">
        <f t="shared" si="0"/>
        <v>1605</v>
      </c>
      <c r="AB16" s="496" t="s">
        <v>923</v>
      </c>
      <c r="AC16" s="10">
        <v>185</v>
      </c>
      <c r="AD16" s="10">
        <v>185</v>
      </c>
    </row>
    <row r="17" spans="2:30">
      <c r="B17" s="865"/>
      <c r="C17" s="890" t="s">
        <v>505</v>
      </c>
      <c r="D17" s="891"/>
      <c r="E17" s="892"/>
      <c r="F17" s="72"/>
      <c r="G17" s="102"/>
      <c r="H17" s="115"/>
      <c r="I17" s="123"/>
      <c r="J17" s="110"/>
      <c r="K17" s="123"/>
      <c r="L17" s="91"/>
      <c r="M17" s="123"/>
      <c r="N17" s="91"/>
      <c r="O17" s="144">
        <f t="shared" si="0"/>
        <v>0</v>
      </c>
      <c r="Q17" s="7"/>
      <c r="AB17" s="496" t="s">
        <v>931</v>
      </c>
      <c r="AC17" s="10">
        <v>155</v>
      </c>
      <c r="AD17" s="10">
        <v>155</v>
      </c>
    </row>
    <row r="18" spans="2:30">
      <c r="B18" s="865"/>
      <c r="C18" s="902" t="s">
        <v>1017</v>
      </c>
      <c r="D18" s="903"/>
      <c r="E18" s="904"/>
      <c r="F18" s="72"/>
      <c r="G18" s="104"/>
      <c r="H18" s="116"/>
      <c r="I18" s="122">
        <f>식사!E25</f>
        <v>22</v>
      </c>
      <c r="J18" s="115">
        <f>$C$4+$E$4</f>
        <v>30</v>
      </c>
      <c r="K18" s="130"/>
      <c r="L18" s="138"/>
      <c r="M18" s="130"/>
      <c r="N18" s="138"/>
      <c r="O18" s="148">
        <f t="shared" si="0"/>
        <v>660</v>
      </c>
      <c r="AB18" s="497" t="s">
        <v>928</v>
      </c>
      <c r="AC18" s="10">
        <v>280</v>
      </c>
      <c r="AD18" s="10">
        <v>280</v>
      </c>
    </row>
    <row r="19" spans="2:30">
      <c r="B19" s="865"/>
      <c r="C19" s="941" t="s">
        <v>325</v>
      </c>
      <c r="D19" s="911"/>
      <c r="E19" s="912"/>
      <c r="F19" s="72"/>
      <c r="G19" s="205"/>
      <c r="H19" s="115"/>
      <c r="I19" s="102"/>
      <c r="J19" s="115"/>
      <c r="K19" s="120"/>
      <c r="L19" s="91"/>
      <c r="M19" s="120"/>
      <c r="N19" s="91"/>
      <c r="O19" s="144">
        <f t="shared" si="0"/>
        <v>0</v>
      </c>
      <c r="Q19" s="7"/>
      <c r="AB19" s="497" t="s">
        <v>442</v>
      </c>
      <c r="AC19" s="10">
        <v>366</v>
      </c>
      <c r="AD19" s="10">
        <v>366</v>
      </c>
    </row>
    <row r="20" spans="2:30" ht="18" thickBot="1">
      <c r="B20" s="906"/>
      <c r="C20" s="893" t="s">
        <v>1005</v>
      </c>
      <c r="D20" s="894"/>
      <c r="E20" s="895"/>
      <c r="F20" s="72"/>
      <c r="G20" s="102"/>
      <c r="H20" s="115"/>
      <c r="I20" s="123"/>
      <c r="J20" s="110"/>
      <c r="K20" s="123"/>
      <c r="L20" s="91"/>
      <c r="M20" s="123"/>
      <c r="N20" s="91"/>
      <c r="O20" s="144">
        <f t="shared" si="0"/>
        <v>0</v>
      </c>
      <c r="Q20" s="7"/>
    </row>
    <row r="21" spans="2:30">
      <c r="B21" s="864" t="str">
        <f>TEXT(C5+2,"m월 d일 aaaa")</f>
        <v>3월 18일 화요일</v>
      </c>
      <c r="C21" s="896" t="s">
        <v>282</v>
      </c>
      <c r="D21" s="897"/>
      <c r="E21" s="898"/>
      <c r="F21" s="72"/>
      <c r="G21" s="98"/>
      <c r="H21" s="109"/>
      <c r="I21" s="119"/>
      <c r="J21" s="109"/>
      <c r="K21" s="128">
        <f>IF(C4+E4&lt;8,'가이드&amp;차량'!C47, IF(C4+E4&lt;=14,'가이드&amp;차량'!C39,'가이드&amp;차량'!C23))</f>
        <v>630</v>
      </c>
      <c r="L21" s="90">
        <v>1</v>
      </c>
      <c r="M21" s="128">
        <f>'가이드&amp;차량'!C6</f>
        <v>375</v>
      </c>
      <c r="N21" s="90">
        <v>1</v>
      </c>
      <c r="O21" s="143">
        <f t="shared" si="0"/>
        <v>1005</v>
      </c>
      <c r="Q21" s="159" t="s">
        <v>277</v>
      </c>
    </row>
    <row r="22" spans="2:30">
      <c r="B22" s="944"/>
      <c r="C22" s="948" t="s">
        <v>1018</v>
      </c>
      <c r="D22" s="946"/>
      <c r="E22" s="947"/>
      <c r="F22" s="72"/>
      <c r="G22" s="99"/>
      <c r="H22" s="110"/>
      <c r="I22" s="102"/>
      <c r="J22" s="115"/>
      <c r="K22" s="123"/>
      <c r="L22" s="91"/>
      <c r="M22" s="102"/>
      <c r="N22" s="91"/>
      <c r="O22" s="146">
        <f t="shared" si="0"/>
        <v>0</v>
      </c>
      <c r="Q22" s="7"/>
      <c r="V22" s="498"/>
    </row>
    <row r="23" spans="2:30">
      <c r="B23" s="944"/>
      <c r="C23" s="876" t="s">
        <v>507</v>
      </c>
      <c r="D23" s="877"/>
      <c r="E23" s="878"/>
      <c r="F23" s="72"/>
      <c r="G23" s="99"/>
      <c r="H23" s="110"/>
      <c r="I23" s="122">
        <f>식사!E12</f>
        <v>15</v>
      </c>
      <c r="J23" s="115">
        <f>$C$4+$E$4</f>
        <v>30</v>
      </c>
      <c r="K23" s="120"/>
      <c r="L23" s="91"/>
      <c r="M23" s="120"/>
      <c r="N23" s="91"/>
      <c r="O23" s="144">
        <f t="shared" si="0"/>
        <v>450</v>
      </c>
      <c r="Q23" s="7"/>
    </row>
    <row r="24" spans="2:30">
      <c r="B24" s="888"/>
      <c r="C24" s="948" t="s">
        <v>1019</v>
      </c>
      <c r="D24" s="946"/>
      <c r="E24" s="947"/>
      <c r="F24" s="72"/>
      <c r="G24" s="99"/>
      <c r="H24" s="110"/>
      <c r="I24" s="102"/>
      <c r="J24" s="115"/>
      <c r="K24" s="123"/>
      <c r="L24" s="91"/>
      <c r="M24" s="102"/>
      <c r="N24" s="91"/>
      <c r="O24" s="146">
        <f t="shared" si="0"/>
        <v>0</v>
      </c>
      <c r="Q24" s="7"/>
    </row>
    <row r="25" spans="2:30">
      <c r="B25" s="888"/>
      <c r="C25" s="902" t="s">
        <v>1020</v>
      </c>
      <c r="D25" s="903"/>
      <c r="E25" s="904"/>
      <c r="F25" s="72"/>
      <c r="G25" s="99"/>
      <c r="H25" s="110"/>
      <c r="I25" s="122">
        <v>15</v>
      </c>
      <c r="J25" s="115">
        <f>$C$4+$E$4</f>
        <v>30</v>
      </c>
      <c r="K25" s="123"/>
      <c r="L25" s="91"/>
      <c r="M25" s="123"/>
      <c r="N25" s="91"/>
      <c r="O25" s="146">
        <f t="shared" si="0"/>
        <v>450</v>
      </c>
      <c r="Q25" s="7"/>
    </row>
    <row r="26" spans="2:30" ht="18" thickBot="1">
      <c r="B26" s="866"/>
      <c r="C26" s="893" t="s">
        <v>1005</v>
      </c>
      <c r="D26" s="894"/>
      <c r="E26" s="895"/>
      <c r="F26" s="72"/>
      <c r="G26" s="100"/>
      <c r="H26" s="111"/>
      <c r="I26" s="124"/>
      <c r="J26" s="126"/>
      <c r="K26" s="129"/>
      <c r="L26" s="137"/>
      <c r="M26" s="124"/>
      <c r="N26" s="137"/>
      <c r="O26" s="147">
        <f t="shared" si="0"/>
        <v>0</v>
      </c>
      <c r="Q26" s="7"/>
    </row>
    <row r="27" spans="2:30">
      <c r="B27" s="864" t="str">
        <f>TEXT(C5+3,"m월 d일 aaaa")</f>
        <v>3월 19일 수요일</v>
      </c>
      <c r="C27" s="896" t="s">
        <v>330</v>
      </c>
      <c r="D27" s="897"/>
      <c r="E27" s="898"/>
      <c r="F27" s="72"/>
      <c r="G27" s="98"/>
      <c r="H27" s="109"/>
      <c r="I27" s="119"/>
      <c r="J27" s="109"/>
      <c r="K27" s="128">
        <f>IF(C4+E4&lt;8,'가이드&amp;차량'!C47, IF(C4+E4&lt;=14,'가이드&amp;차량'!C39,'가이드&amp;차량'!C23))</f>
        <v>630</v>
      </c>
      <c r="L27" s="90">
        <f>L10</f>
        <v>1</v>
      </c>
      <c r="M27" s="128">
        <f>'가이드&amp;차량'!C6+'가이드&amp;차량'!C3</f>
        <v>525</v>
      </c>
      <c r="N27" s="90">
        <f>N10</f>
        <v>1</v>
      </c>
      <c r="O27" s="143">
        <f t="shared" si="0"/>
        <v>1155</v>
      </c>
      <c r="Q27" s="159" t="s">
        <v>278</v>
      </c>
    </row>
    <row r="28" spans="2:30">
      <c r="B28" s="944"/>
      <c r="C28" s="948" t="s">
        <v>650</v>
      </c>
      <c r="D28" s="946"/>
      <c r="E28" s="947"/>
      <c r="F28" s="72"/>
      <c r="G28" s="340"/>
      <c r="H28" s="343"/>
      <c r="I28" s="342"/>
      <c r="J28" s="343"/>
      <c r="K28" s="344"/>
      <c r="L28" s="345"/>
      <c r="M28" s="344"/>
      <c r="N28" s="345"/>
      <c r="O28" s="466">
        <f t="shared" si="0"/>
        <v>0</v>
      </c>
      <c r="Q28" s="159"/>
    </row>
    <row r="29" spans="2:30">
      <c r="B29" s="888"/>
      <c r="C29" s="876" t="s">
        <v>912</v>
      </c>
      <c r="D29" s="877"/>
      <c r="E29" s="878"/>
      <c r="F29" s="72"/>
      <c r="G29" s="99"/>
      <c r="H29" s="110"/>
      <c r="I29" s="122">
        <f>식사!E7</f>
        <v>18</v>
      </c>
      <c r="J29" s="115">
        <f>$C$4+$E$4</f>
        <v>30</v>
      </c>
      <c r="K29" s="120"/>
      <c r="L29" s="91"/>
      <c r="M29" s="120"/>
      <c r="N29" s="91"/>
      <c r="O29" s="144">
        <f t="shared" si="0"/>
        <v>540</v>
      </c>
    </row>
    <row r="30" spans="2:30">
      <c r="B30" s="888"/>
      <c r="C30" s="879" t="str">
        <f>일정!C27</f>
        <v>가든스바이더베이 2돔 ( 쥬랴기 )</v>
      </c>
      <c r="D30" s="891"/>
      <c r="E30" s="892"/>
      <c r="F30" s="72"/>
      <c r="G30" s="103">
        <f>일정!E27</f>
        <v>28.3</v>
      </c>
      <c r="H30" s="115">
        <f>$C$4+$E$4</f>
        <v>30</v>
      </c>
      <c r="I30" s="123"/>
      <c r="J30" s="110"/>
      <c r="K30" s="123"/>
      <c r="L30" s="91"/>
      <c r="M30" s="123"/>
      <c r="N30" s="91"/>
      <c r="O30" s="144">
        <f t="shared" si="0"/>
        <v>849</v>
      </c>
      <c r="V30" s="498"/>
    </row>
    <row r="31" spans="2:30">
      <c r="B31" s="888"/>
      <c r="C31" s="907" t="s">
        <v>658</v>
      </c>
      <c r="D31" s="908"/>
      <c r="E31" s="909"/>
      <c r="F31" s="72"/>
      <c r="G31" s="206"/>
      <c r="H31" s="164"/>
      <c r="I31" s="123"/>
      <c r="J31" s="110"/>
      <c r="K31" s="161"/>
      <c r="L31" s="138"/>
      <c r="M31" s="161"/>
      <c r="N31" s="138"/>
      <c r="O31" s="148">
        <f t="shared" si="0"/>
        <v>0</v>
      </c>
      <c r="V31" s="498"/>
    </row>
    <row r="32" spans="2:30">
      <c r="B32" s="888"/>
      <c r="C32" s="902" t="s">
        <v>1313</v>
      </c>
      <c r="D32" s="903"/>
      <c r="E32" s="904"/>
      <c r="F32" s="72"/>
      <c r="G32" s="104"/>
      <c r="H32" s="116"/>
      <c r="I32" s="122">
        <f>식사!E3</f>
        <v>25</v>
      </c>
      <c r="J32" s="115">
        <f>$C$4+$E$4</f>
        <v>30</v>
      </c>
      <c r="K32" s="130"/>
      <c r="L32" s="138"/>
      <c r="M32" s="130"/>
      <c r="N32" s="138"/>
      <c r="O32" s="148">
        <f t="shared" si="0"/>
        <v>750</v>
      </c>
    </row>
    <row r="33" spans="2:22" ht="18" thickBot="1">
      <c r="B33" s="866"/>
      <c r="C33" s="870" t="s">
        <v>1207</v>
      </c>
      <c r="D33" s="871"/>
      <c r="E33" s="500">
        <f>상품리스트!I18</f>
        <v>0.97916666666666663</v>
      </c>
      <c r="F33" s="34"/>
      <c r="G33" s="105"/>
      <c r="H33" s="117"/>
      <c r="I33" s="124"/>
      <c r="J33" s="126"/>
      <c r="K33" s="131"/>
      <c r="L33" s="139"/>
      <c r="M33" s="131"/>
      <c r="N33" s="139"/>
      <c r="O33" s="149">
        <f t="shared" si="0"/>
        <v>0</v>
      </c>
      <c r="P33" s="34"/>
      <c r="Q33" s="34"/>
      <c r="R33" s="34"/>
      <c r="S33" s="34"/>
      <c r="T33" s="34"/>
      <c r="U33" s="34"/>
      <c r="V33" s="498"/>
    </row>
    <row r="34" spans="2:22">
      <c r="B34" s="72"/>
      <c r="C34" s="72"/>
      <c r="D34" s="72"/>
      <c r="E34" s="72"/>
      <c r="F34" s="72"/>
      <c r="G34" s="72"/>
      <c r="H34" s="72"/>
      <c r="K34" s="132">
        <f>SUM(K10:K33)</f>
        <v>2170</v>
      </c>
      <c r="L34" s="72"/>
      <c r="M34" s="132">
        <f>SUM(M10:M33)</f>
        <v>1425</v>
      </c>
      <c r="N34" s="72"/>
      <c r="O34" s="150"/>
      <c r="P34" s="156"/>
    </row>
    <row r="35" spans="2:22" ht="18" thickBot="1">
      <c r="O35" s="150"/>
    </row>
    <row r="36" spans="2:22">
      <c r="B36" s="872" t="s">
        <v>246</v>
      </c>
      <c r="C36" s="873" t="s">
        <v>288</v>
      </c>
      <c r="D36" s="874"/>
      <c r="E36" s="875"/>
      <c r="F36" s="34"/>
      <c r="G36" s="862">
        <f>$C$4+$E$4</f>
        <v>30</v>
      </c>
      <c r="H36" s="863"/>
      <c r="I36" s="854">
        <v>3</v>
      </c>
      <c r="J36" s="854"/>
      <c r="K36" s="855">
        <v>1</v>
      </c>
      <c r="L36" s="855"/>
      <c r="M36" s="855"/>
      <c r="N36" s="855"/>
      <c r="O36" s="151">
        <f>G36*I36*K36</f>
        <v>90</v>
      </c>
    </row>
    <row r="37" spans="2:22" ht="18" thickBot="1">
      <c r="B37" s="827"/>
      <c r="C37" s="856" t="s">
        <v>451</v>
      </c>
      <c r="D37" s="857"/>
      <c r="E37" s="858"/>
      <c r="F37" s="34"/>
      <c r="G37" s="859">
        <f>$C$4+$E$4</f>
        <v>30</v>
      </c>
      <c r="H37" s="860"/>
      <c r="I37" s="860"/>
      <c r="J37" s="860"/>
      <c r="K37" s="861">
        <f>C4</f>
        <v>30</v>
      </c>
      <c r="L37" s="861"/>
      <c r="M37" s="861"/>
      <c r="N37" s="861"/>
      <c r="O37" s="152">
        <f>G37*K37</f>
        <v>900</v>
      </c>
      <c r="V37" s="493"/>
    </row>
    <row r="38" spans="2:22" ht="18" thickBot="1">
      <c r="O38" s="150"/>
      <c r="V38" s="493"/>
    </row>
    <row r="39" spans="2:22" ht="16.5" customHeight="1">
      <c r="B39" s="961" t="s">
        <v>337</v>
      </c>
      <c r="C39" s="1021" t="s">
        <v>251</v>
      </c>
      <c r="D39" s="1022"/>
      <c r="E39" s="1023"/>
      <c r="F39" s="165"/>
      <c r="G39" s="967"/>
      <c r="H39" s="1024"/>
      <c r="I39" s="969">
        <f>일정!G24</f>
        <v>30</v>
      </c>
      <c r="J39" s="970"/>
      <c r="K39" s="1044">
        <f>C4</f>
        <v>30</v>
      </c>
      <c r="L39" s="1044"/>
      <c r="M39" s="1044"/>
      <c r="N39" s="1045"/>
      <c r="O39" s="153">
        <f>G39*I39*K39</f>
        <v>0</v>
      </c>
      <c r="V39" s="493"/>
    </row>
    <row r="40" spans="2:22">
      <c r="B40" s="1019"/>
      <c r="C40" s="1025" t="s">
        <v>250</v>
      </c>
      <c r="D40" s="1026"/>
      <c r="E40" s="1027"/>
      <c r="F40" s="165"/>
      <c r="G40" s="977"/>
      <c r="H40" s="1028"/>
      <c r="I40" s="979">
        <f>일정!G30</f>
        <v>28</v>
      </c>
      <c r="J40" s="980"/>
      <c r="K40" s="1046">
        <f>$C$4+$E$4</f>
        <v>30</v>
      </c>
      <c r="L40" s="1047"/>
      <c r="M40" s="1047"/>
      <c r="N40" s="1048"/>
      <c r="O40" s="154">
        <f>G40*I40*K40</f>
        <v>0</v>
      </c>
      <c r="V40" s="493"/>
    </row>
    <row r="41" spans="2:22">
      <c r="B41" s="1019"/>
      <c r="C41" s="1025" t="s">
        <v>249</v>
      </c>
      <c r="D41" s="1026"/>
      <c r="E41" s="1027"/>
      <c r="F41" s="165"/>
      <c r="G41" s="977"/>
      <c r="H41" s="1028"/>
      <c r="I41" s="979">
        <f>일정!G35</f>
        <v>36</v>
      </c>
      <c r="J41" s="980"/>
      <c r="K41" s="1046">
        <f>C4</f>
        <v>30</v>
      </c>
      <c r="L41" s="1047"/>
      <c r="M41" s="1047"/>
      <c r="N41" s="1048"/>
      <c r="O41" s="154">
        <f>G41*I41*K41</f>
        <v>0</v>
      </c>
    </row>
    <row r="42" spans="2:22">
      <c r="B42" s="1019"/>
      <c r="C42" s="1025" t="s">
        <v>336</v>
      </c>
      <c r="D42" s="1026"/>
      <c r="E42" s="1027"/>
      <c r="F42" s="165"/>
      <c r="G42" s="977"/>
      <c r="H42" s="1028"/>
      <c r="I42" s="979">
        <f>일정!G13</f>
        <v>19</v>
      </c>
      <c r="J42" s="980"/>
      <c r="K42" s="1046">
        <f>C4</f>
        <v>30</v>
      </c>
      <c r="L42" s="1047"/>
      <c r="M42" s="1047"/>
      <c r="N42" s="1048"/>
      <c r="O42" s="154">
        <f>G42*I42*K42</f>
        <v>0</v>
      </c>
    </row>
    <row r="43" spans="2:22" ht="18" thickBot="1">
      <c r="B43" s="1020"/>
      <c r="C43" s="1030" t="s">
        <v>252</v>
      </c>
      <c r="D43" s="1031"/>
      <c r="E43" s="1032"/>
      <c r="F43" s="165"/>
      <c r="G43" s="989"/>
      <c r="H43" s="1033"/>
      <c r="I43" s="991">
        <f>일정!G29</f>
        <v>40</v>
      </c>
      <c r="J43" s="992"/>
      <c r="K43" s="1049">
        <f>$C$4+$E$4</f>
        <v>30</v>
      </c>
      <c r="L43" s="1050"/>
      <c r="M43" s="1050"/>
      <c r="N43" s="1051"/>
      <c r="O43" s="215">
        <f>G43*I43*K43</f>
        <v>0</v>
      </c>
    </row>
  </sheetData>
  <mergeCells count="77">
    <mergeCell ref="K41:N41"/>
    <mergeCell ref="C42:E42"/>
    <mergeCell ref="G42:H42"/>
    <mergeCell ref="I42:J42"/>
    <mergeCell ref="K42:N42"/>
    <mergeCell ref="B39:B43"/>
    <mergeCell ref="C39:E39"/>
    <mergeCell ref="G39:H39"/>
    <mergeCell ref="I39:J39"/>
    <mergeCell ref="K39:N39"/>
    <mergeCell ref="C40:E40"/>
    <mergeCell ref="G40:H40"/>
    <mergeCell ref="I40:J40"/>
    <mergeCell ref="K40:N40"/>
    <mergeCell ref="C41:E41"/>
    <mergeCell ref="C43:E43"/>
    <mergeCell ref="G43:H43"/>
    <mergeCell ref="I43:J43"/>
    <mergeCell ref="K43:N43"/>
    <mergeCell ref="G41:H41"/>
    <mergeCell ref="I41:J41"/>
    <mergeCell ref="B36:B37"/>
    <mergeCell ref="C36:E36"/>
    <mergeCell ref="G36:H36"/>
    <mergeCell ref="I36:J36"/>
    <mergeCell ref="K36:N36"/>
    <mergeCell ref="C37:E37"/>
    <mergeCell ref="G37:J37"/>
    <mergeCell ref="K37:N37"/>
    <mergeCell ref="B21:B26"/>
    <mergeCell ref="B27:B33"/>
    <mergeCell ref="C27:E27"/>
    <mergeCell ref="C28:E28"/>
    <mergeCell ref="C29:E29"/>
    <mergeCell ref="C30:E30"/>
    <mergeCell ref="C31:E31"/>
    <mergeCell ref="C32:E32"/>
    <mergeCell ref="C33:D33"/>
    <mergeCell ref="C21:E21"/>
    <mergeCell ref="C22:E22"/>
    <mergeCell ref="C23:E23"/>
    <mergeCell ref="C24:E24"/>
    <mergeCell ref="C25:E25"/>
    <mergeCell ref="C26:E26"/>
    <mergeCell ref="B13:B20"/>
    <mergeCell ref="C13:E13"/>
    <mergeCell ref="C14:E14"/>
    <mergeCell ref="C15:E15"/>
    <mergeCell ref="C16:E16"/>
    <mergeCell ref="C17:E17"/>
    <mergeCell ref="C18:E18"/>
    <mergeCell ref="C19:E19"/>
    <mergeCell ref="C20:E20"/>
    <mergeCell ref="H7:K7"/>
    <mergeCell ref="M8:N8"/>
    <mergeCell ref="O8:O9"/>
    <mergeCell ref="B10:B12"/>
    <mergeCell ref="C10:D10"/>
    <mergeCell ref="C11:E11"/>
    <mergeCell ref="C12:E12"/>
    <mergeCell ref="G8:H8"/>
    <mergeCell ref="I8:J8"/>
    <mergeCell ref="K8:L8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39548AB8-830C-48FE-B83A-5CB49DA995EE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927D2-A63D-4E01-B612-15B0E2D77827}">
  <dimension ref="A1:AD44"/>
  <sheetViews>
    <sheetView topLeftCell="A6" workbookViewId="0">
      <selection activeCell="C31" sqref="C31:G31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7" max="27" width="2.83203125" customWidth="1"/>
    <col min="28" max="28" width="19.33203125" bestFit="1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10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1021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Aloft Novena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180</v>
      </c>
      <c r="M2" s="140">
        <f>$I$1+$K$1</f>
        <v>10</v>
      </c>
      <c r="N2" s="106">
        <f>L2*M2</f>
        <v>1800</v>
      </c>
      <c r="O2" s="929">
        <f>SUM(N2:N6)</f>
        <v>5400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918</v>
      </c>
      <c r="AC2" s="10">
        <v>180</v>
      </c>
      <c r="AD2" s="10">
        <v>180</v>
      </c>
    </row>
    <row r="3" spans="1:30" ht="28">
      <c r="B3" s="74" t="s">
        <v>239</v>
      </c>
      <c r="C3" s="938" t="s">
        <v>944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Aloft Novena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180</v>
      </c>
      <c r="M3" s="140">
        <f>$I$1+$K$1</f>
        <v>10</v>
      </c>
      <c r="N3" s="106">
        <f>L3*M3</f>
        <v>1800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20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927" t="str">
        <f>J2</f>
        <v>Aloft Novena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180</v>
      </c>
      <c r="M4" s="141">
        <f>$I$1+$K$1</f>
        <v>10</v>
      </c>
      <c r="N4" s="106">
        <f>L4*M4</f>
        <v>1800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/>
      <c r="I5" s="926"/>
      <c r="J5" s="939"/>
      <c r="K5" s="940"/>
      <c r="L5" s="135"/>
      <c r="M5" s="140"/>
      <c r="N5" s="106"/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(SUM(O10:O44)+O2)/C4+R2+T5</f>
        <v>579.29999999999995</v>
      </c>
      <c r="D6" s="86" t="s">
        <v>254</v>
      </c>
      <c r="E6" s="94">
        <f>C6*$E$1</f>
        <v>637230</v>
      </c>
      <c r="F6" s="72"/>
      <c r="G6" s="922"/>
      <c r="H6" s="925"/>
      <c r="I6" s="926"/>
      <c r="J6" s="935"/>
      <c r="K6" s="935"/>
      <c r="L6" s="136"/>
      <c r="M6" s="89"/>
      <c r="N6" s="107"/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3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67" t="s">
        <v>1024</v>
      </c>
      <c r="D10" s="916"/>
      <c r="E10" s="499">
        <f>상품리스트!F21</f>
        <v>0.98611111111111116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280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430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4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8" thickBot="1">
      <c r="B12" s="865"/>
      <c r="C12" s="917" t="s">
        <v>247</v>
      </c>
      <c r="D12" s="918"/>
      <c r="E12" s="919"/>
      <c r="F12" s="72"/>
      <c r="G12" s="104"/>
      <c r="H12" s="314"/>
      <c r="I12" s="130"/>
      <c r="J12" s="314"/>
      <c r="K12" s="130"/>
      <c r="L12" s="138"/>
      <c r="M12" s="130"/>
      <c r="N12" s="138"/>
      <c r="O12" s="148">
        <f t="shared" si="0"/>
        <v>0</v>
      </c>
      <c r="R12" s="72"/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630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1005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865"/>
      <c r="C14" s="882" t="s">
        <v>631</v>
      </c>
      <c r="D14" s="883"/>
      <c r="E14" s="884"/>
      <c r="F14" s="72"/>
      <c r="G14" s="166"/>
      <c r="H14" s="115"/>
      <c r="I14" s="123"/>
      <c r="J14" s="110"/>
      <c r="K14" s="123"/>
      <c r="L14" s="91"/>
      <c r="M14" s="123"/>
      <c r="N14" s="91"/>
      <c r="O14" s="144">
        <f t="shared" si="0"/>
        <v>0</v>
      </c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865"/>
      <c r="C15" s="902" t="s">
        <v>629</v>
      </c>
      <c r="D15" s="903"/>
      <c r="E15" s="904"/>
      <c r="F15" s="72"/>
      <c r="G15" s="99"/>
      <c r="H15" s="110"/>
      <c r="I15" s="122">
        <f>식사!E19</f>
        <v>17</v>
      </c>
      <c r="J15" s="115">
        <f>$C$4+$E$4</f>
        <v>20</v>
      </c>
      <c r="K15" s="123"/>
      <c r="L15" s="91"/>
      <c r="M15" s="102"/>
      <c r="N15" s="91"/>
      <c r="O15" s="146">
        <f t="shared" si="0"/>
        <v>340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922</v>
      </c>
      <c r="AC15" s="10">
        <v>185</v>
      </c>
      <c r="AD15" s="10">
        <v>185</v>
      </c>
    </row>
    <row r="16" spans="1:30">
      <c r="B16" s="865"/>
      <c r="C16" s="882" t="s">
        <v>597</v>
      </c>
      <c r="D16" s="883"/>
      <c r="E16" s="884"/>
      <c r="F16" s="72"/>
      <c r="G16" s="101">
        <f>일정!E10+일정!E20</f>
        <v>53.5</v>
      </c>
      <c r="H16" s="115">
        <f>$C$4+$E$4</f>
        <v>20</v>
      </c>
      <c r="I16" s="102"/>
      <c r="J16" s="115"/>
      <c r="K16" s="123"/>
      <c r="L16" s="91"/>
      <c r="M16" s="102"/>
      <c r="N16" s="91"/>
      <c r="O16" s="146">
        <f t="shared" si="0"/>
        <v>1070</v>
      </c>
      <c r="Q16" s="7"/>
      <c r="AB16" s="496" t="s">
        <v>726</v>
      </c>
      <c r="AC16" s="10">
        <v>185</v>
      </c>
      <c r="AD16" s="10">
        <v>185</v>
      </c>
    </row>
    <row r="17" spans="2:30">
      <c r="B17" s="865"/>
      <c r="C17" s="907" t="s">
        <v>505</v>
      </c>
      <c r="D17" s="908"/>
      <c r="E17" s="909"/>
      <c r="F17" s="72"/>
      <c r="G17" s="102"/>
      <c r="H17" s="115"/>
      <c r="I17" s="123"/>
      <c r="J17" s="110"/>
      <c r="K17" s="123"/>
      <c r="L17" s="91"/>
      <c r="M17" s="123"/>
      <c r="N17" s="91"/>
      <c r="O17" s="144">
        <f t="shared" si="0"/>
        <v>0</v>
      </c>
      <c r="Q17" s="7"/>
      <c r="AB17" s="496" t="s">
        <v>931</v>
      </c>
      <c r="AC17" s="10">
        <v>155</v>
      </c>
      <c r="AD17" s="10">
        <v>155</v>
      </c>
    </row>
    <row r="18" spans="2:30">
      <c r="B18" s="865"/>
      <c r="C18" s="876" t="s">
        <v>1151</v>
      </c>
      <c r="D18" s="877"/>
      <c r="E18" s="878"/>
      <c r="F18" s="72"/>
      <c r="G18" s="99"/>
      <c r="H18" s="110"/>
      <c r="I18" s="122">
        <v>25</v>
      </c>
      <c r="J18" s="115">
        <f>$C$4+$E$4</f>
        <v>20</v>
      </c>
      <c r="K18" s="120"/>
      <c r="L18" s="91"/>
      <c r="M18" s="120"/>
      <c r="N18" s="91"/>
      <c r="O18" s="144">
        <f t="shared" si="0"/>
        <v>500</v>
      </c>
      <c r="AB18" s="496" t="s">
        <v>923</v>
      </c>
      <c r="AC18" s="10">
        <v>185</v>
      </c>
      <c r="AD18" s="10">
        <v>185</v>
      </c>
    </row>
    <row r="19" spans="2:30">
      <c r="B19" s="865"/>
      <c r="C19" s="890" t="s">
        <v>628</v>
      </c>
      <c r="D19" s="891"/>
      <c r="E19" s="892"/>
      <c r="F19" s="72"/>
      <c r="G19" s="99"/>
      <c r="H19" s="110"/>
      <c r="I19" s="102"/>
      <c r="J19" s="115"/>
      <c r="K19" s="120"/>
      <c r="L19" s="91"/>
      <c r="M19" s="120"/>
      <c r="N19" s="91"/>
      <c r="O19" s="144">
        <f t="shared" si="0"/>
        <v>0</v>
      </c>
      <c r="Q19" s="7"/>
      <c r="AB19" s="497" t="s">
        <v>928</v>
      </c>
      <c r="AC19" s="10">
        <v>280</v>
      </c>
      <c r="AD19" s="10">
        <v>280</v>
      </c>
    </row>
    <row r="20" spans="2:30" ht="18" thickBot="1">
      <c r="B20" s="906"/>
      <c r="C20" s="893" t="s">
        <v>1005</v>
      </c>
      <c r="D20" s="894"/>
      <c r="E20" s="895"/>
      <c r="F20" s="72"/>
      <c r="G20" s="102"/>
      <c r="H20" s="115"/>
      <c r="I20" s="123"/>
      <c r="J20" s="110"/>
      <c r="K20" s="123"/>
      <c r="L20" s="91"/>
      <c r="M20" s="123"/>
      <c r="N20" s="91"/>
      <c r="O20" s="144">
        <f t="shared" si="0"/>
        <v>0</v>
      </c>
      <c r="Q20" s="7"/>
      <c r="AB20" s="497" t="s">
        <v>442</v>
      </c>
      <c r="AC20" s="10">
        <v>366</v>
      </c>
      <c r="AD20" s="10">
        <v>366</v>
      </c>
    </row>
    <row r="21" spans="2:30">
      <c r="B21" s="864" t="str">
        <f>TEXT(C5+2,"m월 d일 aaaa")</f>
        <v>3월 18일 화요일</v>
      </c>
      <c r="C21" s="905" t="s">
        <v>562</v>
      </c>
      <c r="D21" s="1038"/>
      <c r="E21" s="1039"/>
      <c r="F21" s="72"/>
      <c r="G21" s="98"/>
      <c r="H21" s="109"/>
      <c r="I21" s="119"/>
      <c r="J21" s="109"/>
      <c r="K21" s="128"/>
      <c r="L21" s="90"/>
      <c r="M21" s="128"/>
      <c r="N21" s="90"/>
      <c r="O21" s="143">
        <f t="shared" si="0"/>
        <v>0</v>
      </c>
      <c r="Q21" s="159" t="s">
        <v>277</v>
      </c>
    </row>
    <row r="22" spans="2:30">
      <c r="B22" s="888"/>
      <c r="C22" s="865"/>
      <c r="D22" s="1040"/>
      <c r="E22" s="1041"/>
      <c r="F22" s="72"/>
      <c r="G22" s="102"/>
      <c r="H22" s="115"/>
      <c r="I22" s="123"/>
      <c r="J22" s="110"/>
      <c r="K22" s="123"/>
      <c r="L22" s="91"/>
      <c r="M22" s="123"/>
      <c r="N22" s="91"/>
      <c r="O22" s="144">
        <f t="shared" si="0"/>
        <v>0</v>
      </c>
      <c r="Q22" s="7"/>
    </row>
    <row r="23" spans="2:30">
      <c r="B23" s="888"/>
      <c r="C23" s="865"/>
      <c r="D23" s="1040"/>
      <c r="E23" s="1041"/>
      <c r="F23" s="72"/>
      <c r="G23" s="99"/>
      <c r="H23" s="110"/>
      <c r="I23" s="122"/>
      <c r="J23" s="115"/>
      <c r="K23" s="123"/>
      <c r="L23" s="91"/>
      <c r="M23" s="102"/>
      <c r="N23" s="91"/>
      <c r="O23" s="146">
        <f t="shared" si="0"/>
        <v>0</v>
      </c>
      <c r="Q23" s="7"/>
    </row>
    <row r="24" spans="2:30">
      <c r="B24" s="888"/>
      <c r="C24" s="865"/>
      <c r="D24" s="1040"/>
      <c r="E24" s="1041"/>
      <c r="F24" s="72"/>
      <c r="G24" s="102"/>
      <c r="H24" s="115"/>
      <c r="I24" s="102"/>
      <c r="J24" s="115"/>
      <c r="K24" s="123"/>
      <c r="L24" s="91"/>
      <c r="M24" s="102"/>
      <c r="N24" s="91"/>
      <c r="O24" s="146">
        <f t="shared" si="0"/>
        <v>0</v>
      </c>
      <c r="Q24" s="7"/>
    </row>
    <row r="25" spans="2:30">
      <c r="B25" s="888"/>
      <c r="C25" s="865"/>
      <c r="D25" s="1040"/>
      <c r="E25" s="1041"/>
      <c r="F25" s="72"/>
      <c r="G25" s="99"/>
      <c r="H25" s="110"/>
      <c r="I25" s="102"/>
      <c r="J25" s="115"/>
      <c r="K25" s="123"/>
      <c r="L25" s="91"/>
      <c r="M25" s="102"/>
      <c r="N25" s="91"/>
      <c r="O25" s="146">
        <f t="shared" si="0"/>
        <v>0</v>
      </c>
      <c r="Q25" s="7"/>
    </row>
    <row r="26" spans="2:30">
      <c r="B26" s="888"/>
      <c r="C26" s="865"/>
      <c r="D26" s="1040"/>
      <c r="E26" s="1041"/>
      <c r="F26" s="72"/>
      <c r="G26" s="99"/>
      <c r="H26" s="110"/>
      <c r="I26" s="122"/>
      <c r="J26" s="115"/>
      <c r="K26" s="123"/>
      <c r="L26" s="91"/>
      <c r="M26" s="123"/>
      <c r="N26" s="91"/>
      <c r="O26" s="146">
        <f t="shared" si="0"/>
        <v>0</v>
      </c>
      <c r="Q26" s="7"/>
    </row>
    <row r="27" spans="2:30" ht="18" thickBot="1">
      <c r="B27" s="866"/>
      <c r="C27" s="906"/>
      <c r="D27" s="1042"/>
      <c r="E27" s="1043"/>
      <c r="F27" s="72"/>
      <c r="G27" s="100"/>
      <c r="H27" s="111"/>
      <c r="I27" s="124"/>
      <c r="J27" s="126"/>
      <c r="K27" s="129"/>
      <c r="L27" s="137"/>
      <c r="M27" s="124"/>
      <c r="N27" s="137"/>
      <c r="O27" s="147">
        <f t="shared" si="0"/>
        <v>0</v>
      </c>
      <c r="Q27" s="7"/>
    </row>
    <row r="28" spans="2:30">
      <c r="B28" s="864" t="str">
        <f>TEXT(C5+3,"m월 d일 aaaa")</f>
        <v>3월 19일 수요일</v>
      </c>
      <c r="C28" s="896" t="s">
        <v>330</v>
      </c>
      <c r="D28" s="897"/>
      <c r="E28" s="898"/>
      <c r="F28" s="72"/>
      <c r="G28" s="98"/>
      <c r="H28" s="109"/>
      <c r="I28" s="119"/>
      <c r="J28" s="109"/>
      <c r="K28" s="128">
        <f>IF(C4+E4&lt;8,'가이드&amp;차량'!C47, IF(C4+E4&lt;=14,'가이드&amp;차량'!C39,'가이드&amp;차량'!C23))</f>
        <v>630</v>
      </c>
      <c r="L28" s="90">
        <f>L10</f>
        <v>1</v>
      </c>
      <c r="M28" s="128">
        <f>'가이드&amp;차량'!C6+'가이드&amp;차량'!C3</f>
        <v>525</v>
      </c>
      <c r="N28" s="90">
        <f>N10</f>
        <v>1</v>
      </c>
      <c r="O28" s="143">
        <f t="shared" si="0"/>
        <v>1155</v>
      </c>
      <c r="Q28" s="159" t="s">
        <v>278</v>
      </c>
    </row>
    <row r="29" spans="2:30">
      <c r="B29" s="888"/>
      <c r="C29" s="882" t="s">
        <v>636</v>
      </c>
      <c r="D29" s="883"/>
      <c r="E29" s="884"/>
      <c r="F29" s="72"/>
      <c r="G29" s="166"/>
      <c r="H29" s="115"/>
      <c r="I29" s="123"/>
      <c r="J29" s="110"/>
      <c r="K29" s="123"/>
      <c r="L29" s="91"/>
      <c r="M29" s="123"/>
      <c r="N29" s="91"/>
      <c r="O29" s="144">
        <f t="shared" si="0"/>
        <v>0</v>
      </c>
    </row>
    <row r="30" spans="2:30">
      <c r="B30" s="888"/>
      <c r="C30" s="876" t="s">
        <v>637</v>
      </c>
      <c r="D30" s="877"/>
      <c r="E30" s="878"/>
      <c r="F30" s="72"/>
      <c r="G30" s="99"/>
      <c r="H30" s="110"/>
      <c r="I30" s="122">
        <f>식사!E7</f>
        <v>18</v>
      </c>
      <c r="J30" s="115">
        <f>$C$4+$E$4</f>
        <v>20</v>
      </c>
      <c r="K30" s="120"/>
      <c r="L30" s="91"/>
      <c r="M30" s="120"/>
      <c r="N30" s="91"/>
      <c r="O30" s="144">
        <f t="shared" si="0"/>
        <v>360</v>
      </c>
    </row>
    <row r="31" spans="2:30">
      <c r="B31" s="888"/>
      <c r="C31" s="879" t="str">
        <f>일정!$C$27</f>
        <v>가든스바이더베이 2돔 ( 쥬랴기 )</v>
      </c>
      <c r="D31" s="891"/>
      <c r="E31" s="892"/>
      <c r="F31" s="72"/>
      <c r="G31" s="103">
        <f>일정!$E$27</f>
        <v>28.3</v>
      </c>
      <c r="H31" s="115">
        <f>$C$4+$E$4</f>
        <v>20</v>
      </c>
      <c r="I31" s="102"/>
      <c r="J31" s="115"/>
      <c r="K31" s="123"/>
      <c r="L31" s="91"/>
      <c r="M31" s="123"/>
      <c r="N31" s="91"/>
      <c r="O31" s="144">
        <f t="shared" si="0"/>
        <v>566</v>
      </c>
    </row>
    <row r="32" spans="2:30">
      <c r="B32" s="888"/>
      <c r="C32" s="907" t="s">
        <v>658</v>
      </c>
      <c r="D32" s="908"/>
      <c r="E32" s="909"/>
      <c r="F32" s="72"/>
      <c r="G32" s="206"/>
      <c r="H32" s="164"/>
      <c r="I32" s="123"/>
      <c r="J32" s="110"/>
      <c r="K32" s="161"/>
      <c r="L32" s="138"/>
      <c r="M32" s="161"/>
      <c r="N32" s="138"/>
      <c r="O32" s="148">
        <f t="shared" si="0"/>
        <v>0</v>
      </c>
    </row>
    <row r="33" spans="2:21">
      <c r="B33" s="888"/>
      <c r="C33" s="902" t="s">
        <v>840</v>
      </c>
      <c r="D33" s="903"/>
      <c r="E33" s="904"/>
      <c r="F33" s="72"/>
      <c r="G33" s="104"/>
      <c r="H33" s="116"/>
      <c r="I33" s="122">
        <f>식사!E3</f>
        <v>25</v>
      </c>
      <c r="J33" s="115">
        <f>$C$4+$E$4</f>
        <v>20</v>
      </c>
      <c r="K33" s="130"/>
      <c r="L33" s="138"/>
      <c r="M33" s="130"/>
      <c r="N33" s="138"/>
      <c r="O33" s="148">
        <f t="shared" si="0"/>
        <v>500</v>
      </c>
    </row>
    <row r="34" spans="2:21" ht="18" thickBot="1">
      <c r="B34" s="866"/>
      <c r="C34" s="870" t="s">
        <v>1207</v>
      </c>
      <c r="D34" s="871"/>
      <c r="E34" s="500">
        <f>상품리스트!I21</f>
        <v>4.8611111111111112E-2</v>
      </c>
      <c r="F34" s="34"/>
      <c r="G34" s="105"/>
      <c r="H34" s="117"/>
      <c r="I34" s="124"/>
      <c r="J34" s="126"/>
      <c r="K34" s="131"/>
      <c r="L34" s="139"/>
      <c r="M34" s="131"/>
      <c r="N34" s="139"/>
      <c r="O34" s="149">
        <f t="shared" si="0"/>
        <v>0</v>
      </c>
      <c r="P34" s="34"/>
      <c r="Q34" s="34"/>
      <c r="R34" s="34"/>
      <c r="S34" s="34"/>
      <c r="T34" s="34"/>
      <c r="U34" s="34"/>
    </row>
    <row r="35" spans="2:21">
      <c r="B35" s="72"/>
      <c r="C35" s="72"/>
      <c r="D35" s="72"/>
      <c r="E35" s="72"/>
      <c r="F35" s="72"/>
      <c r="G35" s="72"/>
      <c r="H35" s="72"/>
      <c r="K35" s="132">
        <f>SUM(K10:K34)</f>
        <v>1540</v>
      </c>
      <c r="L35" s="72"/>
      <c r="M35" s="132">
        <f>SUM(M10:M34)</f>
        <v>1050</v>
      </c>
      <c r="N35" s="72"/>
      <c r="O35" s="150"/>
      <c r="P35" s="156"/>
    </row>
    <row r="36" spans="2:21" ht="18" thickBot="1">
      <c r="O36" s="150"/>
    </row>
    <row r="37" spans="2:21">
      <c r="B37" s="872" t="s">
        <v>246</v>
      </c>
      <c r="C37" s="873" t="s">
        <v>288</v>
      </c>
      <c r="D37" s="874"/>
      <c r="E37" s="875"/>
      <c r="F37" s="34"/>
      <c r="G37" s="862">
        <f>$C$4+$E$4</f>
        <v>20</v>
      </c>
      <c r="H37" s="863"/>
      <c r="I37" s="854">
        <v>3</v>
      </c>
      <c r="J37" s="854"/>
      <c r="K37" s="855">
        <v>1</v>
      </c>
      <c r="L37" s="855"/>
      <c r="M37" s="855"/>
      <c r="N37" s="855"/>
      <c r="O37" s="151">
        <f>G37*I37*K37</f>
        <v>60</v>
      </c>
    </row>
    <row r="38" spans="2:21" ht="18" thickBot="1">
      <c r="B38" s="827"/>
      <c r="C38" s="856" t="s">
        <v>451</v>
      </c>
      <c r="D38" s="857"/>
      <c r="E38" s="858"/>
      <c r="F38" s="34"/>
      <c r="G38" s="859">
        <v>50</v>
      </c>
      <c r="H38" s="860"/>
      <c r="I38" s="860"/>
      <c r="J38" s="860"/>
      <c r="K38" s="861">
        <f>C4</f>
        <v>20</v>
      </c>
      <c r="L38" s="861"/>
      <c r="M38" s="861"/>
      <c r="N38" s="861"/>
      <c r="O38" s="152">
        <f>G38*K38</f>
        <v>1000</v>
      </c>
    </row>
    <row r="39" spans="2:21" ht="18" thickBot="1">
      <c r="O39" s="150"/>
    </row>
    <row r="40" spans="2:21" ht="16.5" customHeight="1">
      <c r="B40" s="961" t="s">
        <v>337</v>
      </c>
      <c r="C40" s="1021" t="s">
        <v>251</v>
      </c>
      <c r="D40" s="1022"/>
      <c r="E40" s="1023"/>
      <c r="F40" s="165"/>
      <c r="G40" s="967"/>
      <c r="H40" s="1024"/>
      <c r="I40" s="969">
        <f>일정!G24</f>
        <v>30</v>
      </c>
      <c r="J40" s="970"/>
      <c r="K40" s="1044">
        <f>C4</f>
        <v>20</v>
      </c>
      <c r="L40" s="1044"/>
      <c r="M40" s="1044"/>
      <c r="N40" s="1045"/>
      <c r="O40" s="153">
        <f>G40*I40*K40</f>
        <v>0</v>
      </c>
    </row>
    <row r="41" spans="2:21">
      <c r="B41" s="1019"/>
      <c r="C41" s="1025" t="s">
        <v>250</v>
      </c>
      <c r="D41" s="1026"/>
      <c r="E41" s="1027"/>
      <c r="F41" s="165"/>
      <c r="G41" s="977"/>
      <c r="H41" s="1028"/>
      <c r="I41" s="979">
        <f>일정!G30</f>
        <v>28</v>
      </c>
      <c r="J41" s="980"/>
      <c r="K41" s="1046">
        <f>C4</f>
        <v>20</v>
      </c>
      <c r="L41" s="1047"/>
      <c r="M41" s="1047"/>
      <c r="N41" s="1048"/>
      <c r="O41" s="154">
        <f>G41*I41*K41</f>
        <v>0</v>
      </c>
    </row>
    <row r="42" spans="2:21">
      <c r="B42" s="1019"/>
      <c r="C42" s="1025" t="s">
        <v>249</v>
      </c>
      <c r="D42" s="1026"/>
      <c r="E42" s="1027"/>
      <c r="F42" s="165"/>
      <c r="G42" s="977"/>
      <c r="H42" s="1028"/>
      <c r="I42" s="979">
        <f>일정!G35</f>
        <v>36</v>
      </c>
      <c r="J42" s="980"/>
      <c r="K42" s="1046">
        <f>C4</f>
        <v>20</v>
      </c>
      <c r="L42" s="1047"/>
      <c r="M42" s="1047"/>
      <c r="N42" s="1048"/>
      <c r="O42" s="154">
        <f>G42*I42*K42</f>
        <v>0</v>
      </c>
    </row>
    <row r="43" spans="2:21">
      <c r="B43" s="1019"/>
      <c r="C43" s="1025" t="s">
        <v>336</v>
      </c>
      <c r="D43" s="1026"/>
      <c r="E43" s="1027"/>
      <c r="F43" s="165"/>
      <c r="G43" s="977"/>
      <c r="H43" s="1028"/>
      <c r="I43" s="979">
        <f>일정!G13</f>
        <v>19</v>
      </c>
      <c r="J43" s="980"/>
      <c r="K43" s="1046">
        <f>C4</f>
        <v>20</v>
      </c>
      <c r="L43" s="1047"/>
      <c r="M43" s="1047"/>
      <c r="N43" s="1048"/>
      <c r="O43" s="154">
        <f>G43*I43*K43</f>
        <v>0</v>
      </c>
    </row>
    <row r="44" spans="2:21" ht="18" thickBot="1">
      <c r="B44" s="1020"/>
      <c r="C44" s="1030" t="s">
        <v>252</v>
      </c>
      <c r="D44" s="1031"/>
      <c r="E44" s="1032"/>
      <c r="F44" s="165"/>
      <c r="G44" s="989"/>
      <c r="H44" s="1033"/>
      <c r="I44" s="991">
        <f>일정!G29</f>
        <v>40</v>
      </c>
      <c r="J44" s="992"/>
      <c r="K44" s="1049">
        <f>C4</f>
        <v>20</v>
      </c>
      <c r="L44" s="1050"/>
      <c r="M44" s="1050"/>
      <c r="N44" s="1051"/>
      <c r="O44" s="215">
        <f>G44*I44*K44</f>
        <v>0</v>
      </c>
    </row>
  </sheetData>
  <mergeCells count="72"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  <mergeCell ref="H7:K7"/>
    <mergeCell ref="M8:N8"/>
    <mergeCell ref="O8:O9"/>
    <mergeCell ref="B10:B12"/>
    <mergeCell ref="C10:D10"/>
    <mergeCell ref="C11:E11"/>
    <mergeCell ref="C12:E12"/>
    <mergeCell ref="G8:H8"/>
    <mergeCell ref="I8:J8"/>
    <mergeCell ref="K8:L8"/>
    <mergeCell ref="B13:B20"/>
    <mergeCell ref="C13:E13"/>
    <mergeCell ref="C14:E14"/>
    <mergeCell ref="C15:E15"/>
    <mergeCell ref="C16:E16"/>
    <mergeCell ref="C17:E17"/>
    <mergeCell ref="C18:E18"/>
    <mergeCell ref="C19:E19"/>
    <mergeCell ref="C20:E20"/>
    <mergeCell ref="B21:B27"/>
    <mergeCell ref="C21:E27"/>
    <mergeCell ref="B28:B34"/>
    <mergeCell ref="C28:E28"/>
    <mergeCell ref="C29:E29"/>
    <mergeCell ref="C30:E30"/>
    <mergeCell ref="C31:E31"/>
    <mergeCell ref="C32:E32"/>
    <mergeCell ref="C33:E33"/>
    <mergeCell ref="C34:D34"/>
    <mergeCell ref="B37:B38"/>
    <mergeCell ref="C37:E37"/>
    <mergeCell ref="G37:H37"/>
    <mergeCell ref="I37:J37"/>
    <mergeCell ref="K37:N37"/>
    <mergeCell ref="C38:E38"/>
    <mergeCell ref="G38:J38"/>
    <mergeCell ref="K38:N38"/>
    <mergeCell ref="B40:B44"/>
    <mergeCell ref="C40:E40"/>
    <mergeCell ref="G40:H40"/>
    <mergeCell ref="I40:J40"/>
    <mergeCell ref="K40:N40"/>
    <mergeCell ref="C41:E41"/>
    <mergeCell ref="G41:H41"/>
    <mergeCell ref="I41:J41"/>
    <mergeCell ref="K41:N41"/>
    <mergeCell ref="C42:E42"/>
    <mergeCell ref="C44:E44"/>
    <mergeCell ref="G44:H44"/>
    <mergeCell ref="I44:J44"/>
    <mergeCell ref="K44:N44"/>
    <mergeCell ref="G42:H42"/>
    <mergeCell ref="I42:J42"/>
    <mergeCell ref="K42:N42"/>
    <mergeCell ref="C43:E43"/>
    <mergeCell ref="G43:H43"/>
    <mergeCell ref="I43:J43"/>
    <mergeCell ref="K43:N43"/>
  </mergeCells>
  <phoneticPr fontId="1" type="noConversion"/>
  <hyperlinks>
    <hyperlink ref="A1" location="상품리스트!A1" display="home" xr:uid="{DC5C12DC-283D-49FB-B300-57F3187FD4C6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BDBCD-F137-4FA1-A6BA-F7762FF43E08}">
  <dimension ref="A1:AD42"/>
  <sheetViews>
    <sheetView workbookViewId="0">
      <selection activeCell="Q26" sqref="Q26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10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655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Aloft Novena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180</v>
      </c>
      <c r="M2" s="140">
        <f>$I$1+$K$1</f>
        <v>10</v>
      </c>
      <c r="N2" s="106">
        <f>L2*M2</f>
        <v>1800</v>
      </c>
      <c r="O2" s="929">
        <f>SUM(N2:N6)</f>
        <v>5400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918</v>
      </c>
      <c r="AC2" s="10">
        <v>180</v>
      </c>
      <c r="AD2" s="10">
        <v>180</v>
      </c>
    </row>
    <row r="3" spans="1:30" ht="28">
      <c r="B3" s="74" t="s">
        <v>239</v>
      </c>
      <c r="C3" s="938" t="s">
        <v>659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Aloft Novena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180</v>
      </c>
      <c r="M3" s="140">
        <f>$I$1+$K$1</f>
        <v>10</v>
      </c>
      <c r="N3" s="106">
        <f>L3*M3</f>
        <v>1800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20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927" t="str">
        <f>J2</f>
        <v>Aloft Novena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180</v>
      </c>
      <c r="M4" s="141">
        <f>$I$1+$K$1</f>
        <v>10</v>
      </c>
      <c r="N4" s="106">
        <f>L4*M4</f>
        <v>1800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/>
      <c r="I5" s="926"/>
      <c r="J5" s="939"/>
      <c r="K5" s="940"/>
      <c r="L5" s="135"/>
      <c r="M5" s="140"/>
      <c r="N5" s="106">
        <f>L5*M5</f>
        <v>0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(SUM(O10:O42)+O2)/C4+R5+T6</f>
        <v>750.85</v>
      </c>
      <c r="D6" s="86" t="s">
        <v>254</v>
      </c>
      <c r="E6" s="94">
        <f>C6*$E$1</f>
        <v>825935</v>
      </c>
      <c r="F6" s="72"/>
      <c r="G6" s="922"/>
      <c r="H6" s="925"/>
      <c r="I6" s="926"/>
      <c r="J6" s="935"/>
      <c r="K6" s="935"/>
      <c r="L6" s="136"/>
      <c r="M6" s="89"/>
      <c r="N6" s="107">
        <f>L6*M6</f>
        <v>0</v>
      </c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2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96" t="s">
        <v>618</v>
      </c>
      <c r="D10" s="897"/>
      <c r="E10" s="898"/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280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430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3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630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1005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865"/>
      <c r="C14" s="907" t="s">
        <v>656</v>
      </c>
      <c r="D14" s="908"/>
      <c r="E14" s="909"/>
      <c r="F14" s="72"/>
      <c r="G14" s="102"/>
      <c r="H14" s="115"/>
      <c r="I14" s="120"/>
      <c r="J14" s="110"/>
      <c r="K14" s="123"/>
      <c r="L14" s="91"/>
      <c r="M14" s="123"/>
      <c r="N14" s="91"/>
      <c r="O14" s="144">
        <f t="shared" si="0"/>
        <v>0</v>
      </c>
      <c r="Q14" s="7"/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865"/>
      <c r="C15" s="876" t="s">
        <v>332</v>
      </c>
      <c r="D15" s="877"/>
      <c r="E15" s="878"/>
      <c r="F15" s="72"/>
      <c r="G15" s="99"/>
      <c r="H15" s="110"/>
      <c r="I15" s="122">
        <f>식사!E19</f>
        <v>17</v>
      </c>
      <c r="J15" s="115">
        <f>$C$4+$E$4</f>
        <v>20</v>
      </c>
      <c r="K15" s="120"/>
      <c r="L15" s="91"/>
      <c r="M15" s="120"/>
      <c r="N15" s="91"/>
      <c r="O15" s="144">
        <f t="shared" si="0"/>
        <v>340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922</v>
      </c>
      <c r="AC15" s="10">
        <v>185</v>
      </c>
      <c r="AD15" s="10">
        <v>185</v>
      </c>
    </row>
    <row r="16" spans="1:30">
      <c r="B16" s="865"/>
      <c r="C16" s="882" t="s">
        <v>504</v>
      </c>
      <c r="D16" s="883"/>
      <c r="E16" s="884"/>
      <c r="F16" s="72"/>
      <c r="G16" s="103">
        <f>일정!E10+일정!E20</f>
        <v>53.5</v>
      </c>
      <c r="H16" s="115">
        <f>$C$4+$E$4</f>
        <v>20</v>
      </c>
      <c r="I16" s="123"/>
      <c r="J16" s="110"/>
      <c r="K16" s="123"/>
      <c r="L16" s="91"/>
      <c r="M16" s="123"/>
      <c r="N16" s="91"/>
      <c r="O16" s="144">
        <f t="shared" si="0"/>
        <v>1070</v>
      </c>
      <c r="Q16" s="7"/>
      <c r="AB16" s="496" t="s">
        <v>726</v>
      </c>
      <c r="AC16" s="10">
        <v>185</v>
      </c>
      <c r="AD16" s="10">
        <v>185</v>
      </c>
    </row>
    <row r="17" spans="2:30">
      <c r="B17" s="865"/>
      <c r="C17" s="890" t="s">
        <v>505</v>
      </c>
      <c r="D17" s="891"/>
      <c r="E17" s="892"/>
      <c r="F17" s="72"/>
      <c r="G17" s="102"/>
      <c r="H17" s="115"/>
      <c r="I17" s="123"/>
      <c r="J17" s="110"/>
      <c r="K17" s="123"/>
      <c r="L17" s="91"/>
      <c r="M17" s="123"/>
      <c r="N17" s="91"/>
      <c r="O17" s="144">
        <f t="shared" si="0"/>
        <v>0</v>
      </c>
      <c r="Q17" s="7"/>
      <c r="AB17" s="496" t="s">
        <v>931</v>
      </c>
      <c r="AC17" s="10">
        <v>155</v>
      </c>
      <c r="AD17" s="10">
        <v>155</v>
      </c>
    </row>
    <row r="18" spans="2:30">
      <c r="B18" s="865"/>
      <c r="C18" s="876" t="s">
        <v>506</v>
      </c>
      <c r="D18" s="877"/>
      <c r="E18" s="878"/>
      <c r="F18" s="72"/>
      <c r="G18" s="99"/>
      <c r="H18" s="110"/>
      <c r="I18" s="122">
        <f>식사!E21</f>
        <v>18</v>
      </c>
      <c r="J18" s="115">
        <f>$C$4+$E$4</f>
        <v>20</v>
      </c>
      <c r="K18" s="120"/>
      <c r="L18" s="91"/>
      <c r="M18" s="120"/>
      <c r="N18" s="91"/>
      <c r="O18" s="144">
        <f t="shared" si="0"/>
        <v>360</v>
      </c>
      <c r="Q18" s="7"/>
      <c r="AB18" s="496" t="s">
        <v>923</v>
      </c>
      <c r="AC18" s="10">
        <v>185</v>
      </c>
      <c r="AD18" s="10">
        <v>185</v>
      </c>
    </row>
    <row r="19" spans="2:30">
      <c r="B19" s="865"/>
      <c r="C19" s="941" t="s">
        <v>325</v>
      </c>
      <c r="D19" s="911"/>
      <c r="E19" s="912"/>
      <c r="F19" s="72"/>
      <c r="G19" s="205"/>
      <c r="H19" s="115"/>
      <c r="I19" s="102"/>
      <c r="J19" s="115"/>
      <c r="K19" s="120"/>
      <c r="L19" s="91"/>
      <c r="M19" s="120"/>
      <c r="N19" s="91"/>
      <c r="O19" s="144">
        <f t="shared" si="0"/>
        <v>0</v>
      </c>
      <c r="Q19" s="7"/>
      <c r="AB19" s="497" t="s">
        <v>928</v>
      </c>
      <c r="AC19" s="10">
        <v>280</v>
      </c>
      <c r="AD19" s="10">
        <v>280</v>
      </c>
    </row>
    <row r="20" spans="2:30" ht="18" thickBot="1">
      <c r="B20" s="906"/>
      <c r="C20" s="893" t="s">
        <v>648</v>
      </c>
      <c r="D20" s="894"/>
      <c r="E20" s="895"/>
      <c r="F20" s="72"/>
      <c r="G20" s="102"/>
      <c r="H20" s="115"/>
      <c r="I20" s="123"/>
      <c r="J20" s="110"/>
      <c r="K20" s="123"/>
      <c r="L20" s="91"/>
      <c r="M20" s="123"/>
      <c r="N20" s="91"/>
      <c r="O20" s="144">
        <f t="shared" si="0"/>
        <v>0</v>
      </c>
      <c r="Q20" s="7"/>
      <c r="AB20" s="497" t="s">
        <v>442</v>
      </c>
      <c r="AC20" s="10">
        <v>366</v>
      </c>
      <c r="AD20" s="10">
        <v>366</v>
      </c>
    </row>
    <row r="21" spans="2:30">
      <c r="B21" s="864" t="str">
        <f>TEXT(C5+2,"m월 d일 aaaa")</f>
        <v>3월 18일 화요일</v>
      </c>
      <c r="C21" s="896" t="s">
        <v>240</v>
      </c>
      <c r="D21" s="897"/>
      <c r="E21" s="898"/>
      <c r="F21" s="72"/>
      <c r="G21" s="98"/>
      <c r="H21" s="109"/>
      <c r="I21" s="119"/>
      <c r="J21" s="109"/>
      <c r="K21" s="128">
        <f>IF(C4+E4&lt;8,'가이드&amp;차량'!C47, IF(C4+E4&lt;=14,'가이드&amp;차량'!C39,'가이드&amp;차량'!C23))</f>
        <v>630</v>
      </c>
      <c r="L21" s="90">
        <f>L10</f>
        <v>1</v>
      </c>
      <c r="M21" s="128">
        <f>'가이드&amp;차량'!C6</f>
        <v>375</v>
      </c>
      <c r="N21" s="90">
        <f>N10</f>
        <v>1</v>
      </c>
      <c r="O21" s="143">
        <f t="shared" si="0"/>
        <v>1005</v>
      </c>
      <c r="Q21" s="159" t="s">
        <v>277</v>
      </c>
    </row>
    <row r="22" spans="2:30">
      <c r="B22" s="888"/>
      <c r="C22" s="899" t="s">
        <v>280</v>
      </c>
      <c r="D22" s="883"/>
      <c r="E22" s="884"/>
      <c r="F22" s="72"/>
      <c r="G22" s="101">
        <f>일정!E3</f>
        <v>75.3</v>
      </c>
      <c r="H22" s="115">
        <f>$C$4+$E$4</f>
        <v>20</v>
      </c>
      <c r="I22" s="123"/>
      <c r="J22" s="110"/>
      <c r="K22" s="123"/>
      <c r="L22" s="91"/>
      <c r="M22" s="123"/>
      <c r="N22" s="91"/>
      <c r="O22" s="144">
        <f t="shared" si="0"/>
        <v>1506</v>
      </c>
      <c r="Q22" s="7"/>
    </row>
    <row r="23" spans="2:30">
      <c r="B23" s="888"/>
      <c r="C23" s="902" t="s">
        <v>339</v>
      </c>
      <c r="D23" s="903"/>
      <c r="E23" s="904"/>
      <c r="F23" s="72"/>
      <c r="G23" s="99"/>
      <c r="H23" s="110"/>
      <c r="I23" s="102"/>
      <c r="J23" s="115"/>
      <c r="K23" s="123"/>
      <c r="L23" s="91"/>
      <c r="M23" s="102"/>
      <c r="N23" s="91"/>
      <c r="O23" s="146">
        <f t="shared" si="0"/>
        <v>0</v>
      </c>
      <c r="Q23" s="7"/>
    </row>
    <row r="24" spans="2:30">
      <c r="B24" s="888"/>
      <c r="C24" s="899" t="s">
        <v>280</v>
      </c>
      <c r="D24" s="900"/>
      <c r="E24" s="901"/>
      <c r="F24" s="72"/>
      <c r="G24" s="166"/>
      <c r="H24" s="115"/>
      <c r="I24" s="102"/>
      <c r="J24" s="115"/>
      <c r="K24" s="123"/>
      <c r="L24" s="91"/>
      <c r="M24" s="102"/>
      <c r="N24" s="91"/>
      <c r="O24" s="146">
        <f t="shared" si="0"/>
        <v>0</v>
      </c>
      <c r="Q24" s="7"/>
    </row>
    <row r="25" spans="2:30">
      <c r="B25" s="888"/>
      <c r="C25" s="902" t="s">
        <v>657</v>
      </c>
      <c r="D25" s="903"/>
      <c r="E25" s="904"/>
      <c r="F25" s="72"/>
      <c r="G25" s="99"/>
      <c r="H25" s="110"/>
      <c r="I25" s="122">
        <v>15</v>
      </c>
      <c r="J25" s="115">
        <f>$C$4+$E$4</f>
        <v>20</v>
      </c>
      <c r="K25" s="123"/>
      <c r="L25" s="91"/>
      <c r="M25" s="123"/>
      <c r="N25" s="91"/>
      <c r="O25" s="146">
        <f t="shared" si="0"/>
        <v>300</v>
      </c>
      <c r="Q25" s="7"/>
    </row>
    <row r="26" spans="2:30" ht="18" thickBot="1">
      <c r="B26" s="866"/>
      <c r="C26" s="917" t="s">
        <v>248</v>
      </c>
      <c r="D26" s="918"/>
      <c r="E26" s="919"/>
      <c r="F26" s="72"/>
      <c r="G26" s="100"/>
      <c r="H26" s="111"/>
      <c r="I26" s="124"/>
      <c r="J26" s="126"/>
      <c r="K26" s="129"/>
      <c r="L26" s="137"/>
      <c r="M26" s="124"/>
      <c r="N26" s="137"/>
      <c r="O26" s="147">
        <f t="shared" si="0"/>
        <v>0</v>
      </c>
      <c r="Q26" s="7"/>
    </row>
    <row r="27" spans="2:30">
      <c r="B27" s="864" t="str">
        <f>TEXT(C5+3,"m월 d일 aaaa")</f>
        <v>3월 19일 수요일</v>
      </c>
      <c r="C27" s="896" t="s">
        <v>330</v>
      </c>
      <c r="D27" s="897"/>
      <c r="E27" s="898"/>
      <c r="F27" s="72"/>
      <c r="G27" s="98"/>
      <c r="H27" s="109"/>
      <c r="I27" s="119"/>
      <c r="J27" s="109"/>
      <c r="K27" s="128">
        <f>IF(C4+E4&lt;8,'가이드&amp;차량'!C47, IF(C4+E4&lt;=14,'가이드&amp;차량'!C39,'가이드&amp;차량'!C23))</f>
        <v>630</v>
      </c>
      <c r="L27" s="90">
        <f>L10</f>
        <v>1</v>
      </c>
      <c r="M27" s="128">
        <f>'가이드&amp;차량'!C6+'가이드&amp;차량'!C3</f>
        <v>525</v>
      </c>
      <c r="N27" s="90">
        <f>N10</f>
        <v>1</v>
      </c>
      <c r="O27" s="143">
        <f t="shared" si="0"/>
        <v>1155</v>
      </c>
      <c r="Q27" s="159" t="s">
        <v>278</v>
      </c>
    </row>
    <row r="28" spans="2:30">
      <c r="B28" s="888"/>
      <c r="C28" s="907" t="s">
        <v>636</v>
      </c>
      <c r="D28" s="908"/>
      <c r="E28" s="909"/>
      <c r="F28" s="72"/>
      <c r="G28" s="102"/>
      <c r="H28" s="115"/>
      <c r="I28" s="123"/>
      <c r="J28" s="110"/>
      <c r="K28" s="123"/>
      <c r="L28" s="91"/>
      <c r="M28" s="123"/>
      <c r="N28" s="91"/>
      <c r="O28" s="144">
        <f t="shared" si="0"/>
        <v>0</v>
      </c>
    </row>
    <row r="29" spans="2:30">
      <c r="B29" s="888"/>
      <c r="C29" s="876" t="s">
        <v>549</v>
      </c>
      <c r="D29" s="877"/>
      <c r="E29" s="878"/>
      <c r="F29" s="72"/>
      <c r="G29" s="99"/>
      <c r="H29" s="110"/>
      <c r="I29" s="122">
        <f>식사!E7</f>
        <v>18</v>
      </c>
      <c r="J29" s="115">
        <f>$C$4+$E$4</f>
        <v>20</v>
      </c>
      <c r="K29" s="120"/>
      <c r="L29" s="91"/>
      <c r="M29" s="120"/>
      <c r="N29" s="91"/>
      <c r="O29" s="144">
        <f t="shared" si="0"/>
        <v>360</v>
      </c>
    </row>
    <row r="30" spans="2:30">
      <c r="B30" s="888"/>
      <c r="C30" s="879" t="str">
        <f>일정!$C$27</f>
        <v>가든스바이더베이 2돔 ( 쥬랴기 )</v>
      </c>
      <c r="D30" s="891"/>
      <c r="E30" s="892"/>
      <c r="F30" s="72"/>
      <c r="G30" s="103">
        <f>일정!$E$27</f>
        <v>28.3</v>
      </c>
      <c r="H30" s="115">
        <f>$C$4+$E$4</f>
        <v>20</v>
      </c>
      <c r="I30" s="123"/>
      <c r="J30" s="110"/>
      <c r="K30" s="123"/>
      <c r="L30" s="91"/>
      <c r="M30" s="123"/>
      <c r="N30" s="91"/>
      <c r="O30" s="144">
        <f t="shared" si="0"/>
        <v>566</v>
      </c>
    </row>
    <row r="31" spans="2:30">
      <c r="B31" s="888"/>
      <c r="C31" s="907" t="s">
        <v>658</v>
      </c>
      <c r="D31" s="908"/>
      <c r="E31" s="909"/>
      <c r="F31" s="72"/>
      <c r="G31" s="206"/>
      <c r="H31" s="164"/>
      <c r="I31" s="123"/>
      <c r="J31" s="110"/>
      <c r="K31" s="161"/>
      <c r="L31" s="138"/>
      <c r="M31" s="161"/>
      <c r="N31" s="138"/>
      <c r="O31" s="148">
        <f t="shared" si="0"/>
        <v>0</v>
      </c>
    </row>
    <row r="32" spans="2:30">
      <c r="B32" s="888"/>
      <c r="C32" s="902" t="s">
        <v>508</v>
      </c>
      <c r="D32" s="903"/>
      <c r="E32" s="904"/>
      <c r="F32" s="72"/>
      <c r="G32" s="104"/>
      <c r="H32" s="116"/>
      <c r="I32" s="122">
        <f>식사!E15</f>
        <v>18</v>
      </c>
      <c r="J32" s="115">
        <f>$C$4+$E$4</f>
        <v>20</v>
      </c>
      <c r="K32" s="130"/>
      <c r="L32" s="138"/>
      <c r="M32" s="130"/>
      <c r="N32" s="138"/>
      <c r="O32" s="148">
        <f t="shared" si="0"/>
        <v>360</v>
      </c>
    </row>
    <row r="33" spans="2:21" ht="18" thickBot="1">
      <c r="B33" s="866"/>
      <c r="C33" s="870" t="s">
        <v>1207</v>
      </c>
      <c r="D33" s="871"/>
      <c r="E33" s="500">
        <v>2250</v>
      </c>
      <c r="F33" s="34"/>
      <c r="G33" s="105"/>
      <c r="H33" s="117"/>
      <c r="I33" s="124"/>
      <c r="J33" s="126"/>
      <c r="K33" s="131"/>
      <c r="L33" s="139"/>
      <c r="M33" s="131"/>
      <c r="N33" s="139"/>
      <c r="O33" s="149">
        <f t="shared" si="0"/>
        <v>0</v>
      </c>
      <c r="P33" s="34"/>
      <c r="Q33" s="34"/>
      <c r="R33" s="34"/>
      <c r="S33" s="34"/>
      <c r="T33" s="34"/>
      <c r="U33" s="34"/>
    </row>
    <row r="34" spans="2:21">
      <c r="B34" s="72"/>
      <c r="C34" s="72"/>
      <c r="D34" s="72"/>
      <c r="E34" s="72"/>
      <c r="F34" s="72"/>
      <c r="G34" s="72"/>
      <c r="H34" s="72"/>
      <c r="K34" s="132">
        <f>SUM(K10:K33)</f>
        <v>2170</v>
      </c>
      <c r="L34" s="72"/>
      <c r="M34" s="132">
        <f>SUM(M10:M33)</f>
        <v>1425</v>
      </c>
      <c r="N34" s="72"/>
      <c r="O34" s="150"/>
      <c r="P34" s="156"/>
    </row>
    <row r="35" spans="2:21" ht="18" thickBot="1">
      <c r="O35" s="150"/>
    </row>
    <row r="36" spans="2:21">
      <c r="B36" s="993" t="s">
        <v>246</v>
      </c>
      <c r="C36" s="995" t="s">
        <v>288</v>
      </c>
      <c r="D36" s="996"/>
      <c r="E36" s="997"/>
      <c r="F36" s="34"/>
      <c r="G36" s="998">
        <f>$C$4+$E$4</f>
        <v>20</v>
      </c>
      <c r="H36" s="999"/>
      <c r="I36" s="1000">
        <v>3</v>
      </c>
      <c r="J36" s="1001"/>
      <c r="K36" s="1002">
        <v>1</v>
      </c>
      <c r="L36" s="1003"/>
      <c r="M36" s="1003"/>
      <c r="N36" s="830"/>
      <c r="O36" s="151">
        <f>G36*I36*K36</f>
        <v>60</v>
      </c>
    </row>
    <row r="37" spans="2:21" ht="18" thickBot="1">
      <c r="B37" s="994"/>
      <c r="C37" s="1004" t="s">
        <v>451</v>
      </c>
      <c r="D37" s="1005"/>
      <c r="E37" s="1006"/>
      <c r="F37" s="34"/>
      <c r="G37" s="1007">
        <v>50</v>
      </c>
      <c r="H37" s="1008"/>
      <c r="I37" s="1008"/>
      <c r="J37" s="1009"/>
      <c r="K37" s="1010">
        <f>C4</f>
        <v>20</v>
      </c>
      <c r="L37" s="1011"/>
      <c r="M37" s="1011"/>
      <c r="N37" s="1012"/>
      <c r="O37" s="152">
        <f>G37*K37</f>
        <v>1000</v>
      </c>
    </row>
    <row r="38" spans="2:21" ht="18" thickBot="1">
      <c r="O38" s="150"/>
    </row>
    <row r="39" spans="2:21">
      <c r="B39" s="961" t="s">
        <v>337</v>
      </c>
      <c r="C39" s="1021" t="s">
        <v>251</v>
      </c>
      <c r="D39" s="1022"/>
      <c r="E39" s="1023"/>
      <c r="F39" s="165"/>
      <c r="G39" s="967"/>
      <c r="H39" s="1024"/>
      <c r="I39" s="969">
        <f>일정!G24</f>
        <v>30</v>
      </c>
      <c r="J39" s="970"/>
      <c r="K39" s="972">
        <f>C4</f>
        <v>20</v>
      </c>
      <c r="L39" s="972"/>
      <c r="M39" s="972"/>
      <c r="N39" s="973"/>
      <c r="O39" s="153">
        <f>G39*I39*K39</f>
        <v>0</v>
      </c>
    </row>
    <row r="40" spans="2:21">
      <c r="B40" s="1019"/>
      <c r="C40" s="1025" t="s">
        <v>250</v>
      </c>
      <c r="D40" s="1026"/>
      <c r="E40" s="1027"/>
      <c r="F40" s="165"/>
      <c r="G40" s="977"/>
      <c r="H40" s="1028"/>
      <c r="I40" s="979">
        <f>일정!G30</f>
        <v>28</v>
      </c>
      <c r="J40" s="980"/>
      <c r="K40" s="982">
        <f>C4</f>
        <v>20</v>
      </c>
      <c r="L40" s="982"/>
      <c r="M40" s="982"/>
      <c r="N40" s="983"/>
      <c r="O40" s="154">
        <f>G40*I40*K40</f>
        <v>0</v>
      </c>
    </row>
    <row r="41" spans="2:21">
      <c r="B41" s="1019"/>
      <c r="C41" s="1025" t="s">
        <v>249</v>
      </c>
      <c r="D41" s="1026"/>
      <c r="E41" s="1027"/>
      <c r="F41" s="165"/>
      <c r="G41" s="977"/>
      <c r="H41" s="1028"/>
      <c r="I41" s="979">
        <f>일정!G35</f>
        <v>36</v>
      </c>
      <c r="J41" s="980"/>
      <c r="K41" s="982">
        <f>C4</f>
        <v>20</v>
      </c>
      <c r="L41" s="982"/>
      <c r="M41" s="982"/>
      <c r="N41" s="983"/>
      <c r="O41" s="154">
        <f>G41*I41*K41</f>
        <v>0</v>
      </c>
    </row>
    <row r="42" spans="2:21" ht="18" thickBot="1">
      <c r="B42" s="1020"/>
      <c r="C42" s="1030" t="s">
        <v>252</v>
      </c>
      <c r="D42" s="1031"/>
      <c r="E42" s="1032"/>
      <c r="F42" s="165"/>
      <c r="G42" s="989"/>
      <c r="H42" s="1033"/>
      <c r="I42" s="991">
        <f>일정!G29</f>
        <v>40</v>
      </c>
      <c r="J42" s="992"/>
      <c r="K42" s="959">
        <f>C4</f>
        <v>20</v>
      </c>
      <c r="L42" s="959"/>
      <c r="M42" s="959"/>
      <c r="N42" s="960"/>
      <c r="O42" s="215">
        <f>G42*I42*K42</f>
        <v>0</v>
      </c>
    </row>
  </sheetData>
  <mergeCells count="73"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  <mergeCell ref="H7:K7"/>
    <mergeCell ref="M8:N8"/>
    <mergeCell ref="O8:O9"/>
    <mergeCell ref="B10:B12"/>
    <mergeCell ref="C10:E10"/>
    <mergeCell ref="C11:E11"/>
    <mergeCell ref="C12:E12"/>
    <mergeCell ref="G8:H8"/>
    <mergeCell ref="I8:J8"/>
    <mergeCell ref="K8:L8"/>
    <mergeCell ref="B13:B20"/>
    <mergeCell ref="C13:E13"/>
    <mergeCell ref="C14:E14"/>
    <mergeCell ref="C15:E15"/>
    <mergeCell ref="C16:E16"/>
    <mergeCell ref="C17:E17"/>
    <mergeCell ref="C18:E18"/>
    <mergeCell ref="C19:E19"/>
    <mergeCell ref="C20:E20"/>
    <mergeCell ref="B21:B26"/>
    <mergeCell ref="C21:E21"/>
    <mergeCell ref="C22:E22"/>
    <mergeCell ref="C23:E23"/>
    <mergeCell ref="C24:E24"/>
    <mergeCell ref="C25:E25"/>
    <mergeCell ref="C26:E26"/>
    <mergeCell ref="K36:N36"/>
    <mergeCell ref="C37:E37"/>
    <mergeCell ref="G37:J37"/>
    <mergeCell ref="K37:N37"/>
    <mergeCell ref="B27:B33"/>
    <mergeCell ref="C27:E27"/>
    <mergeCell ref="C28:E28"/>
    <mergeCell ref="C29:E29"/>
    <mergeCell ref="C30:E30"/>
    <mergeCell ref="C31:E31"/>
    <mergeCell ref="C32:E32"/>
    <mergeCell ref="C33:D33"/>
    <mergeCell ref="I42:J42"/>
    <mergeCell ref="B36:B37"/>
    <mergeCell ref="C36:E36"/>
    <mergeCell ref="G36:H36"/>
    <mergeCell ref="I36:J36"/>
    <mergeCell ref="K42:N42"/>
    <mergeCell ref="B39:B42"/>
    <mergeCell ref="C39:E39"/>
    <mergeCell ref="G39:H39"/>
    <mergeCell ref="I39:J39"/>
    <mergeCell ref="K39:N39"/>
    <mergeCell ref="C40:E40"/>
    <mergeCell ref="G40:H40"/>
    <mergeCell ref="I40:J40"/>
    <mergeCell ref="K40:N40"/>
    <mergeCell ref="C41:E41"/>
    <mergeCell ref="G41:H41"/>
    <mergeCell ref="I41:J41"/>
    <mergeCell ref="K41:N41"/>
    <mergeCell ref="C42:E42"/>
    <mergeCell ref="G42:H42"/>
  </mergeCells>
  <phoneticPr fontId="1" type="noConversion"/>
  <hyperlinks>
    <hyperlink ref="A1" location="상품리스트!A1" display="home" xr:uid="{4F80F354-0143-4C9F-85DC-D919147E4B2E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8024-DF47-475E-9790-272E4F37D1DB}">
  <dimension ref="A1:AF44"/>
  <sheetViews>
    <sheetView topLeftCell="A6" workbookViewId="0">
      <selection activeCell="C17" sqref="C17:G17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8" max="28" width="19.33203125" bestFit="1" customWidth="1"/>
  </cols>
  <sheetData>
    <row r="1" spans="1:32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12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2">
      <c r="B2" s="73" t="s">
        <v>238</v>
      </c>
      <c r="C2" s="923" t="s">
        <v>561</v>
      </c>
      <c r="D2" s="923"/>
      <c r="E2" s="924"/>
      <c r="F2" s="72"/>
      <c r="G2" s="921"/>
      <c r="H2" s="925">
        <f>C5</f>
        <v>45944</v>
      </c>
      <c r="I2" s="926"/>
      <c r="J2" s="927" t="str">
        <f>AB2</f>
        <v>Mercure Stevens</v>
      </c>
      <c r="K2" s="928"/>
      <c r="L2" s="134" t="str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Surcharge Check</v>
      </c>
      <c r="M2" s="140">
        <f>$I$1+$K$1</f>
        <v>12</v>
      </c>
      <c r="N2" s="106" t="e">
        <f>L2*M2</f>
        <v>#VALUE!</v>
      </c>
      <c r="O2" s="929" t="e">
        <f>SUM(N2:N6)</f>
        <v>#VALUE!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925</v>
      </c>
      <c r="AC2" s="10">
        <v>195</v>
      </c>
      <c r="AD2" s="10">
        <v>195</v>
      </c>
    </row>
    <row r="3" spans="1:32" ht="28">
      <c r="B3" s="74" t="s">
        <v>239</v>
      </c>
      <c r="C3" s="938" t="s">
        <v>1319</v>
      </c>
      <c r="D3" s="938"/>
      <c r="E3" s="770"/>
      <c r="F3" s="72"/>
      <c r="G3" s="921"/>
      <c r="H3" s="925">
        <f>H2+1</f>
        <v>45945</v>
      </c>
      <c r="I3" s="926"/>
      <c r="J3" s="927" t="str">
        <f>J2</f>
        <v>Mercure Stevens</v>
      </c>
      <c r="K3" s="928"/>
      <c r="L3" s="134" t="str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Surcharge Check</v>
      </c>
      <c r="M3" s="140">
        <f>$I$1+$K$1</f>
        <v>12</v>
      </c>
      <c r="N3" s="106" t="e">
        <f>L3*M3</f>
        <v>#VALUE!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2" ht="18" thickBot="1">
      <c r="B4" s="75" t="s">
        <v>241</v>
      </c>
      <c r="C4" s="81">
        <v>24</v>
      </c>
      <c r="D4" s="84" t="s">
        <v>253</v>
      </c>
      <c r="E4" s="92">
        <v>1</v>
      </c>
      <c r="F4" s="72"/>
      <c r="G4" s="921"/>
      <c r="H4" s="925">
        <f>H3+1</f>
        <v>45946</v>
      </c>
      <c r="I4" s="926"/>
      <c r="J4" s="927" t="str">
        <f>J2</f>
        <v>Mercure Stevens</v>
      </c>
      <c r="K4" s="928"/>
      <c r="L4" s="134" t="str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Surcharge Check</v>
      </c>
      <c r="M4" s="141">
        <f>$I$1+$K$1</f>
        <v>12</v>
      </c>
      <c r="N4" s="106" t="e">
        <f>L4*M4</f>
        <v>#VALUE!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tr">
        <f>'25메인호텔'!F2</f>
        <v>Momentus</v>
      </c>
      <c r="AC4" s="35">
        <f>'25메인호텔'!G2</f>
        <v>190</v>
      </c>
      <c r="AD4" s="35">
        <f>'25메인호텔'!H2</f>
        <v>180</v>
      </c>
      <c r="AE4" s="34"/>
      <c r="AF4" s="34"/>
    </row>
    <row r="5" spans="1:32" ht="18" thickBot="1">
      <c r="B5" s="76" t="s">
        <v>242</v>
      </c>
      <c r="C5" s="82">
        <v>45944</v>
      </c>
      <c r="D5" s="85">
        <v>3</v>
      </c>
      <c r="E5" s="93">
        <f>C5+D5</f>
        <v>45947</v>
      </c>
      <c r="F5" s="72"/>
      <c r="G5" s="921"/>
      <c r="H5" s="925"/>
      <c r="I5" s="926"/>
      <c r="J5" s="939"/>
      <c r="K5" s="940"/>
      <c r="L5" s="135"/>
      <c r="M5" s="140"/>
      <c r="N5" s="106"/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tr">
        <f>'25메인호텔'!F3</f>
        <v>Aloft Novena</v>
      </c>
      <c r="AC5" s="35">
        <f>'25메인호텔'!G3</f>
        <v>180</v>
      </c>
      <c r="AD5" s="35">
        <f>'25메인호텔'!H3</f>
        <v>180</v>
      </c>
      <c r="AE5" s="34"/>
      <c r="AF5" s="34"/>
    </row>
    <row r="6" spans="1:32" ht="17.25" customHeight="1" thickBot="1">
      <c r="B6" s="77" t="s">
        <v>243</v>
      </c>
      <c r="C6" s="83" t="e">
        <f>(SUM(O10:O44)+O2)/C4+R2+T5</f>
        <v>#VALUE!</v>
      </c>
      <c r="D6" s="86" t="s">
        <v>254</v>
      </c>
      <c r="E6" s="94" t="e">
        <f>C6*$E$1</f>
        <v>#VALUE!</v>
      </c>
      <c r="F6" s="72"/>
      <c r="G6" s="922"/>
      <c r="H6" s="925"/>
      <c r="I6" s="926"/>
      <c r="J6" s="935"/>
      <c r="K6" s="935"/>
      <c r="L6" s="136"/>
      <c r="M6" s="89"/>
      <c r="N6" s="107"/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tr">
        <f>'25메인호텔'!F4</f>
        <v>Mercure Stevens</v>
      </c>
      <c r="AC6" s="35">
        <f>'25메인호텔'!G4</f>
        <v>180</v>
      </c>
      <c r="AD6" s="35">
        <f>'25메인호텔'!H4</f>
        <v>180</v>
      </c>
      <c r="AE6" s="34"/>
      <c r="AF6" s="34"/>
    </row>
    <row r="7" spans="1:32" ht="18" thickBot="1">
      <c r="B7" s="78" t="s">
        <v>244</v>
      </c>
      <c r="C7" s="183">
        <v>5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tr">
        <f>'25메인호텔'!F5</f>
        <v>M Hotel City Centre</v>
      </c>
      <c r="AC7" s="35">
        <f>'25메인호텔'!G5</f>
        <v>230</v>
      </c>
      <c r="AD7" s="35">
        <f>'25메인호텔'!H5</f>
        <v>230</v>
      </c>
      <c r="AE7" s="34"/>
      <c r="AF7" s="34"/>
    </row>
    <row r="8" spans="1:32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tr">
        <f>'25메인호텔'!F6</f>
        <v>Concorde Hotel</v>
      </c>
      <c r="AC8" s="35">
        <f>'25메인호텔'!G6</f>
        <v>230</v>
      </c>
      <c r="AD8" s="35">
        <f>'25메인호텔'!H6</f>
        <v>230</v>
      </c>
      <c r="AE8" s="34"/>
      <c r="AF8" s="34"/>
    </row>
    <row r="9" spans="1:32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tr">
        <f>'25메인호텔'!F7</f>
        <v>Oasia Novena</v>
      </c>
      <c r="AC9" s="35">
        <f>'25메인호텔'!G7</f>
        <v>210</v>
      </c>
      <c r="AD9" s="35">
        <f>'25메인호텔'!H7</f>
        <v>210</v>
      </c>
      <c r="AE9" s="34"/>
      <c r="AF9" s="34"/>
    </row>
    <row r="10" spans="1:32">
      <c r="B10" s="905" t="str">
        <f>TEXT(C5,"m월 d일 aaaa")</f>
        <v>10월 14일 화요일</v>
      </c>
      <c r="C10" s="867" t="s">
        <v>1024</v>
      </c>
      <c r="D10" s="916"/>
      <c r="E10" s="499">
        <f>상품리스트!F23</f>
        <v>0.89583333333333337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280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430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tr">
        <f>'25메인호텔'!F8</f>
        <v>Orchid Hotel</v>
      </c>
      <c r="AC10" s="35">
        <f>'25메인호텔'!G8</f>
        <v>220</v>
      </c>
      <c r="AD10" s="35">
        <f>'25메인호텔'!H8</f>
        <v>220</v>
      </c>
      <c r="AE10" s="34"/>
      <c r="AF10" s="34"/>
    </row>
    <row r="11" spans="1:32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4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tr">
        <f>'25메인호텔'!F9</f>
        <v>Amara Singapore</v>
      </c>
      <c r="AC11" s="35">
        <f>'25메인호텔'!G9</f>
        <v>230</v>
      </c>
      <c r="AD11" s="35">
        <f>'25메인호텔'!H9</f>
        <v>230</v>
      </c>
      <c r="AE11" s="34"/>
      <c r="AF11" s="34"/>
    </row>
    <row r="12" spans="1:32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tr">
        <f>'25메인호텔'!F10</f>
        <v>Orchard Hotel</v>
      </c>
      <c r="AC12" s="35">
        <f>'25메인호텔'!G10</f>
        <v>240</v>
      </c>
      <c r="AD12" s="35">
        <f>'25메인호텔'!H10</f>
        <v>240</v>
      </c>
      <c r="AE12" s="34"/>
      <c r="AF12" s="34"/>
    </row>
    <row r="13" spans="1:32">
      <c r="B13" s="905" t="str">
        <f>TEXT(C5+1,"m월 d일 aaaa")</f>
        <v>10월 15일 수요일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630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1005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tr">
        <f>'25메인호텔'!F11</f>
        <v>Grand Copthorne</v>
      </c>
      <c r="AC13" s="35">
        <f>'25메인호텔'!G11</f>
        <v>240</v>
      </c>
      <c r="AD13" s="35">
        <f>'25메인호텔'!H11</f>
        <v>240</v>
      </c>
      <c r="AE13" s="34"/>
      <c r="AF13" s="34"/>
    </row>
    <row r="14" spans="1:32">
      <c r="B14" s="865"/>
      <c r="C14" s="890" t="s">
        <v>1320</v>
      </c>
      <c r="D14" s="891"/>
      <c r="E14" s="892"/>
      <c r="F14" s="72"/>
      <c r="G14" s="102"/>
      <c r="H14" s="115"/>
      <c r="I14" s="123"/>
      <c r="J14" s="110"/>
      <c r="K14" s="123"/>
      <c r="L14" s="91"/>
      <c r="M14" s="123"/>
      <c r="N14" s="91"/>
      <c r="O14" s="144">
        <f>(G14*H14)+(I14*J14)+(K14*L14)+(M14*N14)</f>
        <v>0</v>
      </c>
      <c r="Q14" s="7"/>
      <c r="V14" s="190"/>
      <c r="W14" s="189"/>
      <c r="X14" s="189"/>
      <c r="Y14" s="188"/>
      <c r="AB14" s="496" t="str">
        <f>'25메인호텔'!F12</f>
        <v>Mercure Tyrwhitt</v>
      </c>
      <c r="AC14" s="35">
        <f>'25메인호텔'!G12</f>
        <v>170</v>
      </c>
      <c r="AD14" s="35">
        <f>'25메인호텔'!H12</f>
        <v>170</v>
      </c>
      <c r="AE14" s="34"/>
      <c r="AF14" s="34"/>
    </row>
    <row r="15" spans="1:32">
      <c r="B15" s="865"/>
      <c r="C15" s="876" t="s">
        <v>1218</v>
      </c>
      <c r="D15" s="877"/>
      <c r="E15" s="878"/>
      <c r="F15" s="72"/>
      <c r="G15" s="99"/>
      <c r="H15" s="110"/>
      <c r="I15" s="122">
        <f>식사!E7</f>
        <v>18</v>
      </c>
      <c r="J15" s="115">
        <f>$C$4+$E$4</f>
        <v>25</v>
      </c>
      <c r="K15" s="120"/>
      <c r="L15" s="91"/>
      <c r="M15" s="120"/>
      <c r="N15" s="91"/>
      <c r="O15" s="144">
        <f t="shared" si="0"/>
        <v>450</v>
      </c>
      <c r="Q15" s="7"/>
      <c r="V15" s="190"/>
      <c r="W15" s="189"/>
      <c r="X15" s="189"/>
      <c r="Y15" s="188"/>
      <c r="AB15" s="496" t="str">
        <f>'25메인호텔'!F13</f>
        <v>Hotel Boss</v>
      </c>
      <c r="AC15" s="35">
        <f>'25메인호텔'!G13</f>
        <v>185</v>
      </c>
      <c r="AD15" s="35">
        <f>'25메인호텔'!H13</f>
        <v>185</v>
      </c>
      <c r="AE15" s="34"/>
      <c r="AF15" s="34"/>
    </row>
    <row r="16" spans="1:32">
      <c r="B16" s="865"/>
      <c r="C16" s="907" t="s">
        <v>553</v>
      </c>
      <c r="D16" s="900"/>
      <c r="E16" s="901"/>
      <c r="F16" s="72"/>
      <c r="G16" s="102"/>
      <c r="H16" s="115"/>
      <c r="I16" s="120"/>
      <c r="J16" s="110"/>
      <c r="K16" s="123"/>
      <c r="L16" s="91"/>
      <c r="M16" s="123"/>
      <c r="N16" s="91"/>
      <c r="O16" s="144">
        <f>(G16*H16)+(I16*J16)+(K16*L16)+(M16*N16)</f>
        <v>0</v>
      </c>
      <c r="Q16" s="7"/>
      <c r="V16" s="190" t="str">
        <f>서차지!B15</f>
        <v>National Day</v>
      </c>
      <c r="W16" s="189">
        <f>서차지!C15</f>
        <v>0</v>
      </c>
      <c r="X16" s="189">
        <f>서차지!D15</f>
        <v>0</v>
      </c>
      <c r="Y16" s="188">
        <f>서차지!E15</f>
        <v>0</v>
      </c>
      <c r="AB16" s="496" t="str">
        <f>'25메인호텔'!F14</f>
        <v>V Hotel Lavender</v>
      </c>
      <c r="AC16" s="35">
        <f>'25메인호텔'!G14</f>
        <v>185</v>
      </c>
      <c r="AD16" s="35">
        <f>'25메인호텔'!H14</f>
        <v>185</v>
      </c>
      <c r="AE16" s="34"/>
      <c r="AF16" s="34"/>
    </row>
    <row r="17" spans="2:32">
      <c r="B17" s="865"/>
      <c r="C17" s="879" t="str">
        <f>일정!$C$27</f>
        <v>가든스바이더베이 2돔 ( 쥬랴기 )</v>
      </c>
      <c r="D17" s="891"/>
      <c r="E17" s="892"/>
      <c r="F17" s="72"/>
      <c r="G17" s="103">
        <f>일정!$E$27</f>
        <v>28.3</v>
      </c>
      <c r="H17" s="115">
        <f>$C$4+$E$4</f>
        <v>25</v>
      </c>
      <c r="I17" s="123"/>
      <c r="J17" s="110"/>
      <c r="K17" s="123"/>
      <c r="L17" s="91"/>
      <c r="M17" s="123"/>
      <c r="N17" s="91"/>
      <c r="O17" s="144">
        <f>(G17*H17)+(I17*J17)+(K17*L17)+(M17*N17)</f>
        <v>707.5</v>
      </c>
      <c r="AB17" s="496" t="str">
        <f>'25메인호텔'!F15</f>
        <v>IbIs Novena</v>
      </c>
      <c r="AC17" s="35">
        <f>'25메인호텔'!G15</f>
        <v>155</v>
      </c>
      <c r="AD17" s="35">
        <f>'25메인호텔'!H15</f>
        <v>155</v>
      </c>
      <c r="AE17" s="34"/>
      <c r="AF17" s="34"/>
    </row>
    <row r="18" spans="2:32">
      <c r="B18" s="865"/>
      <c r="C18" s="876" t="s">
        <v>1321</v>
      </c>
      <c r="D18" s="877"/>
      <c r="E18" s="878"/>
      <c r="F18" s="72"/>
      <c r="G18" s="99"/>
      <c r="H18" s="110"/>
      <c r="I18" s="122">
        <f>식사!E28</f>
        <v>35</v>
      </c>
      <c r="J18" s="115">
        <f>$C$4+$E$4</f>
        <v>25</v>
      </c>
      <c r="K18" s="120"/>
      <c r="L18" s="91"/>
      <c r="M18" s="120"/>
      <c r="N18" s="91"/>
      <c r="O18" s="144">
        <f t="shared" si="0"/>
        <v>875</v>
      </c>
      <c r="Q18" s="7"/>
      <c r="AB18" s="496" t="str">
        <f>'25메인호텔'!F16</f>
        <v xml:space="preserve">IbIs bencoolen </v>
      </c>
      <c r="AC18" s="35">
        <f>'25메인호텔'!G16</f>
        <v>185</v>
      </c>
      <c r="AD18" s="35">
        <f>'25메인호텔'!H16</f>
        <v>185</v>
      </c>
      <c r="AE18" s="34"/>
      <c r="AF18" s="34"/>
    </row>
    <row r="19" spans="2:32">
      <c r="B19" s="865"/>
      <c r="C19" s="941" t="s">
        <v>325</v>
      </c>
      <c r="D19" s="911"/>
      <c r="E19" s="912"/>
      <c r="F19" s="72"/>
      <c r="G19" s="205"/>
      <c r="H19" s="115"/>
      <c r="I19" s="102"/>
      <c r="J19" s="115"/>
      <c r="K19" s="120"/>
      <c r="L19" s="91"/>
      <c r="M19" s="120"/>
      <c r="N19" s="91"/>
      <c r="O19" s="144">
        <f t="shared" si="0"/>
        <v>0</v>
      </c>
      <c r="Q19" s="7"/>
      <c r="AB19" s="497" t="str">
        <f>'25메인호텔'!F17</f>
        <v>Oasia Sentosa</v>
      </c>
      <c r="AC19" s="35">
        <f>'25메인호텔'!G17</f>
        <v>240</v>
      </c>
      <c r="AD19" s="35">
        <f>'25메인호텔'!H17</f>
        <v>240</v>
      </c>
      <c r="AE19" s="34"/>
      <c r="AF19" s="34"/>
    </row>
    <row r="20" spans="2:32" ht="18" thickBot="1">
      <c r="B20" s="906"/>
      <c r="C20" s="893" t="s">
        <v>1005</v>
      </c>
      <c r="D20" s="894"/>
      <c r="E20" s="895"/>
      <c r="F20" s="72"/>
      <c r="G20" s="102"/>
      <c r="H20" s="115"/>
      <c r="I20" s="123"/>
      <c r="J20" s="110"/>
      <c r="K20" s="123"/>
      <c r="L20" s="91"/>
      <c r="M20" s="123"/>
      <c r="N20" s="91"/>
      <c r="O20" s="144">
        <f t="shared" si="0"/>
        <v>0</v>
      </c>
      <c r="Q20" s="7"/>
      <c r="AB20" s="497" t="str">
        <f>'25메인호텔'!F18</f>
        <v>Swissotel The stamford</v>
      </c>
      <c r="AC20" s="35">
        <f>'25메인호텔'!G18</f>
        <v>540</v>
      </c>
      <c r="AD20" s="35">
        <f>'25메인호텔'!H18</f>
        <v>540</v>
      </c>
      <c r="AE20" s="34" t="e">
        <f>'25메인호텔'!#REF!</f>
        <v>#REF!</v>
      </c>
      <c r="AF20" s="34" t="e">
        <f>'25메인호텔'!#REF!</f>
        <v>#REF!</v>
      </c>
    </row>
    <row r="21" spans="2:32">
      <c r="B21" s="864" t="str">
        <f>TEXT(C5+2,"m월 d일 aaaa")</f>
        <v>10월 16일 목요일</v>
      </c>
      <c r="C21" s="896" t="s">
        <v>240</v>
      </c>
      <c r="D21" s="897"/>
      <c r="E21" s="898"/>
      <c r="F21" s="72"/>
      <c r="G21" s="98"/>
      <c r="H21" s="109"/>
      <c r="I21" s="119"/>
      <c r="J21" s="109"/>
      <c r="K21" s="128">
        <f>IF(C4+E4&lt;8,'가이드&amp;차량'!C47, IF(C4+E4&lt;=14,'가이드&amp;차량'!C39,'가이드&amp;차량'!C23))</f>
        <v>630</v>
      </c>
      <c r="L21" s="90">
        <f>L10</f>
        <v>1</v>
      </c>
      <c r="M21" s="128">
        <f>'가이드&amp;차량'!C6</f>
        <v>375</v>
      </c>
      <c r="N21" s="90">
        <f>N10</f>
        <v>1</v>
      </c>
      <c r="O21" s="143">
        <f t="shared" si="0"/>
        <v>1005</v>
      </c>
      <c r="Q21" s="159" t="s">
        <v>277</v>
      </c>
    </row>
    <row r="22" spans="2:32">
      <c r="B22" s="944"/>
      <c r="C22" s="907" t="s">
        <v>554</v>
      </c>
      <c r="D22" s="908"/>
      <c r="E22" s="909"/>
      <c r="F22" s="72"/>
      <c r="G22" s="99"/>
      <c r="H22" s="110"/>
      <c r="I22" s="102"/>
      <c r="J22" s="115"/>
      <c r="K22" s="123"/>
      <c r="L22" s="91"/>
      <c r="M22" s="102"/>
      <c r="N22" s="91"/>
      <c r="O22" s="146">
        <f t="shared" si="0"/>
        <v>0</v>
      </c>
      <c r="Q22" s="7"/>
    </row>
    <row r="23" spans="2:32">
      <c r="B23" s="888"/>
      <c r="C23" s="902" t="s">
        <v>1322</v>
      </c>
      <c r="D23" s="903"/>
      <c r="E23" s="904"/>
      <c r="F23" s="72"/>
      <c r="G23" s="99"/>
      <c r="H23" s="110"/>
      <c r="I23" s="122">
        <v>25</v>
      </c>
      <c r="J23" s="115">
        <f>$C$4+$E$4</f>
        <v>25</v>
      </c>
      <c r="K23" s="123"/>
      <c r="L23" s="91"/>
      <c r="M23" s="102"/>
      <c r="N23" s="91"/>
      <c r="O23" s="146">
        <f t="shared" si="0"/>
        <v>625</v>
      </c>
      <c r="Q23" s="7"/>
    </row>
    <row r="24" spans="2:32">
      <c r="B24" s="888"/>
      <c r="C24" s="907" t="s">
        <v>555</v>
      </c>
      <c r="D24" s="908"/>
      <c r="E24" s="909"/>
      <c r="F24" s="72"/>
      <c r="G24" s="99"/>
      <c r="H24" s="110"/>
      <c r="I24" s="102"/>
      <c r="J24" s="115"/>
      <c r="K24" s="123"/>
      <c r="L24" s="91"/>
      <c r="M24" s="102"/>
      <c r="N24" s="91"/>
      <c r="O24" s="146">
        <f t="shared" si="0"/>
        <v>0</v>
      </c>
      <c r="Q24" s="7"/>
    </row>
    <row r="25" spans="2:32">
      <c r="B25" s="888"/>
      <c r="C25" s="907" t="s">
        <v>556</v>
      </c>
      <c r="D25" s="908"/>
      <c r="E25" s="909"/>
      <c r="F25" s="72"/>
      <c r="G25" s="99"/>
      <c r="H25" s="110"/>
      <c r="I25" s="102"/>
      <c r="J25" s="115"/>
      <c r="K25" s="123"/>
      <c r="L25" s="91"/>
      <c r="M25" s="102"/>
      <c r="N25" s="91"/>
      <c r="O25" s="146">
        <f t="shared" si="0"/>
        <v>0</v>
      </c>
      <c r="Q25" s="7"/>
    </row>
    <row r="26" spans="2:32">
      <c r="B26" s="888"/>
      <c r="C26" s="902" t="s">
        <v>1323</v>
      </c>
      <c r="D26" s="903"/>
      <c r="E26" s="904"/>
      <c r="F26" s="72"/>
      <c r="G26" s="99"/>
      <c r="H26" s="110"/>
      <c r="I26" s="122">
        <f>식사!E19</f>
        <v>17</v>
      </c>
      <c r="J26" s="115">
        <f>$C$4+$E$4</f>
        <v>25</v>
      </c>
      <c r="K26" s="123"/>
      <c r="L26" s="91"/>
      <c r="M26" s="123"/>
      <c r="N26" s="91"/>
      <c r="O26" s="146">
        <f t="shared" si="0"/>
        <v>425</v>
      </c>
      <c r="Q26" s="7"/>
    </row>
    <row r="27" spans="2:32" ht="18" thickBot="1">
      <c r="B27" s="866"/>
      <c r="C27" s="917" t="s">
        <v>248</v>
      </c>
      <c r="D27" s="918"/>
      <c r="E27" s="919"/>
      <c r="F27" s="72"/>
      <c r="G27" s="100"/>
      <c r="H27" s="111"/>
      <c r="I27" s="124"/>
      <c r="J27" s="126"/>
      <c r="K27" s="129"/>
      <c r="L27" s="137"/>
      <c r="M27" s="124"/>
      <c r="N27" s="137"/>
      <c r="O27" s="147">
        <f t="shared" si="0"/>
        <v>0</v>
      </c>
      <c r="Q27" s="7"/>
    </row>
    <row r="28" spans="2:32">
      <c r="B28" s="864" t="str">
        <f>TEXT(C5+3,"m월 d일 aaaa")</f>
        <v>10월 17일 금요일</v>
      </c>
      <c r="C28" s="896" t="s">
        <v>330</v>
      </c>
      <c r="D28" s="897"/>
      <c r="E28" s="898"/>
      <c r="F28" s="72"/>
      <c r="G28" s="98"/>
      <c r="H28" s="109"/>
      <c r="I28" s="119"/>
      <c r="J28" s="109"/>
      <c r="K28" s="128">
        <f>IF(C4+E4&lt;8,'가이드&amp;차량'!C47, IF(C4+E4&lt;=14,'가이드&amp;차량'!C39,'가이드&amp;차량'!C23))</f>
        <v>630</v>
      </c>
      <c r="L28" s="90">
        <f>L10</f>
        <v>1</v>
      </c>
      <c r="M28" s="128">
        <f>'가이드&amp;차량'!C6+'가이드&amp;차량'!C3</f>
        <v>525</v>
      </c>
      <c r="N28" s="90">
        <f>N10</f>
        <v>1</v>
      </c>
      <c r="O28" s="143">
        <f t="shared" si="0"/>
        <v>1155</v>
      </c>
      <c r="Q28" s="159" t="s">
        <v>278</v>
      </c>
    </row>
    <row r="29" spans="2:32">
      <c r="B29" s="888"/>
      <c r="C29" s="882" t="s">
        <v>557</v>
      </c>
      <c r="D29" s="883"/>
      <c r="E29" s="884"/>
      <c r="F29" s="72"/>
      <c r="G29" s="166"/>
      <c r="H29" s="115"/>
      <c r="I29" s="123"/>
      <c r="J29" s="110"/>
      <c r="K29" s="123"/>
      <c r="L29" s="91"/>
      <c r="M29" s="123"/>
      <c r="N29" s="91"/>
      <c r="O29" s="144">
        <f t="shared" si="0"/>
        <v>0</v>
      </c>
    </row>
    <row r="30" spans="2:32">
      <c r="B30" s="888"/>
      <c r="C30" s="948" t="s">
        <v>558</v>
      </c>
      <c r="D30" s="946"/>
      <c r="E30" s="947"/>
      <c r="F30" s="72"/>
      <c r="G30" s="166"/>
      <c r="H30" s="115"/>
      <c r="I30" s="123"/>
      <c r="J30" s="110"/>
      <c r="K30" s="123"/>
      <c r="L30" s="91"/>
      <c r="M30" s="123"/>
      <c r="N30" s="91"/>
      <c r="O30" s="144"/>
    </row>
    <row r="31" spans="2:32">
      <c r="B31" s="888"/>
      <c r="C31" s="876" t="s">
        <v>1324</v>
      </c>
      <c r="D31" s="877"/>
      <c r="E31" s="878"/>
      <c r="F31" s="72"/>
      <c r="G31" s="99"/>
      <c r="H31" s="110"/>
      <c r="I31" s="122">
        <f>식사!E32</f>
        <v>30</v>
      </c>
      <c r="J31" s="115">
        <f>$C$4+$E$4</f>
        <v>25</v>
      </c>
      <c r="K31" s="120"/>
      <c r="L31" s="91"/>
      <c r="M31" s="120"/>
      <c r="N31" s="91"/>
      <c r="O31" s="144">
        <f t="shared" si="0"/>
        <v>750</v>
      </c>
    </row>
    <row r="32" spans="2:32">
      <c r="B32" s="888"/>
      <c r="C32" s="882" t="s">
        <v>560</v>
      </c>
      <c r="D32" s="883"/>
      <c r="E32" s="884"/>
      <c r="F32" s="72"/>
      <c r="G32" s="103">
        <f>일정!E10+30</f>
        <v>52</v>
      </c>
      <c r="H32" s="115">
        <f>$C$4+$E$4</f>
        <v>25</v>
      </c>
      <c r="I32" s="123"/>
      <c r="J32" s="110"/>
      <c r="K32" s="123"/>
      <c r="L32" s="91"/>
      <c r="M32" s="123"/>
      <c r="N32" s="91"/>
      <c r="O32" s="144">
        <f t="shared" si="0"/>
        <v>1300</v>
      </c>
    </row>
    <row r="33" spans="2:21">
      <c r="B33" s="888"/>
      <c r="C33" s="902" t="s">
        <v>840</v>
      </c>
      <c r="D33" s="903"/>
      <c r="E33" s="904"/>
      <c r="F33" s="72"/>
      <c r="G33" s="104"/>
      <c r="H33" s="116"/>
      <c r="I33" s="122">
        <f>식사!E3</f>
        <v>25</v>
      </c>
      <c r="J33" s="115">
        <f>$C$4+$E$4</f>
        <v>25</v>
      </c>
      <c r="K33" s="130"/>
      <c r="L33" s="138"/>
      <c r="M33" s="130"/>
      <c r="N33" s="138"/>
      <c r="O33" s="148">
        <f t="shared" si="0"/>
        <v>625</v>
      </c>
    </row>
    <row r="34" spans="2:21" ht="18" thickBot="1">
      <c r="B34" s="866"/>
      <c r="C34" s="870" t="s">
        <v>1207</v>
      </c>
      <c r="D34" s="871"/>
      <c r="E34" s="500">
        <f>상품리스트!I23</f>
        <v>0.95833333333333337</v>
      </c>
      <c r="F34" s="34"/>
      <c r="G34" s="105"/>
      <c r="H34" s="117"/>
      <c r="I34" s="124"/>
      <c r="J34" s="126"/>
      <c r="K34" s="131"/>
      <c r="L34" s="139"/>
      <c r="M34" s="131"/>
      <c r="N34" s="139"/>
      <c r="O34" s="149">
        <f t="shared" si="0"/>
        <v>0</v>
      </c>
      <c r="P34" s="34"/>
      <c r="Q34" s="34"/>
      <c r="R34" s="34"/>
      <c r="S34" s="34"/>
      <c r="T34" s="34"/>
      <c r="U34" s="34"/>
    </row>
    <row r="35" spans="2:21">
      <c r="B35" s="72"/>
      <c r="C35" s="72"/>
      <c r="D35" s="72"/>
      <c r="E35" s="72"/>
      <c r="F35" s="72"/>
      <c r="G35" s="72"/>
      <c r="H35" s="72"/>
      <c r="K35" s="132">
        <f>SUM(K10:K34)</f>
        <v>2170</v>
      </c>
      <c r="L35" s="72"/>
      <c r="M35" s="132">
        <f>SUM(M10:M34)</f>
        <v>1425</v>
      </c>
      <c r="N35" s="72"/>
      <c r="O35" s="150"/>
      <c r="P35" s="156"/>
    </row>
    <row r="36" spans="2:21" ht="18" thickBot="1">
      <c r="O36" s="150"/>
    </row>
    <row r="37" spans="2:21">
      <c r="B37" s="872" t="s">
        <v>246</v>
      </c>
      <c r="C37" s="873" t="s">
        <v>288</v>
      </c>
      <c r="D37" s="874"/>
      <c r="E37" s="875"/>
      <c r="F37" s="34"/>
      <c r="G37" s="862">
        <f>$C$4+$E$4</f>
        <v>25</v>
      </c>
      <c r="H37" s="863"/>
      <c r="I37" s="854">
        <v>3</v>
      </c>
      <c r="J37" s="854"/>
      <c r="K37" s="855">
        <v>1</v>
      </c>
      <c r="L37" s="855"/>
      <c r="M37" s="855"/>
      <c r="N37" s="855"/>
      <c r="O37" s="151">
        <f>G37*I37*K37</f>
        <v>75</v>
      </c>
    </row>
    <row r="38" spans="2:21" ht="18" thickBot="1">
      <c r="B38" s="827"/>
      <c r="C38" s="856" t="s">
        <v>451</v>
      </c>
      <c r="D38" s="857"/>
      <c r="E38" s="858"/>
      <c r="F38" s="34"/>
      <c r="G38" s="859">
        <v>50</v>
      </c>
      <c r="H38" s="860"/>
      <c r="I38" s="860"/>
      <c r="J38" s="860"/>
      <c r="K38" s="861">
        <f>C4</f>
        <v>24</v>
      </c>
      <c r="L38" s="861"/>
      <c r="M38" s="861"/>
      <c r="N38" s="861"/>
      <c r="O38" s="152">
        <f>G38*K38</f>
        <v>1200</v>
      </c>
    </row>
    <row r="39" spans="2:21" ht="18" thickBot="1">
      <c r="O39" s="150"/>
    </row>
    <row r="40" spans="2:21" ht="16.5" customHeight="1">
      <c r="B40" s="961" t="s">
        <v>337</v>
      </c>
      <c r="C40" s="1021" t="s">
        <v>251</v>
      </c>
      <c r="D40" s="1022"/>
      <c r="E40" s="1023"/>
      <c r="F40" s="165"/>
      <c r="G40" s="967"/>
      <c r="H40" s="1024"/>
      <c r="I40" s="969">
        <f>일정!G24</f>
        <v>30</v>
      </c>
      <c r="J40" s="970"/>
      <c r="K40" s="1044">
        <f>$C$4+$E$4</f>
        <v>25</v>
      </c>
      <c r="L40" s="1044"/>
      <c r="M40" s="1044"/>
      <c r="N40" s="1045"/>
      <c r="O40" s="153">
        <f>G40*I40*K40</f>
        <v>0</v>
      </c>
    </row>
    <row r="41" spans="2:21">
      <c r="B41" s="1019"/>
      <c r="C41" s="1025" t="s">
        <v>250</v>
      </c>
      <c r="D41" s="1026"/>
      <c r="E41" s="1027"/>
      <c r="F41" s="165"/>
      <c r="G41" s="977"/>
      <c r="H41" s="1028"/>
      <c r="I41" s="979">
        <f>일정!G30</f>
        <v>28</v>
      </c>
      <c r="J41" s="980"/>
      <c r="K41" s="1046">
        <f>$C$4+$E$4</f>
        <v>25</v>
      </c>
      <c r="L41" s="1047"/>
      <c r="M41" s="1047"/>
      <c r="N41" s="1048"/>
      <c r="O41" s="154">
        <f>G41*I41*K41</f>
        <v>0</v>
      </c>
    </row>
    <row r="42" spans="2:21">
      <c r="B42" s="1019"/>
      <c r="C42" s="1025" t="s">
        <v>249</v>
      </c>
      <c r="D42" s="1026"/>
      <c r="E42" s="1027"/>
      <c r="F42" s="165"/>
      <c r="G42" s="977"/>
      <c r="H42" s="1028"/>
      <c r="I42" s="979">
        <f>일정!G35</f>
        <v>36</v>
      </c>
      <c r="J42" s="980"/>
      <c r="K42" s="1046">
        <f>$C$4+$E$4</f>
        <v>25</v>
      </c>
      <c r="L42" s="1047"/>
      <c r="M42" s="1047"/>
      <c r="N42" s="1048"/>
      <c r="O42" s="154">
        <f>G42*I42*K42</f>
        <v>0</v>
      </c>
    </row>
    <row r="43" spans="2:21">
      <c r="B43" s="1019"/>
      <c r="C43" s="1025" t="s">
        <v>336</v>
      </c>
      <c r="D43" s="1026"/>
      <c r="E43" s="1027"/>
      <c r="F43" s="165"/>
      <c r="G43" s="977"/>
      <c r="H43" s="1028"/>
      <c r="I43" s="979">
        <f>일정!G13</f>
        <v>19</v>
      </c>
      <c r="J43" s="980"/>
      <c r="K43" s="1046">
        <f>$C$4+$E$4</f>
        <v>25</v>
      </c>
      <c r="L43" s="1047"/>
      <c r="M43" s="1047"/>
      <c r="N43" s="1048"/>
      <c r="O43" s="154">
        <f>G43*I43*K43</f>
        <v>0</v>
      </c>
    </row>
    <row r="44" spans="2:21" ht="18" thickBot="1">
      <c r="B44" s="1020"/>
      <c r="C44" s="1030" t="s">
        <v>252</v>
      </c>
      <c r="D44" s="1031"/>
      <c r="E44" s="1032"/>
      <c r="F44" s="165"/>
      <c r="G44" s="989"/>
      <c r="H44" s="1033"/>
      <c r="I44" s="991">
        <f>일정!G29</f>
        <v>40</v>
      </c>
      <c r="J44" s="992"/>
      <c r="K44" s="1049">
        <f>$C$4+$E$4</f>
        <v>25</v>
      </c>
      <c r="L44" s="1050"/>
      <c r="M44" s="1050"/>
      <c r="N44" s="1051"/>
      <c r="O44" s="215">
        <f>G44*I44*K44</f>
        <v>0</v>
      </c>
    </row>
  </sheetData>
  <mergeCells count="78"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  <mergeCell ref="H7:K7"/>
    <mergeCell ref="M8:N8"/>
    <mergeCell ref="O8:O9"/>
    <mergeCell ref="B10:B12"/>
    <mergeCell ref="C11:E11"/>
    <mergeCell ref="C12:E12"/>
    <mergeCell ref="G8:H8"/>
    <mergeCell ref="I8:J8"/>
    <mergeCell ref="K8:L8"/>
    <mergeCell ref="C10:D10"/>
    <mergeCell ref="B13:B20"/>
    <mergeCell ref="C13:E13"/>
    <mergeCell ref="C15:E15"/>
    <mergeCell ref="C18:E18"/>
    <mergeCell ref="C19:E19"/>
    <mergeCell ref="C20:E20"/>
    <mergeCell ref="C14:E14"/>
    <mergeCell ref="C16:E16"/>
    <mergeCell ref="C17:E17"/>
    <mergeCell ref="B21:B27"/>
    <mergeCell ref="C21:E21"/>
    <mergeCell ref="C22:E22"/>
    <mergeCell ref="C23:E23"/>
    <mergeCell ref="C24:E24"/>
    <mergeCell ref="C25:E25"/>
    <mergeCell ref="C26:E26"/>
    <mergeCell ref="C27:E27"/>
    <mergeCell ref="B28:B34"/>
    <mergeCell ref="C28:E28"/>
    <mergeCell ref="C29:E29"/>
    <mergeCell ref="C31:E31"/>
    <mergeCell ref="C32:E32"/>
    <mergeCell ref="C33:E33"/>
    <mergeCell ref="C30:E30"/>
    <mergeCell ref="C34:D34"/>
    <mergeCell ref="B37:B38"/>
    <mergeCell ref="C37:E37"/>
    <mergeCell ref="G37:H37"/>
    <mergeCell ref="I37:J37"/>
    <mergeCell ref="K37:N37"/>
    <mergeCell ref="C38:E38"/>
    <mergeCell ref="G38:J38"/>
    <mergeCell ref="K38:N38"/>
    <mergeCell ref="B40:B44"/>
    <mergeCell ref="C40:E40"/>
    <mergeCell ref="G40:H40"/>
    <mergeCell ref="I40:J40"/>
    <mergeCell ref="K40:N40"/>
    <mergeCell ref="C41:E41"/>
    <mergeCell ref="G41:H41"/>
    <mergeCell ref="I41:J41"/>
    <mergeCell ref="K41:N41"/>
    <mergeCell ref="C42:E42"/>
    <mergeCell ref="C44:E44"/>
    <mergeCell ref="G44:H44"/>
    <mergeCell ref="I44:J44"/>
    <mergeCell ref="K44:N44"/>
    <mergeCell ref="G42:H42"/>
    <mergeCell ref="I42:J42"/>
    <mergeCell ref="K42:N42"/>
    <mergeCell ref="C43:E43"/>
    <mergeCell ref="G43:H43"/>
    <mergeCell ref="I43:J43"/>
    <mergeCell ref="K43:N43"/>
  </mergeCells>
  <phoneticPr fontId="1" type="noConversion"/>
  <hyperlinks>
    <hyperlink ref="A1" location="상품리스트!A1" display="home" xr:uid="{951D588F-A10F-4D62-A795-D3E7E69D6C49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C134-701F-4AB4-B0A4-C637D0FD96C3}">
  <dimension ref="A1:AF47"/>
  <sheetViews>
    <sheetView topLeftCell="A7" workbookViewId="0">
      <selection activeCell="P18" sqref="P18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21.164062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7" max="27" width="2.83203125" customWidth="1"/>
    <col min="28" max="28" width="19.33203125" bestFit="1" customWidth="1"/>
  </cols>
  <sheetData>
    <row r="1" spans="1:32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3.5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2">
      <c r="B2" s="73" t="s">
        <v>238</v>
      </c>
      <c r="C2" s="923" t="s">
        <v>1242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Oasia Novena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210</v>
      </c>
      <c r="M2" s="140">
        <f>$I$1+$K$1</f>
        <v>3.5</v>
      </c>
      <c r="N2" s="106">
        <f>L2*M2</f>
        <v>735</v>
      </c>
      <c r="O2" s="929">
        <f>SUM(N2:N6)</f>
        <v>2205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927</v>
      </c>
      <c r="AC2" s="10">
        <v>210</v>
      </c>
      <c r="AD2" s="10">
        <v>210</v>
      </c>
    </row>
    <row r="3" spans="1:32" ht="28">
      <c r="B3" s="74" t="s">
        <v>239</v>
      </c>
      <c r="C3" s="938" t="s">
        <v>944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Oasia Novena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210</v>
      </c>
      <c r="M3" s="140">
        <f>$I$1+$K$1</f>
        <v>3.5</v>
      </c>
      <c r="N3" s="106">
        <f>L3*M3</f>
        <v>735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2" ht="18" thickBot="1">
      <c r="B4" s="75" t="s">
        <v>241</v>
      </c>
      <c r="C4" s="81">
        <v>7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927" t="str">
        <f>J2</f>
        <v>Oasia Novena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210</v>
      </c>
      <c r="M4" s="141">
        <f>$I$1+$K$1</f>
        <v>3.5</v>
      </c>
      <c r="N4" s="106">
        <f>L4*M4</f>
        <v>735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tr">
        <f>'25메인호텔'!F2</f>
        <v>Momentus</v>
      </c>
      <c r="AC4" s="35">
        <f>'25메인호텔'!G2</f>
        <v>190</v>
      </c>
      <c r="AD4" s="35">
        <f>'25메인호텔'!H2</f>
        <v>180</v>
      </c>
      <c r="AE4" s="34"/>
      <c r="AF4" s="34"/>
    </row>
    <row r="5" spans="1:32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/>
      <c r="I5" s="926"/>
      <c r="J5" s="939"/>
      <c r="K5" s="940"/>
      <c r="L5" s="135"/>
      <c r="M5" s="140"/>
      <c r="N5" s="106"/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tr">
        <f>'25메인호텔'!F3</f>
        <v>Aloft Novena</v>
      </c>
      <c r="AC5" s="35">
        <f>'25메인호텔'!G3</f>
        <v>180</v>
      </c>
      <c r="AD5" s="35">
        <f>'25메인호텔'!H3</f>
        <v>180</v>
      </c>
      <c r="AE5" s="34"/>
      <c r="AF5" s="34"/>
    </row>
    <row r="6" spans="1:32" ht="17.25" customHeight="1" thickBot="1">
      <c r="B6" s="77" t="s">
        <v>243</v>
      </c>
      <c r="C6" s="83">
        <f>(SUM(O10:O47)+O2)/C4+R2+T5</f>
        <v>893.1</v>
      </c>
      <c r="D6" s="86" t="s">
        <v>254</v>
      </c>
      <c r="E6" s="94">
        <f>C6*$E$1</f>
        <v>982410</v>
      </c>
      <c r="F6" s="72"/>
      <c r="G6" s="922"/>
      <c r="H6" s="925"/>
      <c r="I6" s="926"/>
      <c r="J6" s="935"/>
      <c r="K6" s="935"/>
      <c r="L6" s="136"/>
      <c r="M6" s="89"/>
      <c r="N6" s="107"/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tr">
        <f>'25메인호텔'!F4</f>
        <v>Mercure Stevens</v>
      </c>
      <c r="AC6" s="35">
        <f>'25메인호텔'!G4</f>
        <v>180</v>
      </c>
      <c r="AD6" s="35">
        <f>'25메인호텔'!H4</f>
        <v>180</v>
      </c>
      <c r="AE6" s="34"/>
      <c r="AF6" s="34"/>
    </row>
    <row r="7" spans="1:32" ht="18" thickBot="1">
      <c r="B7" s="78" t="s">
        <v>244</v>
      </c>
      <c r="C7" s="183">
        <v>3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tr">
        <f>'25메인호텔'!F5</f>
        <v>M Hotel City Centre</v>
      </c>
      <c r="AC7" s="35">
        <f>'25메인호텔'!G5</f>
        <v>230</v>
      </c>
      <c r="AD7" s="35">
        <f>'25메인호텔'!H5</f>
        <v>230</v>
      </c>
      <c r="AE7" s="34"/>
      <c r="AF7" s="34"/>
    </row>
    <row r="8" spans="1:32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tr">
        <f>'25메인호텔'!F6</f>
        <v>Concorde Hotel</v>
      </c>
      <c r="AC8" s="35">
        <f>'25메인호텔'!G6</f>
        <v>230</v>
      </c>
      <c r="AD8" s="35">
        <f>'25메인호텔'!H6</f>
        <v>230</v>
      </c>
      <c r="AE8" s="34"/>
      <c r="AF8" s="34"/>
    </row>
    <row r="9" spans="1:32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tr">
        <f>'25메인호텔'!F7</f>
        <v>Oasia Novena</v>
      </c>
      <c r="AC9" s="35">
        <f>'25메인호텔'!G7</f>
        <v>210</v>
      </c>
      <c r="AD9" s="35">
        <f>'25메인호텔'!H7</f>
        <v>210</v>
      </c>
      <c r="AE9" s="34"/>
      <c r="AF9" s="34"/>
    </row>
    <row r="10" spans="1:32">
      <c r="B10" s="905" t="str">
        <f>TEXT(C5,"m월 d일 aaaa")</f>
        <v>3월 16일 일요일</v>
      </c>
      <c r="C10" s="867" t="s">
        <v>1024</v>
      </c>
      <c r="D10" s="916"/>
      <c r="E10" s="499">
        <f>상품리스트!F24</f>
        <v>0.59722222222222221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120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270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tr">
        <f>'25메인호텔'!F8</f>
        <v>Orchid Hotel</v>
      </c>
      <c r="AC10" s="35">
        <f>'25메인호텔'!G8</f>
        <v>220</v>
      </c>
      <c r="AD10" s="35">
        <f>'25메인호텔'!H8</f>
        <v>220</v>
      </c>
      <c r="AE10" s="34"/>
      <c r="AF10" s="34"/>
    </row>
    <row r="11" spans="1:32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7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tr">
        <f>'25메인호텔'!F9</f>
        <v>Amara Singapore</v>
      </c>
      <c r="AC11" s="35">
        <f>'25메인호텔'!G9</f>
        <v>230</v>
      </c>
      <c r="AD11" s="35">
        <f>'25메인호텔'!H9</f>
        <v>230</v>
      </c>
      <c r="AE11" s="34"/>
      <c r="AF11" s="34"/>
    </row>
    <row r="12" spans="1:32">
      <c r="B12" s="865"/>
      <c r="C12" s="955" t="s">
        <v>508</v>
      </c>
      <c r="D12" s="956"/>
      <c r="E12" s="957"/>
      <c r="F12" s="72"/>
      <c r="G12" s="104"/>
      <c r="H12" s="314"/>
      <c r="I12" s="122">
        <f>식사!E15</f>
        <v>18</v>
      </c>
      <c r="J12" s="115">
        <f>$C$4+$E$4</f>
        <v>7</v>
      </c>
      <c r="K12" s="130"/>
      <c r="L12" s="138"/>
      <c r="M12" s="130"/>
      <c r="N12" s="138"/>
      <c r="O12" s="148">
        <f t="shared" si="0"/>
        <v>126</v>
      </c>
      <c r="R12" s="72"/>
      <c r="V12" s="190" t="str">
        <f>서차지!B13</f>
        <v xml:space="preserve">Food &amp; Hotel Beverage </v>
      </c>
      <c r="W12" s="189">
        <f>서차지!C13</f>
        <v>0</v>
      </c>
      <c r="X12" s="189">
        <f>서차지!D13</f>
        <v>0</v>
      </c>
      <c r="Y12" s="188">
        <f>서차지!E13</f>
        <v>0</v>
      </c>
      <c r="AB12" s="495" t="str">
        <f>'25메인호텔'!F10</f>
        <v>Orchard Hotel</v>
      </c>
      <c r="AC12" s="35">
        <f>'25메인호텔'!G10</f>
        <v>240</v>
      </c>
      <c r="AD12" s="35">
        <f>'25메인호텔'!H10</f>
        <v>240</v>
      </c>
      <c r="AE12" s="34"/>
      <c r="AF12" s="34"/>
    </row>
    <row r="13" spans="1:32" ht="18" thickBot="1">
      <c r="B13" s="865"/>
      <c r="C13" s="917" t="s">
        <v>247</v>
      </c>
      <c r="D13" s="918"/>
      <c r="E13" s="919"/>
      <c r="F13" s="72"/>
      <c r="G13" s="104"/>
      <c r="H13" s="314"/>
      <c r="I13" s="130"/>
      <c r="J13" s="314"/>
      <c r="K13" s="130"/>
      <c r="L13" s="138"/>
      <c r="M13" s="130"/>
      <c r="N13" s="138"/>
      <c r="O13" s="148">
        <f t="shared" si="0"/>
        <v>0</v>
      </c>
      <c r="R13" s="72"/>
      <c r="V13" s="190" t="str">
        <f>서차지!B14</f>
        <v>CommunicAsia</v>
      </c>
      <c r="W13" s="189">
        <f>서차지!C14</f>
        <v>0</v>
      </c>
      <c r="X13" s="189">
        <f>서차지!D14</f>
        <v>0</v>
      </c>
      <c r="Y13" s="188">
        <f>서차지!E14</f>
        <v>0</v>
      </c>
      <c r="AB13" s="495" t="str">
        <f>'25메인호텔'!F11</f>
        <v>Grand Copthorne</v>
      </c>
      <c r="AC13" s="35">
        <f>'25메인호텔'!G11</f>
        <v>240</v>
      </c>
      <c r="AD13" s="35">
        <f>'25메인호텔'!H11</f>
        <v>240</v>
      </c>
      <c r="AE13" s="34"/>
      <c r="AF13" s="34"/>
    </row>
    <row r="14" spans="1:32">
      <c r="B14" s="905" t="str">
        <f>TEXT(C5+1,"m월 d일 aaaa")</f>
        <v>3월 17일 월요일</v>
      </c>
      <c r="C14" s="896" t="s">
        <v>282</v>
      </c>
      <c r="D14" s="897"/>
      <c r="E14" s="898"/>
      <c r="F14" s="72"/>
      <c r="G14" s="98"/>
      <c r="H14" s="112"/>
      <c r="I14" s="119"/>
      <c r="J14" s="109"/>
      <c r="K14" s="128">
        <f>IF(C4+E4&lt;8,'가이드&amp;차량'!C47, IF(C4+E4&lt;=14,'가이드&amp;차량'!C39,'가이드&amp;차량'!C23))</f>
        <v>430</v>
      </c>
      <c r="L14" s="90">
        <f>L10</f>
        <v>1</v>
      </c>
      <c r="M14" s="128">
        <f>'가이드&amp;차량'!C6</f>
        <v>375</v>
      </c>
      <c r="N14" s="90">
        <f>N10</f>
        <v>1</v>
      </c>
      <c r="O14" s="143">
        <f t="shared" si="0"/>
        <v>805</v>
      </c>
      <c r="Q14" s="159" t="s">
        <v>277</v>
      </c>
      <c r="V14" s="190" t="str">
        <f>서차지!B15</f>
        <v>National Day</v>
      </c>
      <c r="W14" s="189">
        <f>서차지!C15</f>
        <v>0</v>
      </c>
      <c r="X14" s="189">
        <f>서차지!D15</f>
        <v>0</v>
      </c>
      <c r="Y14" s="188">
        <f>서차지!E15</f>
        <v>0</v>
      </c>
      <c r="AB14" s="496" t="str">
        <f>'25메인호텔'!F12</f>
        <v>Mercure Tyrwhitt</v>
      </c>
      <c r="AC14" s="35">
        <f>'25메인호텔'!G12</f>
        <v>170</v>
      </c>
      <c r="AD14" s="35">
        <f>'25메인호텔'!H12</f>
        <v>170</v>
      </c>
      <c r="AE14" s="34"/>
      <c r="AF14" s="34"/>
    </row>
    <row r="15" spans="1:32">
      <c r="B15" s="865"/>
      <c r="C15" s="882" t="s">
        <v>1149</v>
      </c>
      <c r="D15" s="883"/>
      <c r="E15" s="884"/>
      <c r="F15" s="72"/>
      <c r="G15" s="166"/>
      <c r="H15" s="115"/>
      <c r="I15" s="123"/>
      <c r="J15" s="110"/>
      <c r="K15" s="123"/>
      <c r="L15" s="91"/>
      <c r="M15" s="123"/>
      <c r="N15" s="91"/>
      <c r="O15" s="144">
        <f t="shared" si="0"/>
        <v>0</v>
      </c>
      <c r="AB15" s="496" t="str">
        <f>'25메인호텔'!F13</f>
        <v>Hotel Boss</v>
      </c>
      <c r="AC15" s="35">
        <f>'25메인호텔'!G13</f>
        <v>185</v>
      </c>
      <c r="AD15" s="35">
        <f>'25메인호텔'!H13</f>
        <v>185</v>
      </c>
      <c r="AE15" s="34"/>
      <c r="AF15" s="34"/>
    </row>
    <row r="16" spans="1:32">
      <c r="B16" s="865"/>
      <c r="C16" s="902" t="s">
        <v>1243</v>
      </c>
      <c r="D16" s="903"/>
      <c r="E16" s="904"/>
      <c r="F16" s="72"/>
      <c r="G16" s="99"/>
      <c r="H16" s="110"/>
      <c r="I16" s="122">
        <f>식사!E28</f>
        <v>35</v>
      </c>
      <c r="J16" s="115">
        <f>$C$4+$E$4</f>
        <v>7</v>
      </c>
      <c r="K16" s="123"/>
      <c r="L16" s="91"/>
      <c r="M16" s="102"/>
      <c r="N16" s="91"/>
      <c r="O16" s="146">
        <f t="shared" si="0"/>
        <v>245</v>
      </c>
      <c r="Q16" s="7"/>
      <c r="AB16" s="496" t="str">
        <f>'25메인호텔'!F14</f>
        <v>V Hotel Lavender</v>
      </c>
      <c r="AC16" s="35">
        <f>'25메인호텔'!G14</f>
        <v>185</v>
      </c>
      <c r="AD16" s="35">
        <f>'25메인호텔'!H14</f>
        <v>185</v>
      </c>
      <c r="AE16" s="34"/>
      <c r="AF16" s="34"/>
    </row>
    <row r="17" spans="2:32">
      <c r="B17" s="865"/>
      <c r="C17" s="899" t="s">
        <v>783</v>
      </c>
      <c r="D17" s="900"/>
      <c r="E17" s="901"/>
      <c r="F17" s="72"/>
      <c r="G17" s="101">
        <f>일정!E38</f>
        <v>23.5</v>
      </c>
      <c r="H17" s="115">
        <f>$C$4+$E$4</f>
        <v>7</v>
      </c>
      <c r="I17" s="102"/>
      <c r="J17" s="115"/>
      <c r="K17" s="123"/>
      <c r="L17" s="91"/>
      <c r="M17" s="102"/>
      <c r="N17" s="91"/>
      <c r="O17" s="146">
        <f t="shared" si="0"/>
        <v>164.5</v>
      </c>
      <c r="Q17" s="7"/>
      <c r="AB17" s="496" t="str">
        <f>'25메인호텔'!F15</f>
        <v>IbIs Novena</v>
      </c>
      <c r="AC17" s="35">
        <f>'25메인호텔'!G15</f>
        <v>155</v>
      </c>
      <c r="AD17" s="35">
        <f>'25메인호텔'!H15</f>
        <v>155</v>
      </c>
      <c r="AE17" s="34"/>
      <c r="AF17" s="34"/>
    </row>
    <row r="18" spans="2:32">
      <c r="B18" s="865"/>
      <c r="C18" s="907" t="s">
        <v>687</v>
      </c>
      <c r="D18" s="908"/>
      <c r="E18" s="909"/>
      <c r="F18" s="72"/>
      <c r="G18" s="102"/>
      <c r="H18" s="115"/>
      <c r="I18" s="123"/>
      <c r="J18" s="110"/>
      <c r="K18" s="123"/>
      <c r="L18" s="91"/>
      <c r="M18" s="123"/>
      <c r="N18" s="91"/>
      <c r="O18" s="144">
        <f t="shared" si="0"/>
        <v>0</v>
      </c>
      <c r="Q18" s="7"/>
      <c r="AB18" s="496" t="str">
        <f>'25메인호텔'!F16</f>
        <v xml:space="preserve">IbIs bencoolen </v>
      </c>
      <c r="AC18" s="35">
        <f>'25메인호텔'!G16</f>
        <v>185</v>
      </c>
      <c r="AD18" s="35">
        <f>'25메인호텔'!H16</f>
        <v>185</v>
      </c>
      <c r="AE18" s="34"/>
      <c r="AF18" s="34"/>
    </row>
    <row r="19" spans="2:32">
      <c r="B19" s="865"/>
      <c r="C19" s="879" t="str">
        <f>일정!$C$27</f>
        <v>가든스바이더베이 2돔 ( 쥬랴기 )</v>
      </c>
      <c r="D19" s="891"/>
      <c r="E19" s="892"/>
      <c r="F19" s="72"/>
      <c r="G19" s="103">
        <f>일정!$E$27</f>
        <v>28.3</v>
      </c>
      <c r="H19" s="115">
        <f>$C$4+$E$4</f>
        <v>7</v>
      </c>
      <c r="I19" s="123"/>
      <c r="J19" s="110"/>
      <c r="K19" s="123"/>
      <c r="L19" s="91"/>
      <c r="M19" s="123"/>
      <c r="N19" s="91"/>
      <c r="O19" s="144">
        <f t="shared" si="0"/>
        <v>198.1</v>
      </c>
      <c r="Q19" s="7"/>
      <c r="AB19" s="496"/>
      <c r="AC19" s="35"/>
      <c r="AD19" s="35"/>
      <c r="AE19" s="34"/>
      <c r="AF19" s="34"/>
    </row>
    <row r="20" spans="2:32">
      <c r="B20" s="865"/>
      <c r="C20" s="876" t="s">
        <v>1244</v>
      </c>
      <c r="D20" s="877"/>
      <c r="E20" s="878"/>
      <c r="F20" s="72"/>
      <c r="G20" s="99"/>
      <c r="H20" s="110"/>
      <c r="I20" s="122">
        <f>식사!E3</f>
        <v>25</v>
      </c>
      <c r="J20" s="115">
        <f>$C$4+$E$4</f>
        <v>7</v>
      </c>
      <c r="K20" s="120"/>
      <c r="L20" s="91"/>
      <c r="M20" s="120"/>
      <c r="N20" s="91"/>
      <c r="O20" s="144">
        <f t="shared" si="0"/>
        <v>175</v>
      </c>
      <c r="AB20" s="497" t="str">
        <f>'25메인호텔'!F17</f>
        <v>Oasia Sentosa</v>
      </c>
      <c r="AC20" s="35">
        <f>'25메인호텔'!G17</f>
        <v>240</v>
      </c>
      <c r="AD20" s="35">
        <f>'25메인호텔'!H17</f>
        <v>240</v>
      </c>
      <c r="AE20" s="34"/>
      <c r="AF20" s="34"/>
    </row>
    <row r="21" spans="2:32">
      <c r="B21" s="865"/>
      <c r="C21" s="890" t="s">
        <v>628</v>
      </c>
      <c r="D21" s="891"/>
      <c r="E21" s="892"/>
      <c r="F21" s="72"/>
      <c r="G21" s="99"/>
      <c r="H21" s="110"/>
      <c r="I21" s="102"/>
      <c r="J21" s="115"/>
      <c r="K21" s="120"/>
      <c r="L21" s="91"/>
      <c r="M21" s="120"/>
      <c r="N21" s="91"/>
      <c r="O21" s="144">
        <f t="shared" si="0"/>
        <v>0</v>
      </c>
      <c r="Q21" s="7"/>
      <c r="AB21" s="497" t="str">
        <f>'25메인호텔'!F18</f>
        <v>Swissotel The stamford</v>
      </c>
      <c r="AC21" s="35">
        <f>'25메인호텔'!G18</f>
        <v>540</v>
      </c>
      <c r="AD21" s="35">
        <f>'25메인호텔'!H18</f>
        <v>540</v>
      </c>
      <c r="AE21" s="34"/>
      <c r="AF21" s="34"/>
    </row>
    <row r="22" spans="2:32" ht="18" thickBot="1">
      <c r="B22" s="906"/>
      <c r="C22" s="893" t="s">
        <v>1005</v>
      </c>
      <c r="D22" s="894"/>
      <c r="E22" s="895"/>
      <c r="F22" s="72"/>
      <c r="G22" s="102"/>
      <c r="H22" s="115"/>
      <c r="I22" s="123"/>
      <c r="J22" s="110"/>
      <c r="K22" s="123"/>
      <c r="L22" s="91"/>
      <c r="M22" s="123"/>
      <c r="N22" s="91"/>
      <c r="O22" s="144">
        <f t="shared" si="0"/>
        <v>0</v>
      </c>
      <c r="Q22" s="7"/>
      <c r="AB22" s="493"/>
      <c r="AC22" s="10"/>
      <c r="AD22" s="10"/>
    </row>
    <row r="23" spans="2:32">
      <c r="B23" s="864" t="str">
        <f>TEXT(C5+2,"m월 d일 aaaa")</f>
        <v>3월 18일 화요일</v>
      </c>
      <c r="C23" s="905" t="s">
        <v>562</v>
      </c>
      <c r="D23" s="1038"/>
      <c r="E23" s="1039"/>
      <c r="F23" s="72"/>
      <c r="G23" s="98"/>
      <c r="H23" s="109"/>
      <c r="I23" s="119"/>
      <c r="J23" s="109"/>
      <c r="K23" s="128"/>
      <c r="L23" s="90"/>
      <c r="M23" s="128"/>
      <c r="N23" s="90"/>
      <c r="O23" s="143">
        <f t="shared" si="0"/>
        <v>0</v>
      </c>
      <c r="Q23" s="159" t="s">
        <v>277</v>
      </c>
    </row>
    <row r="24" spans="2:32">
      <c r="B24" s="888"/>
      <c r="C24" s="865"/>
      <c r="D24" s="1040"/>
      <c r="E24" s="1041"/>
      <c r="F24" s="72"/>
      <c r="G24" s="102"/>
      <c r="H24" s="115"/>
      <c r="I24" s="123"/>
      <c r="J24" s="110"/>
      <c r="K24" s="123"/>
      <c r="L24" s="91"/>
      <c r="M24" s="123"/>
      <c r="N24" s="91"/>
      <c r="O24" s="144">
        <f t="shared" si="0"/>
        <v>0</v>
      </c>
      <c r="Q24" s="7"/>
    </row>
    <row r="25" spans="2:32">
      <c r="B25" s="888"/>
      <c r="C25" s="865"/>
      <c r="D25" s="1040"/>
      <c r="E25" s="1041"/>
      <c r="F25" s="72"/>
      <c r="G25" s="99"/>
      <c r="H25" s="110"/>
      <c r="I25" s="122"/>
      <c r="J25" s="115"/>
      <c r="K25" s="123"/>
      <c r="L25" s="91"/>
      <c r="M25" s="102"/>
      <c r="N25" s="91"/>
      <c r="O25" s="146">
        <f t="shared" si="0"/>
        <v>0</v>
      </c>
      <c r="Q25" s="7"/>
    </row>
    <row r="26" spans="2:32">
      <c r="B26" s="888"/>
      <c r="C26" s="865"/>
      <c r="D26" s="1040"/>
      <c r="E26" s="1041"/>
      <c r="F26" s="72"/>
      <c r="G26" s="102"/>
      <c r="H26" s="115"/>
      <c r="I26" s="102"/>
      <c r="J26" s="115"/>
      <c r="K26" s="123"/>
      <c r="L26" s="91"/>
      <c r="M26" s="102"/>
      <c r="N26" s="91"/>
      <c r="O26" s="146">
        <f t="shared" si="0"/>
        <v>0</v>
      </c>
      <c r="Q26" s="7"/>
    </row>
    <row r="27" spans="2:32">
      <c r="B27" s="888"/>
      <c r="C27" s="865"/>
      <c r="D27" s="1040"/>
      <c r="E27" s="1041"/>
      <c r="F27" s="72"/>
      <c r="G27" s="99"/>
      <c r="H27" s="110"/>
      <c r="I27" s="102"/>
      <c r="J27" s="115"/>
      <c r="K27" s="123"/>
      <c r="L27" s="91"/>
      <c r="M27" s="102"/>
      <c r="N27" s="91"/>
      <c r="O27" s="146">
        <f t="shared" si="0"/>
        <v>0</v>
      </c>
      <c r="Q27" s="7"/>
    </row>
    <row r="28" spans="2:32">
      <c r="B28" s="888"/>
      <c r="C28" s="865"/>
      <c r="D28" s="1040"/>
      <c r="E28" s="1041"/>
      <c r="F28" s="72"/>
      <c r="G28" s="99"/>
      <c r="H28" s="110"/>
      <c r="I28" s="122"/>
      <c r="J28" s="115"/>
      <c r="K28" s="123"/>
      <c r="L28" s="91"/>
      <c r="M28" s="123"/>
      <c r="N28" s="91"/>
      <c r="O28" s="146">
        <f t="shared" si="0"/>
        <v>0</v>
      </c>
      <c r="Q28" s="7"/>
    </row>
    <row r="29" spans="2:32" ht="18" thickBot="1">
      <c r="B29" s="866"/>
      <c r="C29" s="906"/>
      <c r="D29" s="1042"/>
      <c r="E29" s="1043"/>
      <c r="F29" s="72"/>
      <c r="G29" s="100"/>
      <c r="H29" s="111"/>
      <c r="I29" s="124"/>
      <c r="J29" s="126"/>
      <c r="K29" s="129"/>
      <c r="L29" s="137"/>
      <c r="M29" s="124"/>
      <c r="N29" s="137"/>
      <c r="O29" s="147">
        <f t="shared" si="0"/>
        <v>0</v>
      </c>
      <c r="Q29" s="7"/>
    </row>
    <row r="30" spans="2:32">
      <c r="B30" s="864" t="str">
        <f>TEXT(C5+3,"m월 d일 aaaa")</f>
        <v>3월 19일 수요일</v>
      </c>
      <c r="C30" s="896" t="s">
        <v>330</v>
      </c>
      <c r="D30" s="897"/>
      <c r="E30" s="898"/>
      <c r="F30" s="72"/>
      <c r="G30" s="98"/>
      <c r="H30" s="109"/>
      <c r="I30" s="119"/>
      <c r="J30" s="109"/>
      <c r="K30" s="128">
        <f>IF(C4+E4&lt;8,'가이드&amp;차량'!C47, IF(C4+E4&lt;=14,'가이드&amp;차량'!C39,'가이드&amp;차량'!C23))</f>
        <v>430</v>
      </c>
      <c r="L30" s="90">
        <f>L10</f>
        <v>1</v>
      </c>
      <c r="M30" s="128">
        <f>'가이드&amp;차량'!C6+'가이드&amp;차량'!C3</f>
        <v>525</v>
      </c>
      <c r="N30" s="90">
        <f>N10</f>
        <v>1</v>
      </c>
      <c r="O30" s="143">
        <f t="shared" si="0"/>
        <v>955</v>
      </c>
      <c r="Q30" s="159" t="s">
        <v>278</v>
      </c>
    </row>
    <row r="31" spans="2:32">
      <c r="B31" s="888"/>
      <c r="C31" s="882" t="s">
        <v>1002</v>
      </c>
      <c r="D31" s="883"/>
      <c r="E31" s="884"/>
      <c r="F31" s="72"/>
      <c r="G31" s="166"/>
      <c r="H31" s="115"/>
      <c r="I31" s="123"/>
      <c r="J31" s="110"/>
      <c r="K31" s="123"/>
      <c r="L31" s="91"/>
      <c r="M31" s="123"/>
      <c r="N31" s="91"/>
      <c r="O31" s="144">
        <f t="shared" si="0"/>
        <v>0</v>
      </c>
    </row>
    <row r="32" spans="2:32">
      <c r="B32" s="888"/>
      <c r="C32" s="876" t="s">
        <v>1245</v>
      </c>
      <c r="D32" s="877"/>
      <c r="E32" s="878"/>
      <c r="F32" s="72"/>
      <c r="G32" s="99"/>
      <c r="H32" s="110"/>
      <c r="I32" s="122">
        <f>식사!E19</f>
        <v>17</v>
      </c>
      <c r="J32" s="115">
        <f>$C$4+$E$4</f>
        <v>7</v>
      </c>
      <c r="K32" s="120"/>
      <c r="L32" s="91"/>
      <c r="M32" s="120"/>
      <c r="N32" s="91"/>
      <c r="O32" s="144">
        <f t="shared" si="0"/>
        <v>119</v>
      </c>
    </row>
    <row r="33" spans="2:21">
      <c r="B33" s="888"/>
      <c r="C33" s="882" t="s">
        <v>817</v>
      </c>
      <c r="D33" s="883"/>
      <c r="E33" s="884"/>
      <c r="F33" s="72"/>
      <c r="G33" s="101">
        <f>일정!E10+일정!E19+일정!E20</f>
        <v>76.3</v>
      </c>
      <c r="H33" s="115">
        <f>$C$4+$E$4</f>
        <v>7</v>
      </c>
      <c r="I33" s="102"/>
      <c r="J33" s="115"/>
      <c r="K33" s="123"/>
      <c r="L33" s="91"/>
      <c r="M33" s="123"/>
      <c r="N33" s="91"/>
      <c r="O33" s="144">
        <f t="shared" si="0"/>
        <v>534.1</v>
      </c>
    </row>
    <row r="34" spans="2:21">
      <c r="B34" s="888"/>
      <c r="C34" s="1013" t="s">
        <v>333</v>
      </c>
      <c r="D34" s="1014"/>
      <c r="E34" s="1015"/>
      <c r="F34" s="72"/>
      <c r="G34" s="206"/>
      <c r="H34" s="164"/>
      <c r="I34" s="122">
        <f>식사!E33</f>
        <v>10</v>
      </c>
      <c r="J34" s="115">
        <f>$C$4+$E$4</f>
        <v>7</v>
      </c>
      <c r="K34" s="161"/>
      <c r="L34" s="138"/>
      <c r="M34" s="161"/>
      <c r="N34" s="138"/>
      <c r="O34" s="148">
        <f t="shared" si="0"/>
        <v>70</v>
      </c>
    </row>
    <row r="35" spans="2:21">
      <c r="B35" s="888"/>
      <c r="C35" s="890" t="s">
        <v>1126</v>
      </c>
      <c r="D35" s="891"/>
      <c r="E35" s="892"/>
      <c r="F35" s="72"/>
      <c r="G35" s="206"/>
      <c r="H35" s="164"/>
      <c r="I35" s="123"/>
      <c r="J35" s="110"/>
      <c r="K35" s="161"/>
      <c r="L35" s="138"/>
      <c r="M35" s="161"/>
      <c r="N35" s="138"/>
      <c r="O35" s="148">
        <f t="shared" si="0"/>
        <v>0</v>
      </c>
    </row>
    <row r="36" spans="2:21">
      <c r="B36" s="888"/>
      <c r="C36" s="902" t="s">
        <v>1209</v>
      </c>
      <c r="D36" s="903"/>
      <c r="E36" s="904"/>
      <c r="F36" s="72"/>
      <c r="G36" s="104"/>
      <c r="H36" s="116"/>
      <c r="I36" s="122">
        <f>식사!E41</f>
        <v>42</v>
      </c>
      <c r="J36" s="115">
        <f>$C$4+$E$4</f>
        <v>7</v>
      </c>
      <c r="K36" s="130"/>
      <c r="L36" s="138"/>
      <c r="M36" s="130"/>
      <c r="N36" s="138"/>
      <c r="O36" s="148">
        <f t="shared" si="0"/>
        <v>294</v>
      </c>
    </row>
    <row r="37" spans="2:21" ht="18" thickBot="1">
      <c r="B37" s="866"/>
      <c r="C37" s="870" t="s">
        <v>1207</v>
      </c>
      <c r="D37" s="871"/>
      <c r="E37" s="500">
        <f>상품리스트!I24</f>
        <v>6.9444444444444441E-3</v>
      </c>
      <c r="F37" s="34"/>
      <c r="G37" s="105"/>
      <c r="H37" s="117"/>
      <c r="I37" s="124"/>
      <c r="J37" s="126"/>
      <c r="K37" s="131"/>
      <c r="L37" s="139"/>
      <c r="M37" s="131"/>
      <c r="N37" s="139"/>
      <c r="O37" s="149">
        <f t="shared" si="0"/>
        <v>0</v>
      </c>
      <c r="P37" s="34"/>
      <c r="Q37" s="34"/>
      <c r="R37" s="34"/>
      <c r="S37" s="34"/>
      <c r="T37" s="34"/>
      <c r="U37" s="34"/>
    </row>
    <row r="38" spans="2:21">
      <c r="B38" s="72"/>
      <c r="C38" s="72"/>
      <c r="D38" s="72"/>
      <c r="E38" s="72"/>
      <c r="F38" s="72"/>
      <c r="G38" s="72"/>
      <c r="H38" s="72"/>
      <c r="K38" s="132">
        <f>SUM(K10:K37)</f>
        <v>980</v>
      </c>
      <c r="L38" s="72"/>
      <c r="M38" s="132">
        <f>SUM(M10:M37)</f>
        <v>1050</v>
      </c>
      <c r="N38" s="72"/>
      <c r="O38" s="150"/>
      <c r="P38" s="156"/>
    </row>
    <row r="39" spans="2:21" ht="18" thickBot="1">
      <c r="O39" s="150"/>
    </row>
    <row r="40" spans="2:21">
      <c r="B40" s="872" t="s">
        <v>246</v>
      </c>
      <c r="C40" s="873" t="s">
        <v>288</v>
      </c>
      <c r="D40" s="874"/>
      <c r="E40" s="875"/>
      <c r="F40" s="34"/>
      <c r="G40" s="862">
        <f>$C$4+$E$4</f>
        <v>7</v>
      </c>
      <c r="H40" s="863"/>
      <c r="I40" s="854">
        <v>3</v>
      </c>
      <c r="J40" s="854"/>
      <c r="K40" s="855">
        <v>1</v>
      </c>
      <c r="L40" s="855"/>
      <c r="M40" s="855"/>
      <c r="N40" s="855"/>
      <c r="O40" s="151">
        <f>G40*I40*K40</f>
        <v>21</v>
      </c>
    </row>
    <row r="41" spans="2:21" ht="18" thickBot="1">
      <c r="B41" s="827"/>
      <c r="C41" s="856" t="s">
        <v>451</v>
      </c>
      <c r="D41" s="857"/>
      <c r="E41" s="858"/>
      <c r="F41" s="34"/>
      <c r="G41" s="859">
        <v>50</v>
      </c>
      <c r="H41" s="860"/>
      <c r="I41" s="860"/>
      <c r="J41" s="860"/>
      <c r="K41" s="861">
        <f>C4</f>
        <v>7</v>
      </c>
      <c r="L41" s="861"/>
      <c r="M41" s="861"/>
      <c r="N41" s="861"/>
      <c r="O41" s="152">
        <f>G41*K41</f>
        <v>350</v>
      </c>
    </row>
    <row r="42" spans="2:21" ht="18" thickBot="1">
      <c r="O42" s="150"/>
    </row>
    <row r="43" spans="2:21" ht="16.5" customHeight="1">
      <c r="B43" s="961" t="s">
        <v>337</v>
      </c>
      <c r="C43" s="1021" t="s">
        <v>251</v>
      </c>
      <c r="D43" s="1022"/>
      <c r="E43" s="1023"/>
      <c r="F43" s="165"/>
      <c r="G43" s="967"/>
      <c r="H43" s="1024"/>
      <c r="I43" s="969">
        <f>일정!G24</f>
        <v>30</v>
      </c>
      <c r="J43" s="970"/>
      <c r="K43" s="1044">
        <f>$C$4+$E$4</f>
        <v>7</v>
      </c>
      <c r="L43" s="1044"/>
      <c r="M43" s="1044"/>
      <c r="N43" s="1045"/>
      <c r="O43" s="153">
        <f>G43*I43*K43</f>
        <v>0</v>
      </c>
    </row>
    <row r="44" spans="2:21">
      <c r="B44" s="1019"/>
      <c r="C44" s="1025" t="s">
        <v>250</v>
      </c>
      <c r="D44" s="1026"/>
      <c r="E44" s="1027"/>
      <c r="F44" s="165"/>
      <c r="G44" s="977"/>
      <c r="H44" s="1028"/>
      <c r="I44" s="979">
        <f>일정!G30</f>
        <v>28</v>
      </c>
      <c r="J44" s="980"/>
      <c r="K44" s="1046">
        <f>$C$4+$E$4</f>
        <v>7</v>
      </c>
      <c r="L44" s="1047"/>
      <c r="M44" s="1047"/>
      <c r="N44" s="1048"/>
      <c r="O44" s="154">
        <f>G44*I44*K44</f>
        <v>0</v>
      </c>
    </row>
    <row r="45" spans="2:21">
      <c r="B45" s="1019"/>
      <c r="C45" s="1025" t="s">
        <v>249</v>
      </c>
      <c r="D45" s="1026"/>
      <c r="E45" s="1027"/>
      <c r="F45" s="165"/>
      <c r="G45" s="977"/>
      <c r="H45" s="1028"/>
      <c r="I45" s="979">
        <f>일정!G35</f>
        <v>36</v>
      </c>
      <c r="J45" s="980"/>
      <c r="K45" s="1046">
        <f>$C$4+$E$4</f>
        <v>7</v>
      </c>
      <c r="L45" s="1047"/>
      <c r="M45" s="1047"/>
      <c r="N45" s="1048"/>
      <c r="O45" s="154">
        <f>G45*I45*K45</f>
        <v>0</v>
      </c>
    </row>
    <row r="46" spans="2:21">
      <c r="B46" s="1019"/>
      <c r="C46" s="1025" t="s">
        <v>336</v>
      </c>
      <c r="D46" s="1026"/>
      <c r="E46" s="1027"/>
      <c r="F46" s="165"/>
      <c r="G46" s="977"/>
      <c r="H46" s="1028"/>
      <c r="I46" s="979">
        <f>일정!G13</f>
        <v>19</v>
      </c>
      <c r="J46" s="980"/>
      <c r="K46" s="1046">
        <f>$C$4+$E$4</f>
        <v>7</v>
      </c>
      <c r="L46" s="1047"/>
      <c r="M46" s="1047"/>
      <c r="N46" s="1048"/>
      <c r="O46" s="154">
        <f>G46*I46*K46</f>
        <v>0</v>
      </c>
    </row>
    <row r="47" spans="2:21" ht="18" thickBot="1">
      <c r="B47" s="1020"/>
      <c r="C47" s="1030" t="s">
        <v>252</v>
      </c>
      <c r="D47" s="1031"/>
      <c r="E47" s="1032"/>
      <c r="F47" s="165"/>
      <c r="G47" s="989"/>
      <c r="H47" s="1033"/>
      <c r="I47" s="991">
        <f>일정!G19</f>
        <v>42</v>
      </c>
      <c r="J47" s="992"/>
      <c r="K47" s="1049">
        <f>$C$4+$E$4</f>
        <v>7</v>
      </c>
      <c r="L47" s="1050"/>
      <c r="M47" s="1050"/>
      <c r="N47" s="1051"/>
      <c r="O47" s="215">
        <f>G47*I47*K47</f>
        <v>0</v>
      </c>
    </row>
  </sheetData>
  <mergeCells count="75"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  <mergeCell ref="H7:K7"/>
    <mergeCell ref="M8:N8"/>
    <mergeCell ref="O8:O9"/>
    <mergeCell ref="B10:B13"/>
    <mergeCell ref="C10:D10"/>
    <mergeCell ref="C11:E11"/>
    <mergeCell ref="C13:E13"/>
    <mergeCell ref="G8:H8"/>
    <mergeCell ref="I8:J8"/>
    <mergeCell ref="K8:L8"/>
    <mergeCell ref="C12:E12"/>
    <mergeCell ref="B14:B22"/>
    <mergeCell ref="C14:E14"/>
    <mergeCell ref="C15:E15"/>
    <mergeCell ref="C16:E16"/>
    <mergeCell ref="C17:E17"/>
    <mergeCell ref="C18:E18"/>
    <mergeCell ref="C20:E20"/>
    <mergeCell ref="C21:E21"/>
    <mergeCell ref="C22:E22"/>
    <mergeCell ref="C19:E19"/>
    <mergeCell ref="B23:B29"/>
    <mergeCell ref="C23:E29"/>
    <mergeCell ref="B30:B37"/>
    <mergeCell ref="C30:E30"/>
    <mergeCell ref="C31:E31"/>
    <mergeCell ref="C32:E32"/>
    <mergeCell ref="C33:E33"/>
    <mergeCell ref="C35:E35"/>
    <mergeCell ref="C36:E36"/>
    <mergeCell ref="C37:D37"/>
    <mergeCell ref="C34:E34"/>
    <mergeCell ref="B40:B41"/>
    <mergeCell ref="C40:E40"/>
    <mergeCell ref="G40:H40"/>
    <mergeCell ref="I40:J40"/>
    <mergeCell ref="K40:N40"/>
    <mergeCell ref="C41:E41"/>
    <mergeCell ref="G41:J41"/>
    <mergeCell ref="K41:N41"/>
    <mergeCell ref="B43:B47"/>
    <mergeCell ref="C43:E43"/>
    <mergeCell ref="G43:H43"/>
    <mergeCell ref="I43:J43"/>
    <mergeCell ref="K43:N43"/>
    <mergeCell ref="C44:E44"/>
    <mergeCell ref="G44:H44"/>
    <mergeCell ref="I44:J44"/>
    <mergeCell ref="K44:N44"/>
    <mergeCell ref="C45:E45"/>
    <mergeCell ref="C47:E47"/>
    <mergeCell ref="G47:H47"/>
    <mergeCell ref="I47:J47"/>
    <mergeCell ref="K47:N47"/>
    <mergeCell ref="G45:H45"/>
    <mergeCell ref="I45:J45"/>
    <mergeCell ref="K45:N45"/>
    <mergeCell ref="C46:E46"/>
    <mergeCell ref="G46:H46"/>
    <mergeCell ref="I46:J46"/>
    <mergeCell ref="K46:N46"/>
  </mergeCells>
  <phoneticPr fontId="1" type="noConversion"/>
  <hyperlinks>
    <hyperlink ref="A1" location="상품리스트!A1" display="home" xr:uid="{AB7EEC55-9588-47C4-B3A7-0440CC32D3B3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57B2B-5D27-4E84-AFE1-29D0FA721A80}">
  <dimension ref="A1:AD44"/>
  <sheetViews>
    <sheetView workbookViewId="0"/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9" width="7.6640625" customWidth="1"/>
    <col min="10" max="10" width="9.83203125" customWidth="1"/>
    <col min="11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6" max="26" width="7.6640625" customWidth="1"/>
    <col min="27" max="27" width="3.5" customWidth="1"/>
    <col min="28" max="28" width="19.33203125" bestFit="1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6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1120</v>
      </c>
      <c r="D2" s="923"/>
      <c r="E2" s="924"/>
      <c r="F2" s="72"/>
      <c r="G2" s="921"/>
      <c r="H2" s="925">
        <f>C5</f>
        <v>45734</v>
      </c>
      <c r="I2" s="926"/>
      <c r="J2" s="927" t="str">
        <f>AB2</f>
        <v>Oasia Novena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225</v>
      </c>
      <c r="M2" s="140">
        <f>$I$1+$K$1</f>
        <v>6</v>
      </c>
      <c r="N2" s="106">
        <f>L2*M2</f>
        <v>1350</v>
      </c>
      <c r="O2" s="929">
        <f>SUM(N2:N6)</f>
        <v>4050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927</v>
      </c>
      <c r="AC2" s="10">
        <v>225</v>
      </c>
      <c r="AD2" s="10">
        <v>225</v>
      </c>
    </row>
    <row r="3" spans="1:30" ht="28">
      <c r="B3" s="74" t="s">
        <v>239</v>
      </c>
      <c r="C3" s="938" t="s">
        <v>1127</v>
      </c>
      <c r="D3" s="938"/>
      <c r="E3" s="770"/>
      <c r="F3" s="72"/>
      <c r="G3" s="921"/>
      <c r="H3" s="925">
        <f>H2+1</f>
        <v>45735</v>
      </c>
      <c r="I3" s="926"/>
      <c r="J3" s="927" t="str">
        <f>J2</f>
        <v>Oasia Novena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225</v>
      </c>
      <c r="M3" s="140">
        <f>$I$1+$K$1</f>
        <v>6</v>
      </c>
      <c r="N3" s="106">
        <f>L3*M3</f>
        <v>1350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12</v>
      </c>
      <c r="D4" s="84" t="s">
        <v>253</v>
      </c>
      <c r="E4" s="92">
        <v>0</v>
      </c>
      <c r="F4" s="72"/>
      <c r="G4" s="921"/>
      <c r="H4" s="925">
        <f>H3+1</f>
        <v>45736</v>
      </c>
      <c r="I4" s="926"/>
      <c r="J4" s="927" t="str">
        <f>J3</f>
        <v>Oasia Novena</v>
      </c>
      <c r="K4" s="928"/>
      <c r="L4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225</v>
      </c>
      <c r="M4" s="140">
        <f>$I$1+$K$1</f>
        <v>6</v>
      </c>
      <c r="N4" s="106">
        <f>L4*M4</f>
        <v>1350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45734</v>
      </c>
      <c r="D5" s="85">
        <v>3</v>
      </c>
      <c r="E5" s="93">
        <f>C5+D5</f>
        <v>45737</v>
      </c>
      <c r="F5" s="72"/>
      <c r="G5" s="921"/>
      <c r="H5" s="925">
        <f>H4+1</f>
        <v>45737</v>
      </c>
      <c r="I5" s="926"/>
      <c r="J5" s="939"/>
      <c r="K5" s="940"/>
      <c r="L5" s="135"/>
      <c r="M5" s="140"/>
      <c r="N5" s="106">
        <f>L5*M5</f>
        <v>0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(SUM(O10:O44)+O2)/C4+R2+T6</f>
        <v>959.01666666666677</v>
      </c>
      <c r="D6" s="86" t="s">
        <v>254</v>
      </c>
      <c r="E6" s="94">
        <f>C6*$E$1</f>
        <v>1054918.3333333335</v>
      </c>
      <c r="F6" s="72"/>
      <c r="G6" s="922"/>
      <c r="H6" s="925">
        <f>H5+1</f>
        <v>45738</v>
      </c>
      <c r="I6" s="926"/>
      <c r="J6" s="935"/>
      <c r="K6" s="935"/>
      <c r="L6" s="136"/>
      <c r="M6" s="89"/>
      <c r="N6" s="107">
        <f>L6*M6</f>
        <v>0</v>
      </c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5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18일 화요일</v>
      </c>
      <c r="C10" s="867" t="s">
        <v>960</v>
      </c>
      <c r="D10" s="916"/>
      <c r="E10" s="499">
        <f>상품리스트!F11</f>
        <v>0.59722222222222221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200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350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5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>
      <c r="B12" s="865"/>
      <c r="C12" s="902" t="s">
        <v>508</v>
      </c>
      <c r="D12" s="903"/>
      <c r="E12" s="904"/>
      <c r="F12" s="72"/>
      <c r="G12" s="104"/>
      <c r="H12" s="116"/>
      <c r="I12" s="122">
        <f>식사!E15</f>
        <v>18</v>
      </c>
      <c r="J12" s="115">
        <f>$C$4+$E$4</f>
        <v>12</v>
      </c>
      <c r="K12" s="130"/>
      <c r="L12" s="138"/>
      <c r="M12" s="130"/>
      <c r="N12" s="138"/>
      <c r="O12" s="148">
        <f>(G12*H12)+(I12*J12)+(K12*L12)+(M12*N12)</f>
        <v>216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</row>
    <row r="13" spans="1:30" ht="18" thickBot="1">
      <c r="B13" s="906"/>
      <c r="C13" s="917" t="s">
        <v>247</v>
      </c>
      <c r="D13" s="918"/>
      <c r="E13" s="919"/>
      <c r="F13" s="72"/>
      <c r="G13" s="100"/>
      <c r="H13" s="111"/>
      <c r="I13" s="121"/>
      <c r="J13" s="111"/>
      <c r="K13" s="121"/>
      <c r="L13" s="137"/>
      <c r="M13" s="121"/>
      <c r="N13" s="137"/>
      <c r="O13" s="145">
        <f t="shared" si="0"/>
        <v>0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929</v>
      </c>
      <c r="AC13" s="10">
        <v>240</v>
      </c>
      <c r="AD13" s="10">
        <v>240</v>
      </c>
    </row>
    <row r="14" spans="1:30">
      <c r="B14" s="905" t="str">
        <f>TEXT(C5+1,"m월 d일 aaaa")</f>
        <v>3월 19일 수요일</v>
      </c>
      <c r="C14" s="896" t="s">
        <v>282</v>
      </c>
      <c r="D14" s="897"/>
      <c r="E14" s="898"/>
      <c r="F14" s="72"/>
      <c r="G14" s="98"/>
      <c r="H14" s="112"/>
      <c r="I14" s="119"/>
      <c r="J14" s="109"/>
      <c r="K14" s="128">
        <f>IF(C4+E4&lt;8,'가이드&amp;차량'!C47, IF(C4+E4&lt;=14,'가이드&amp;차량'!C39,'가이드&amp;차량'!C23))</f>
        <v>530</v>
      </c>
      <c r="L14" s="90">
        <f>L10</f>
        <v>1</v>
      </c>
      <c r="M14" s="128">
        <f>'가이드&amp;차량'!C6</f>
        <v>375</v>
      </c>
      <c r="N14" s="90">
        <f>N10</f>
        <v>1</v>
      </c>
      <c r="O14" s="143">
        <f t="shared" si="0"/>
        <v>905</v>
      </c>
      <c r="Q14" s="159" t="s">
        <v>277</v>
      </c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5" t="s">
        <v>921</v>
      </c>
      <c r="AC14" s="10">
        <v>240</v>
      </c>
      <c r="AD14" s="10">
        <v>240</v>
      </c>
    </row>
    <row r="15" spans="1:30">
      <c r="B15" s="865"/>
      <c r="C15" s="907" t="s">
        <v>322</v>
      </c>
      <c r="D15" s="900"/>
      <c r="E15" s="901"/>
      <c r="F15" s="72"/>
      <c r="G15" s="102"/>
      <c r="H15" s="115"/>
      <c r="I15" s="120"/>
      <c r="J15" s="110"/>
      <c r="K15" s="123"/>
      <c r="L15" s="91"/>
      <c r="M15" s="123"/>
      <c r="N15" s="91"/>
      <c r="O15" s="144">
        <f t="shared" si="0"/>
        <v>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932</v>
      </c>
      <c r="AC15" s="10">
        <v>170</v>
      </c>
      <c r="AD15" s="10">
        <v>170</v>
      </c>
    </row>
    <row r="16" spans="1:30">
      <c r="B16" s="865"/>
      <c r="C16" s="876" t="s">
        <v>632</v>
      </c>
      <c r="D16" s="877"/>
      <c r="E16" s="878"/>
      <c r="F16" s="72"/>
      <c r="G16" s="99"/>
      <c r="H16" s="110"/>
      <c r="I16" s="122">
        <f>IF(C4+E4&lt;10,식사!E27,식사!E28)</f>
        <v>35</v>
      </c>
      <c r="J16" s="115">
        <f>$C$4+$E$4</f>
        <v>12</v>
      </c>
      <c r="K16" s="120"/>
      <c r="L16" s="91"/>
      <c r="M16" s="120"/>
      <c r="N16" s="91"/>
      <c r="O16" s="144">
        <f t="shared" si="0"/>
        <v>420</v>
      </c>
      <c r="Q16" s="7"/>
      <c r="AB16" s="496" t="s">
        <v>922</v>
      </c>
      <c r="AC16" s="10">
        <v>185</v>
      </c>
      <c r="AD16" s="10">
        <v>185</v>
      </c>
    </row>
    <row r="17" spans="1:30">
      <c r="B17" s="865"/>
      <c r="C17" s="879" t="s">
        <v>1123</v>
      </c>
      <c r="D17" s="880"/>
      <c r="E17" s="881"/>
      <c r="F17" s="72"/>
      <c r="G17" s="101">
        <f>일정!E38</f>
        <v>23.5</v>
      </c>
      <c r="H17" s="115">
        <f>$C$4+$E$4</f>
        <v>12</v>
      </c>
      <c r="I17" s="123"/>
      <c r="J17" s="110"/>
      <c r="K17" s="123"/>
      <c r="L17" s="91"/>
      <c r="M17" s="123"/>
      <c r="N17" s="91"/>
      <c r="O17" s="144">
        <f t="shared" si="0"/>
        <v>282</v>
      </c>
      <c r="Q17" s="7"/>
      <c r="AB17" s="496" t="s">
        <v>923</v>
      </c>
      <c r="AC17" s="10">
        <v>185</v>
      </c>
      <c r="AD17" s="10">
        <v>185</v>
      </c>
    </row>
    <row r="18" spans="1:30">
      <c r="B18" s="865"/>
      <c r="C18" s="890" t="s">
        <v>550</v>
      </c>
      <c r="D18" s="891"/>
      <c r="E18" s="892"/>
      <c r="F18" s="72"/>
      <c r="G18" s="102"/>
      <c r="H18" s="115"/>
      <c r="I18" s="123"/>
      <c r="J18" s="110"/>
      <c r="K18" s="123"/>
      <c r="L18" s="91"/>
      <c r="M18" s="123"/>
      <c r="N18" s="91"/>
      <c r="O18" s="144">
        <f t="shared" si="0"/>
        <v>0</v>
      </c>
      <c r="Q18" s="7"/>
      <c r="AB18" s="496" t="s">
        <v>931</v>
      </c>
      <c r="AC18" s="10">
        <v>155</v>
      </c>
      <c r="AD18" s="10">
        <v>155</v>
      </c>
    </row>
    <row r="19" spans="1:30">
      <c r="A19" t="s">
        <v>1124</v>
      </c>
      <c r="B19" s="865"/>
      <c r="C19" s="879" t="str">
        <f>일정!C27</f>
        <v>가든스바이더베이 2돔 ( 쥬랴기 )</v>
      </c>
      <c r="D19" s="880"/>
      <c r="E19" s="881"/>
      <c r="F19" s="72"/>
      <c r="G19" s="101">
        <f>일정!E27</f>
        <v>28.3</v>
      </c>
      <c r="H19" s="115">
        <f>$C$4+$E$4</f>
        <v>12</v>
      </c>
      <c r="I19" s="123"/>
      <c r="J19" s="110"/>
      <c r="K19" s="123"/>
      <c r="L19" s="91"/>
      <c r="M19" s="123"/>
      <c r="N19" s="91"/>
      <c r="O19" s="144">
        <f>(G19*H19)+(I19*J19)+(K19*L19)+(M19*N19)</f>
        <v>339.6</v>
      </c>
      <c r="Q19" s="7"/>
      <c r="AB19" s="496" t="s">
        <v>923</v>
      </c>
      <c r="AC19" s="10">
        <v>185</v>
      </c>
      <c r="AD19" s="10">
        <v>185</v>
      </c>
    </row>
    <row r="20" spans="1:30">
      <c r="B20" s="865"/>
      <c r="C20" s="902" t="s">
        <v>298</v>
      </c>
      <c r="D20" s="903"/>
      <c r="E20" s="904"/>
      <c r="F20" s="72"/>
      <c r="G20" s="123"/>
      <c r="H20" s="110"/>
      <c r="I20" s="122">
        <f>식사!E3</f>
        <v>25</v>
      </c>
      <c r="J20" s="115">
        <f>$C$4+$E$4</f>
        <v>12</v>
      </c>
      <c r="K20" s="120"/>
      <c r="L20" s="91"/>
      <c r="M20" s="120"/>
      <c r="N20" s="91"/>
      <c r="O20" s="144">
        <f t="shared" si="0"/>
        <v>300</v>
      </c>
      <c r="Q20" s="7"/>
      <c r="AB20" s="497" t="s">
        <v>928</v>
      </c>
      <c r="AC20" s="10">
        <v>280</v>
      </c>
      <c r="AD20" s="10">
        <v>280</v>
      </c>
    </row>
    <row r="21" spans="1:30">
      <c r="B21" s="865"/>
      <c r="C21" s="941" t="s">
        <v>325</v>
      </c>
      <c r="D21" s="911"/>
      <c r="E21" s="912"/>
      <c r="F21" s="72"/>
      <c r="G21" s="205"/>
      <c r="H21" s="115"/>
      <c r="I21" s="102"/>
      <c r="J21" s="115"/>
      <c r="K21" s="120"/>
      <c r="L21" s="91"/>
      <c r="M21" s="120"/>
      <c r="N21" s="91"/>
      <c r="O21" s="144">
        <f t="shared" si="0"/>
        <v>0</v>
      </c>
      <c r="Q21" s="7"/>
      <c r="AB21" s="497" t="s">
        <v>442</v>
      </c>
      <c r="AC21" s="10">
        <v>366</v>
      </c>
      <c r="AD21" s="10">
        <v>366</v>
      </c>
    </row>
    <row r="22" spans="1:30" ht="18" thickBot="1">
      <c r="B22" s="906"/>
      <c r="C22" s="893" t="s">
        <v>1005</v>
      </c>
      <c r="D22" s="894"/>
      <c r="E22" s="895"/>
      <c r="F22" s="72"/>
      <c r="G22" s="102"/>
      <c r="H22" s="115"/>
      <c r="I22" s="123"/>
      <c r="J22" s="110"/>
      <c r="K22" s="123"/>
      <c r="L22" s="91"/>
      <c r="M22" s="123"/>
      <c r="N22" s="91"/>
      <c r="O22" s="144">
        <f t="shared" si="0"/>
        <v>0</v>
      </c>
      <c r="Q22" s="7"/>
    </row>
    <row r="23" spans="1:30">
      <c r="B23" s="864" t="str">
        <f>TEXT(C5+2,"m월 d일 aaaa")</f>
        <v>3월 20일 목요일</v>
      </c>
      <c r="C23" s="896" t="s">
        <v>240</v>
      </c>
      <c r="D23" s="897"/>
      <c r="E23" s="898"/>
      <c r="F23" s="72"/>
      <c r="G23" s="353"/>
      <c r="H23" s="109"/>
      <c r="I23" s="119"/>
      <c r="J23" s="109"/>
      <c r="K23" s="128">
        <f>IF(C4+E4&lt;8,'가이드&amp;차량'!C47, IF(C4+E4&lt;=14,'가이드&amp;차량'!C39,'가이드&amp;차량'!C23))</f>
        <v>530</v>
      </c>
      <c r="L23" s="90">
        <f>L10</f>
        <v>1</v>
      </c>
      <c r="M23" s="128">
        <f>'가이드&amp;차량'!C6</f>
        <v>375</v>
      </c>
      <c r="N23" s="90">
        <f>N10</f>
        <v>1</v>
      </c>
      <c r="O23" s="143">
        <f t="shared" si="0"/>
        <v>905</v>
      </c>
      <c r="Q23" s="159" t="s">
        <v>277</v>
      </c>
    </row>
    <row r="24" spans="1:30">
      <c r="B24" s="944"/>
      <c r="C24" s="899" t="s">
        <v>329</v>
      </c>
      <c r="D24" s="883"/>
      <c r="E24" s="884"/>
      <c r="F24" s="72"/>
      <c r="G24" s="101">
        <f>일정!E40</f>
        <v>24.5</v>
      </c>
      <c r="H24" s="115">
        <f>$C$4+$E$4</f>
        <v>12</v>
      </c>
      <c r="I24" s="123"/>
      <c r="J24" s="110"/>
      <c r="K24" s="123"/>
      <c r="L24" s="91"/>
      <c r="M24" s="123"/>
      <c r="N24" s="91"/>
      <c r="O24" s="144">
        <f>(G24*H24)+(I24*J24)+(K24*L24)+(M24*N24)</f>
        <v>294</v>
      </c>
      <c r="V24" s="498"/>
    </row>
    <row r="25" spans="1:30">
      <c r="B25" s="944"/>
      <c r="C25" s="902" t="s">
        <v>986</v>
      </c>
      <c r="D25" s="903"/>
      <c r="E25" s="904"/>
      <c r="F25" s="72"/>
      <c r="G25" s="123"/>
      <c r="H25" s="110"/>
      <c r="I25" s="122">
        <f>식사!E36</f>
        <v>20</v>
      </c>
      <c r="J25" s="115">
        <f>$C$4+$E$4</f>
        <v>12</v>
      </c>
      <c r="K25" s="120"/>
      <c r="L25" s="91"/>
      <c r="M25" s="120"/>
      <c r="N25" s="91"/>
      <c r="O25" s="144">
        <f>(G25*H25)+(I25*J25)+(K25*L25)+(M25*N25)</f>
        <v>240</v>
      </c>
    </row>
    <row r="26" spans="1:30">
      <c r="B26" s="888"/>
      <c r="C26" s="1016" t="s">
        <v>785</v>
      </c>
      <c r="D26" s="1017"/>
      <c r="E26" s="1018"/>
      <c r="F26" s="72"/>
      <c r="G26" s="102"/>
      <c r="H26" s="115"/>
      <c r="I26" s="123"/>
      <c r="J26" s="110"/>
      <c r="K26" s="123"/>
      <c r="L26" s="91"/>
      <c r="M26" s="102"/>
      <c r="N26" s="91"/>
      <c r="O26" s="146">
        <f t="shared" si="0"/>
        <v>0</v>
      </c>
      <c r="Q26" s="7"/>
    </row>
    <row r="27" spans="1:30">
      <c r="B27" s="888"/>
      <c r="C27" s="902" t="s">
        <v>1125</v>
      </c>
      <c r="D27" s="903"/>
      <c r="E27" s="904"/>
      <c r="F27" s="72"/>
      <c r="G27" s="123"/>
      <c r="H27" s="110"/>
      <c r="I27" s="122">
        <v>20</v>
      </c>
      <c r="J27" s="115">
        <f>$C$4+$E$4</f>
        <v>12</v>
      </c>
      <c r="K27" s="123"/>
      <c r="L27" s="91"/>
      <c r="M27" s="123"/>
      <c r="N27" s="91"/>
      <c r="O27" s="146">
        <f t="shared" si="0"/>
        <v>240</v>
      </c>
      <c r="Q27" s="7"/>
    </row>
    <row r="28" spans="1:30" ht="18" thickBot="1">
      <c r="B28" s="866"/>
      <c r="C28" s="917" t="s">
        <v>248</v>
      </c>
      <c r="D28" s="918"/>
      <c r="E28" s="919"/>
      <c r="F28" s="72"/>
      <c r="G28" s="129"/>
      <c r="H28" s="111"/>
      <c r="I28" s="124"/>
      <c r="J28" s="126"/>
      <c r="K28" s="129"/>
      <c r="L28" s="137"/>
      <c r="M28" s="124"/>
      <c r="N28" s="137"/>
      <c r="O28" s="147">
        <f t="shared" si="0"/>
        <v>0</v>
      </c>
      <c r="Q28" s="7"/>
    </row>
    <row r="29" spans="1:30">
      <c r="B29" s="864" t="str">
        <f>TEXT(C5+3,"m월 d일 aaaa")</f>
        <v>3월 21일 금요일</v>
      </c>
      <c r="C29" s="896" t="s">
        <v>330</v>
      </c>
      <c r="D29" s="897"/>
      <c r="E29" s="898"/>
      <c r="F29" s="72"/>
      <c r="G29" s="353"/>
      <c r="H29" s="109"/>
      <c r="I29" s="119"/>
      <c r="J29" s="109"/>
      <c r="K29" s="128">
        <f>IF(C4+E4&lt;8,'가이드&amp;차량'!C47, IF(C4+E4&lt;=14,'가이드&amp;차량'!C39,'가이드&amp;차량'!C23))</f>
        <v>530</v>
      </c>
      <c r="L29" s="90">
        <f>L10</f>
        <v>1</v>
      </c>
      <c r="M29" s="128">
        <f>'가이드&amp;차량'!C6+'가이드&amp;차량'!C3</f>
        <v>525</v>
      </c>
      <c r="N29" s="90">
        <f>N10</f>
        <v>1</v>
      </c>
      <c r="O29" s="143">
        <f t="shared" si="0"/>
        <v>1055</v>
      </c>
      <c r="Q29" s="159" t="s">
        <v>278</v>
      </c>
    </row>
    <row r="30" spans="1:30">
      <c r="B30" s="888"/>
      <c r="C30" s="902" t="s">
        <v>559</v>
      </c>
      <c r="D30" s="903"/>
      <c r="E30" s="904"/>
      <c r="F30" s="72"/>
      <c r="G30" s="123"/>
      <c r="H30" s="110"/>
      <c r="I30" s="122">
        <f>식사!E19</f>
        <v>17</v>
      </c>
      <c r="J30" s="115">
        <f>$C$4+$E$4</f>
        <v>12</v>
      </c>
      <c r="K30" s="120"/>
      <c r="L30" s="91"/>
      <c r="M30" s="120"/>
      <c r="N30" s="91"/>
      <c r="O30" s="144">
        <f t="shared" si="0"/>
        <v>204</v>
      </c>
    </row>
    <row r="31" spans="1:30">
      <c r="B31" s="888"/>
      <c r="C31" s="882" t="s">
        <v>817</v>
      </c>
      <c r="D31" s="883"/>
      <c r="E31" s="884"/>
      <c r="F31" s="72"/>
      <c r="G31" s="101">
        <f>일정!E10+일정!E19+일정!E20</f>
        <v>76.3</v>
      </c>
      <c r="H31" s="115">
        <f>$C$4+$E$4</f>
        <v>12</v>
      </c>
      <c r="I31" s="123"/>
      <c r="J31" s="110"/>
      <c r="K31" s="123"/>
      <c r="L31" s="91"/>
      <c r="M31" s="123"/>
      <c r="N31" s="91"/>
      <c r="O31" s="144">
        <f t="shared" si="0"/>
        <v>915.59999999999991</v>
      </c>
      <c r="V31" s="498"/>
    </row>
    <row r="32" spans="1:30">
      <c r="B32" s="888"/>
      <c r="C32" s="1013" t="s">
        <v>333</v>
      </c>
      <c r="D32" s="1014"/>
      <c r="E32" s="1015"/>
      <c r="F32" s="72"/>
      <c r="G32" s="206"/>
      <c r="H32" s="164"/>
      <c r="I32" s="122">
        <f>식사!E33</f>
        <v>10</v>
      </c>
      <c r="J32" s="115">
        <f>$C$4+$E$4</f>
        <v>12</v>
      </c>
      <c r="K32" s="161"/>
      <c r="L32" s="138"/>
      <c r="M32" s="161"/>
      <c r="N32" s="138"/>
      <c r="O32" s="148">
        <f t="shared" si="0"/>
        <v>120</v>
      </c>
    </row>
    <row r="33" spans="2:22">
      <c r="B33" s="888"/>
      <c r="C33" s="890" t="s">
        <v>1126</v>
      </c>
      <c r="D33" s="891"/>
      <c r="E33" s="892"/>
      <c r="F33" s="72"/>
      <c r="G33" s="206"/>
      <c r="H33" s="164"/>
      <c r="I33" s="123"/>
      <c r="J33" s="110"/>
      <c r="K33" s="161"/>
      <c r="L33" s="138"/>
      <c r="M33" s="161"/>
      <c r="N33" s="138"/>
      <c r="O33" s="148">
        <f t="shared" si="0"/>
        <v>0</v>
      </c>
    </row>
    <row r="34" spans="2:22">
      <c r="B34" s="888"/>
      <c r="C34" s="902" t="s">
        <v>1209</v>
      </c>
      <c r="D34" s="903"/>
      <c r="E34" s="904"/>
      <c r="F34" s="72"/>
      <c r="G34" s="104"/>
      <c r="H34" s="116"/>
      <c r="I34" s="122">
        <v>38</v>
      </c>
      <c r="J34" s="115">
        <f>$C$4+$E$4</f>
        <v>12</v>
      </c>
      <c r="K34" s="130"/>
      <c r="L34" s="138"/>
      <c r="M34" s="130"/>
      <c r="N34" s="138"/>
      <c r="O34" s="148">
        <f t="shared" si="0"/>
        <v>456</v>
      </c>
    </row>
    <row r="35" spans="2:22" ht="18" thickBot="1">
      <c r="B35" s="866"/>
      <c r="C35" s="870" t="s">
        <v>1207</v>
      </c>
      <c r="D35" s="871"/>
      <c r="E35" s="500">
        <f>상품리스트!I4</f>
        <v>0</v>
      </c>
      <c r="F35" s="34"/>
      <c r="G35" s="105"/>
      <c r="H35" s="117"/>
      <c r="I35" s="124"/>
      <c r="J35" s="126"/>
      <c r="K35" s="131"/>
      <c r="L35" s="139"/>
      <c r="M35" s="131"/>
      <c r="N35" s="139"/>
      <c r="O35" s="149">
        <f t="shared" si="0"/>
        <v>0</v>
      </c>
      <c r="P35" s="34"/>
      <c r="Q35" s="34"/>
      <c r="R35" s="34"/>
      <c r="S35" s="34"/>
      <c r="T35" s="34"/>
      <c r="U35" s="34"/>
      <c r="V35" s="493"/>
    </row>
    <row r="36" spans="2:22">
      <c r="B36" s="72"/>
      <c r="C36" s="72"/>
      <c r="D36" s="72"/>
      <c r="E36" s="72"/>
      <c r="F36" s="72"/>
      <c r="G36" s="72"/>
      <c r="H36" s="72"/>
      <c r="K36" s="132">
        <f>SUM(K10:K35)</f>
        <v>1790</v>
      </c>
      <c r="L36" s="72"/>
      <c r="M36" s="132">
        <f>SUM(M10:M35)</f>
        <v>1425</v>
      </c>
      <c r="N36" s="72"/>
      <c r="O36" s="150"/>
      <c r="P36" s="156"/>
      <c r="V36" s="493"/>
    </row>
    <row r="37" spans="2:22" ht="18" thickBot="1">
      <c r="O37" s="150"/>
      <c r="V37" s="493"/>
    </row>
    <row r="38" spans="2:22">
      <c r="B38" s="993" t="s">
        <v>246</v>
      </c>
      <c r="C38" s="995" t="s">
        <v>288</v>
      </c>
      <c r="D38" s="996"/>
      <c r="E38" s="997"/>
      <c r="F38" s="34"/>
      <c r="G38" s="998">
        <f>$C$4+$E$4</f>
        <v>12</v>
      </c>
      <c r="H38" s="999"/>
      <c r="I38" s="1000">
        <v>3</v>
      </c>
      <c r="J38" s="1001"/>
      <c r="K38" s="1002">
        <v>1</v>
      </c>
      <c r="L38" s="1003"/>
      <c r="M38" s="1003"/>
      <c r="N38" s="830"/>
      <c r="O38" s="151">
        <f>G38*I38*K38</f>
        <v>36</v>
      </c>
      <c r="V38" s="493"/>
    </row>
    <row r="39" spans="2:22" ht="18" thickBot="1">
      <c r="B39" s="994"/>
      <c r="C39" s="1004" t="s">
        <v>451</v>
      </c>
      <c r="D39" s="1005"/>
      <c r="E39" s="1006"/>
      <c r="F39" s="34"/>
      <c r="G39" s="1007">
        <v>50</v>
      </c>
      <c r="H39" s="1008"/>
      <c r="I39" s="1008"/>
      <c r="J39" s="1009"/>
      <c r="K39" s="1010">
        <f>C4</f>
        <v>12</v>
      </c>
      <c r="L39" s="1011"/>
      <c r="M39" s="1011"/>
      <c r="N39" s="1012"/>
      <c r="O39" s="152">
        <f>G39*K39</f>
        <v>600</v>
      </c>
      <c r="V39" s="493"/>
    </row>
    <row r="40" spans="2:22" ht="18" thickBot="1">
      <c r="O40" s="150"/>
      <c r="V40" s="493"/>
    </row>
    <row r="41" spans="2:22">
      <c r="B41" s="961" t="s">
        <v>337</v>
      </c>
      <c r="C41" s="1021" t="s">
        <v>251</v>
      </c>
      <c r="D41" s="1022"/>
      <c r="E41" s="1023"/>
      <c r="F41" s="165"/>
      <c r="G41" s="967">
        <v>0</v>
      </c>
      <c r="H41" s="1024"/>
      <c r="I41" s="969">
        <f>일정!G24</f>
        <v>30</v>
      </c>
      <c r="J41" s="970"/>
      <c r="K41" s="972">
        <f>C4</f>
        <v>12</v>
      </c>
      <c r="L41" s="972"/>
      <c r="M41" s="972"/>
      <c r="N41" s="973"/>
      <c r="O41" s="153">
        <f>G41*I41*K41</f>
        <v>0</v>
      </c>
    </row>
    <row r="42" spans="2:22">
      <c r="B42" s="1019"/>
      <c r="C42" s="1025" t="s">
        <v>250</v>
      </c>
      <c r="D42" s="1026"/>
      <c r="E42" s="1027"/>
      <c r="F42" s="165"/>
      <c r="G42" s="977">
        <v>0</v>
      </c>
      <c r="H42" s="1028"/>
      <c r="I42" s="979">
        <f>일정!G30</f>
        <v>28</v>
      </c>
      <c r="J42" s="980"/>
      <c r="K42" s="982">
        <f>C4</f>
        <v>12</v>
      </c>
      <c r="L42" s="982"/>
      <c r="M42" s="982"/>
      <c r="N42" s="983"/>
      <c r="O42" s="154">
        <f>G42*I42*K42</f>
        <v>0</v>
      </c>
    </row>
    <row r="43" spans="2:22">
      <c r="B43" s="1019"/>
      <c r="C43" s="1025" t="s">
        <v>249</v>
      </c>
      <c r="D43" s="1026"/>
      <c r="E43" s="1027"/>
      <c r="F43" s="165"/>
      <c r="G43" s="984">
        <v>0</v>
      </c>
      <c r="H43" s="1029"/>
      <c r="I43" s="979">
        <f>일정!G35</f>
        <v>36</v>
      </c>
      <c r="J43" s="980"/>
      <c r="K43" s="982">
        <f>C4</f>
        <v>12</v>
      </c>
      <c r="L43" s="982"/>
      <c r="M43" s="982"/>
      <c r="N43" s="983"/>
      <c r="O43" s="154">
        <f>G43*I43*K43</f>
        <v>0</v>
      </c>
    </row>
    <row r="44" spans="2:22" ht="18" thickBot="1">
      <c r="B44" s="1020"/>
      <c r="C44" s="1030" t="s">
        <v>252</v>
      </c>
      <c r="D44" s="1031"/>
      <c r="E44" s="1032"/>
      <c r="F44" s="165"/>
      <c r="G44" s="989">
        <v>0</v>
      </c>
      <c r="H44" s="1033"/>
      <c r="I44" s="991">
        <f>일정!G29</f>
        <v>40</v>
      </c>
      <c r="J44" s="992"/>
      <c r="K44" s="959">
        <f>C4</f>
        <v>12</v>
      </c>
      <c r="L44" s="959"/>
      <c r="M44" s="959"/>
      <c r="N44" s="960"/>
      <c r="O44" s="215">
        <f>G44*I44*K44</f>
        <v>0</v>
      </c>
    </row>
  </sheetData>
  <mergeCells count="75"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  <mergeCell ref="H7:K7"/>
    <mergeCell ref="M8:N8"/>
    <mergeCell ref="O8:O9"/>
    <mergeCell ref="B10:B13"/>
    <mergeCell ref="C10:D10"/>
    <mergeCell ref="C11:E11"/>
    <mergeCell ref="C12:E12"/>
    <mergeCell ref="C13:E13"/>
    <mergeCell ref="G8:H8"/>
    <mergeCell ref="I8:J8"/>
    <mergeCell ref="K8:L8"/>
    <mergeCell ref="B14:B22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B23:B28"/>
    <mergeCell ref="C23:E23"/>
    <mergeCell ref="C24:E24"/>
    <mergeCell ref="C25:E25"/>
    <mergeCell ref="C26:E26"/>
    <mergeCell ref="C27:E27"/>
    <mergeCell ref="C28:E28"/>
    <mergeCell ref="K38:N38"/>
    <mergeCell ref="C39:E39"/>
    <mergeCell ref="G39:J39"/>
    <mergeCell ref="K39:N39"/>
    <mergeCell ref="B29:B35"/>
    <mergeCell ref="C29:E29"/>
    <mergeCell ref="C30:E30"/>
    <mergeCell ref="C31:E31"/>
    <mergeCell ref="C32:E32"/>
    <mergeCell ref="C33:E33"/>
    <mergeCell ref="C34:E34"/>
    <mergeCell ref="C35:D35"/>
    <mergeCell ref="I44:J44"/>
    <mergeCell ref="B38:B39"/>
    <mergeCell ref="C38:E38"/>
    <mergeCell ref="G38:H38"/>
    <mergeCell ref="I38:J38"/>
    <mergeCell ref="K44:N44"/>
    <mergeCell ref="B41:B44"/>
    <mergeCell ref="C41:E41"/>
    <mergeCell ref="G41:H41"/>
    <mergeCell ref="I41:J41"/>
    <mergeCell ref="K41:N41"/>
    <mergeCell ref="C42:E42"/>
    <mergeCell ref="G42:H42"/>
    <mergeCell ref="I42:J42"/>
    <mergeCell ref="K42:N42"/>
    <mergeCell ref="C43:E43"/>
    <mergeCell ref="G43:H43"/>
    <mergeCell ref="I43:J43"/>
    <mergeCell ref="K43:N43"/>
    <mergeCell ref="C44:E44"/>
    <mergeCell ref="G44:H44"/>
  </mergeCells>
  <phoneticPr fontId="1" type="noConversion"/>
  <hyperlinks>
    <hyperlink ref="A1" location="상품리스트!A1" display="home" xr:uid="{2B5288E8-784B-49EC-BE1F-D349BEB07EA4}"/>
  </hyperlinks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733C2-6209-4E0E-9E65-1075CA0F0EB0}">
  <sheetPr>
    <tabColor rgb="FFFFFF00"/>
  </sheetPr>
  <dimension ref="A1:AD44"/>
  <sheetViews>
    <sheetView workbookViewId="0">
      <selection activeCell="N26" sqref="N26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3.5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833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Aloft Novena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180</v>
      </c>
      <c r="M2" s="140">
        <f>$I$1+$K$1</f>
        <v>3.5</v>
      </c>
      <c r="N2" s="106">
        <f>L2*M2</f>
        <v>630</v>
      </c>
      <c r="O2" s="929">
        <f>SUM(N2:N6)</f>
        <v>1890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918</v>
      </c>
      <c r="AC2" s="10">
        <v>180</v>
      </c>
      <c r="AD2" s="10">
        <v>180</v>
      </c>
    </row>
    <row r="3" spans="1:30" ht="28">
      <c r="B3" s="74" t="s">
        <v>239</v>
      </c>
      <c r="C3" s="938" t="s">
        <v>834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Aloft Novena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180</v>
      </c>
      <c r="M3" s="140">
        <f>$I$1+$K$1</f>
        <v>3.5</v>
      </c>
      <c r="N3" s="106">
        <f>L3*M3</f>
        <v>630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7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927" t="str">
        <f>J2</f>
        <v>Aloft Novena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180</v>
      </c>
      <c r="M4" s="141">
        <f>$I$1+$K$1</f>
        <v>3.5</v>
      </c>
      <c r="N4" s="106">
        <f>L4*M4</f>
        <v>630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>
        <f>H4+1</f>
        <v>45735</v>
      </c>
      <c r="I5" s="926"/>
      <c r="J5" s="939"/>
      <c r="K5" s="940"/>
      <c r="L5" s="135"/>
      <c r="M5" s="140"/>
      <c r="N5" s="106">
        <f>L5*M5</f>
        <v>0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(SUM(O10:O44)+O2)/C4+R3+T5</f>
        <v>1007.8142857142857</v>
      </c>
      <c r="D6" s="86" t="s">
        <v>254</v>
      </c>
      <c r="E6" s="94">
        <f>C6*$E$1</f>
        <v>1108595.7142857143</v>
      </c>
      <c r="F6" s="72"/>
      <c r="G6" s="922"/>
      <c r="H6" s="925">
        <f>H5+1</f>
        <v>45736</v>
      </c>
      <c r="I6" s="926"/>
      <c r="J6" s="935"/>
      <c r="K6" s="935"/>
      <c r="L6" s="136"/>
      <c r="M6" s="89"/>
      <c r="N6" s="107">
        <f>L6*M6</f>
        <v>0</v>
      </c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3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96" t="s">
        <v>835</v>
      </c>
      <c r="D10" s="897"/>
      <c r="E10" s="898"/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120</v>
      </c>
      <c r="L10" s="90">
        <v>1</v>
      </c>
      <c r="M10" s="128">
        <f>'가이드&amp;차량'!C6</f>
        <v>375</v>
      </c>
      <c r="N10" s="90">
        <v>1</v>
      </c>
      <c r="O10" s="143">
        <f>(G10*H10)+(I10*J10)+(K10*L10)+(M10*N10)</f>
        <v>495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3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>
      <c r="B12" s="865"/>
      <c r="C12" s="876" t="s">
        <v>508</v>
      </c>
      <c r="D12" s="877"/>
      <c r="E12" s="878"/>
      <c r="F12" s="72"/>
      <c r="G12" s="99"/>
      <c r="H12" s="110"/>
      <c r="I12" s="122">
        <f>식사!E15</f>
        <v>18</v>
      </c>
      <c r="J12" s="115">
        <f>$C$4+$E$4</f>
        <v>7</v>
      </c>
      <c r="K12" s="120"/>
      <c r="L12" s="91"/>
      <c r="M12" s="120"/>
      <c r="N12" s="91"/>
      <c r="O12" s="144">
        <f t="shared" si="0"/>
        <v>126</v>
      </c>
      <c r="Q12" s="7"/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 ht="18" thickBot="1">
      <c r="B13" s="906"/>
      <c r="C13" s="917" t="s">
        <v>248</v>
      </c>
      <c r="D13" s="918"/>
      <c r="E13" s="919"/>
      <c r="F13" s="72"/>
      <c r="G13" s="205"/>
      <c r="H13" s="115"/>
      <c r="I13" s="102"/>
      <c r="J13" s="115"/>
      <c r="K13" s="120"/>
      <c r="L13" s="91"/>
      <c r="M13" s="120"/>
      <c r="N13" s="91"/>
      <c r="O13" s="144">
        <f t="shared" si="0"/>
        <v>0</v>
      </c>
      <c r="Q13" s="7"/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905" t="str">
        <f>TEXT(C5+1,"m월 d일 aaaa")</f>
        <v>3월 17일 월요일</v>
      </c>
      <c r="C14" s="896" t="s">
        <v>282</v>
      </c>
      <c r="D14" s="897"/>
      <c r="E14" s="898"/>
      <c r="F14" s="72"/>
      <c r="G14" s="98"/>
      <c r="H14" s="112"/>
      <c r="I14" s="119"/>
      <c r="J14" s="109"/>
      <c r="K14" s="128">
        <f>IF(C4+E4&lt;8,'가이드&amp;차량'!C47, IF(C4+E4&lt;=14,'가이드&amp;차량'!C39,'가이드&amp;차량'!C23))</f>
        <v>430</v>
      </c>
      <c r="L14" s="90">
        <f>L10</f>
        <v>1</v>
      </c>
      <c r="M14" s="128">
        <f>'가이드&amp;차량'!C6</f>
        <v>375</v>
      </c>
      <c r="N14" s="90">
        <f>N10</f>
        <v>1</v>
      </c>
      <c r="O14" s="143">
        <f t="shared" si="0"/>
        <v>805</v>
      </c>
      <c r="Q14" s="159" t="s">
        <v>277</v>
      </c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865"/>
      <c r="C15" s="882" t="s">
        <v>836</v>
      </c>
      <c r="D15" s="883"/>
      <c r="E15" s="884"/>
      <c r="F15" s="72"/>
      <c r="G15" s="102"/>
      <c r="H15" s="115"/>
      <c r="I15" s="120"/>
      <c r="J15" s="110"/>
      <c r="K15" s="123"/>
      <c r="L15" s="91"/>
      <c r="M15" s="123"/>
      <c r="N15" s="91"/>
      <c r="O15" s="144">
        <f t="shared" si="0"/>
        <v>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922</v>
      </c>
      <c r="AC15" s="10">
        <v>185</v>
      </c>
      <c r="AD15" s="10">
        <v>185</v>
      </c>
    </row>
    <row r="16" spans="1:30">
      <c r="B16" s="865"/>
      <c r="C16" s="876" t="s">
        <v>632</v>
      </c>
      <c r="D16" s="877"/>
      <c r="E16" s="878"/>
      <c r="F16" s="72"/>
      <c r="G16" s="99"/>
      <c r="H16" s="110"/>
      <c r="I16" s="122">
        <f>IF(C4+E4&lt;10,식사!E27,식사!E28)</f>
        <v>45</v>
      </c>
      <c r="J16" s="115">
        <f>$C$4+$E$4</f>
        <v>7</v>
      </c>
      <c r="K16" s="120"/>
      <c r="L16" s="91"/>
      <c r="M16" s="120"/>
      <c r="N16" s="91"/>
      <c r="O16" s="144">
        <f t="shared" si="0"/>
        <v>315</v>
      </c>
      <c r="AB16" s="496" t="s">
        <v>726</v>
      </c>
      <c r="AC16" s="10">
        <v>185</v>
      </c>
      <c r="AD16" s="10">
        <v>185</v>
      </c>
    </row>
    <row r="17" spans="2:30">
      <c r="B17" s="865"/>
      <c r="C17" s="879" t="s">
        <v>837</v>
      </c>
      <c r="D17" s="946"/>
      <c r="E17" s="947"/>
      <c r="F17" s="72"/>
      <c r="G17" s="103">
        <f>일정!E39</f>
        <v>28.5</v>
      </c>
      <c r="H17" s="115">
        <f>$C$4+$E$4</f>
        <v>7</v>
      </c>
      <c r="I17" s="130"/>
      <c r="J17" s="314"/>
      <c r="K17" s="130"/>
      <c r="L17" s="138"/>
      <c r="M17" s="130"/>
      <c r="N17" s="138"/>
      <c r="O17" s="148">
        <f>(G17*H17)+(I17*J17)+(K17*L17)+(M17*N17)</f>
        <v>199.5</v>
      </c>
      <c r="R17" s="72"/>
      <c r="AB17" s="496" t="s">
        <v>931</v>
      </c>
      <c r="AC17" s="10">
        <v>155</v>
      </c>
      <c r="AD17" s="10">
        <v>155</v>
      </c>
    </row>
    <row r="18" spans="2:30">
      <c r="B18" s="865"/>
      <c r="C18" s="882" t="s">
        <v>687</v>
      </c>
      <c r="D18" s="883"/>
      <c r="E18" s="884"/>
      <c r="F18" s="72"/>
      <c r="G18" s="347"/>
      <c r="H18" s="115"/>
      <c r="I18" s="161"/>
      <c r="J18" s="314"/>
      <c r="K18" s="161"/>
      <c r="L18" s="138"/>
      <c r="M18" s="161"/>
      <c r="N18" s="138"/>
      <c r="O18" s="148">
        <f>(G18*H18)+(I18*J18)+(K18*L18)+(M18*N18)</f>
        <v>0</v>
      </c>
      <c r="R18" s="72"/>
      <c r="AB18" s="496" t="s">
        <v>923</v>
      </c>
      <c r="AC18" s="10">
        <v>185</v>
      </c>
      <c r="AD18" s="10">
        <v>185</v>
      </c>
    </row>
    <row r="19" spans="2:30">
      <c r="B19" s="865"/>
      <c r="C19" s="879" t="str">
        <f>일정!C27</f>
        <v>가든스바이더베이 2돔 ( 쥬랴기 )</v>
      </c>
      <c r="D19" s="891"/>
      <c r="E19" s="892"/>
      <c r="F19" s="72"/>
      <c r="G19" s="101">
        <f>일정!E27</f>
        <v>28.3</v>
      </c>
      <c r="H19" s="115">
        <f>$C$4+$E$4</f>
        <v>7</v>
      </c>
      <c r="I19" s="102"/>
      <c r="J19" s="115"/>
      <c r="K19" s="123"/>
      <c r="L19" s="91"/>
      <c r="M19" s="102"/>
      <c r="N19" s="91"/>
      <c r="O19" s="148">
        <f>(G19*H19)+(I19*J19)+(K19*L19)+(M19*N19)</f>
        <v>198.1</v>
      </c>
      <c r="Q19" s="7"/>
      <c r="AB19" s="497" t="s">
        <v>928</v>
      </c>
      <c r="AC19" s="10">
        <v>280</v>
      </c>
      <c r="AD19" s="10">
        <v>280</v>
      </c>
    </row>
    <row r="20" spans="2:30">
      <c r="B20" s="865"/>
      <c r="C20" s="907" t="s">
        <v>546</v>
      </c>
      <c r="D20" s="908"/>
      <c r="E20" s="909"/>
      <c r="F20" s="72"/>
      <c r="G20" s="102"/>
      <c r="H20" s="115"/>
      <c r="I20" s="123"/>
      <c r="J20" s="110"/>
      <c r="K20" s="123"/>
      <c r="L20" s="91"/>
      <c r="M20" s="123"/>
      <c r="N20" s="91"/>
      <c r="O20" s="148">
        <f>(G20*H20)+(I20*J20)+(K20*L20)+(M20*N20)</f>
        <v>0</v>
      </c>
      <c r="Q20" s="7"/>
    </row>
    <row r="21" spans="2:30">
      <c r="B21" s="865"/>
      <c r="C21" s="902" t="s">
        <v>838</v>
      </c>
      <c r="D21" s="903"/>
      <c r="E21" s="904"/>
      <c r="F21" s="72"/>
      <c r="G21" s="99"/>
      <c r="H21" s="110"/>
      <c r="I21" s="122">
        <f>식사!E7</f>
        <v>18</v>
      </c>
      <c r="J21" s="115">
        <f>$C$4+$E$4</f>
        <v>7</v>
      </c>
      <c r="K21" s="120"/>
      <c r="L21" s="91"/>
      <c r="M21" s="120"/>
      <c r="N21" s="91"/>
      <c r="O21" s="144">
        <f t="shared" si="0"/>
        <v>126</v>
      </c>
      <c r="Q21" s="7"/>
    </row>
    <row r="22" spans="2:30">
      <c r="B22" s="865"/>
      <c r="C22" s="941" t="s">
        <v>325</v>
      </c>
      <c r="D22" s="911"/>
      <c r="E22" s="912"/>
      <c r="F22" s="72"/>
      <c r="G22" s="205"/>
      <c r="H22" s="115"/>
      <c r="I22" s="102"/>
      <c r="J22" s="115"/>
      <c r="K22" s="120"/>
      <c r="L22" s="91"/>
      <c r="M22" s="120"/>
      <c r="N22" s="91"/>
      <c r="O22" s="144">
        <f>(G22*H22)+(I22*J22)+(K22*L22)+(M22*N22)</f>
        <v>0</v>
      </c>
      <c r="Q22" s="7"/>
    </row>
    <row r="23" spans="2:30" ht="18" thickBot="1">
      <c r="B23" s="906"/>
      <c r="C23" s="893" t="s">
        <v>1005</v>
      </c>
      <c r="D23" s="894"/>
      <c r="E23" s="895"/>
      <c r="F23" s="72"/>
      <c r="G23" s="124"/>
      <c r="H23" s="126"/>
      <c r="I23" s="129"/>
      <c r="J23" s="111"/>
      <c r="K23" s="129"/>
      <c r="L23" s="137"/>
      <c r="M23" s="129"/>
      <c r="N23" s="137"/>
      <c r="O23" s="145">
        <f t="shared" si="0"/>
        <v>0</v>
      </c>
      <c r="Q23" s="7"/>
    </row>
    <row r="24" spans="2:30">
      <c r="B24" s="993" t="str">
        <f>TEXT(C5+2,"m월 d일 aaaa")</f>
        <v>3월 18일 화요일</v>
      </c>
      <c r="C24" s="1069" t="s">
        <v>623</v>
      </c>
      <c r="D24" s="1070"/>
      <c r="E24" s="1071"/>
      <c r="F24" s="72"/>
      <c r="G24" s="463"/>
      <c r="H24" s="464"/>
      <c r="I24" s="465"/>
      <c r="J24" s="343"/>
      <c r="K24" s="465"/>
      <c r="L24" s="345"/>
      <c r="M24" s="465"/>
      <c r="N24" s="345"/>
      <c r="O24" s="466">
        <f t="shared" si="0"/>
        <v>0</v>
      </c>
      <c r="Q24" s="7"/>
    </row>
    <row r="25" spans="2:30">
      <c r="B25" s="1066"/>
      <c r="C25" s="1072"/>
      <c r="D25" s="1073"/>
      <c r="E25" s="1074"/>
      <c r="F25" s="72"/>
      <c r="G25" s="463"/>
      <c r="H25" s="464"/>
      <c r="I25" s="465"/>
      <c r="J25" s="343"/>
      <c r="K25" s="465"/>
      <c r="L25" s="345"/>
      <c r="M25" s="465"/>
      <c r="N25" s="345"/>
      <c r="O25" s="466">
        <f t="shared" si="0"/>
        <v>0</v>
      </c>
      <c r="Q25" s="7"/>
    </row>
    <row r="26" spans="2:30" ht="18" thickBot="1">
      <c r="B26" s="994"/>
      <c r="C26" s="1075"/>
      <c r="D26" s="1076"/>
      <c r="E26" s="1077"/>
      <c r="F26" s="72"/>
      <c r="G26" s="463"/>
      <c r="H26" s="464"/>
      <c r="I26" s="465"/>
      <c r="J26" s="343"/>
      <c r="K26" s="465"/>
      <c r="L26" s="345"/>
      <c r="M26" s="465"/>
      <c r="N26" s="345"/>
      <c r="O26" s="466">
        <f t="shared" si="0"/>
        <v>0</v>
      </c>
      <c r="Q26" s="7"/>
    </row>
    <row r="27" spans="2:30">
      <c r="B27" s="993" t="str">
        <f>TEXT(C5+3,"m월 d일 aaaa")</f>
        <v>3월 19일 수요일</v>
      </c>
      <c r="C27" s="896" t="s">
        <v>240</v>
      </c>
      <c r="D27" s="897"/>
      <c r="E27" s="898"/>
      <c r="F27" s="72"/>
      <c r="G27" s="98"/>
      <c r="H27" s="109"/>
      <c r="I27" s="119"/>
      <c r="J27" s="109"/>
      <c r="K27" s="128">
        <f>IF(C4+E4&lt;8,'가이드&amp;차량'!C47, IF(C4+E4&lt;=14,'가이드&amp;차량'!C39,'가이드&amp;차량'!C23))</f>
        <v>430</v>
      </c>
      <c r="L27" s="90">
        <f>L10</f>
        <v>1</v>
      </c>
      <c r="M27" s="128">
        <f>'가이드&amp;차량'!C6</f>
        <v>375</v>
      </c>
      <c r="N27" s="90">
        <f>N10</f>
        <v>1</v>
      </c>
      <c r="O27" s="143">
        <f t="shared" si="0"/>
        <v>805</v>
      </c>
      <c r="Q27" s="159" t="s">
        <v>277</v>
      </c>
    </row>
    <row r="28" spans="2:30">
      <c r="B28" s="1066"/>
      <c r="C28" s="876" t="s">
        <v>559</v>
      </c>
      <c r="D28" s="877"/>
      <c r="E28" s="878"/>
      <c r="F28" s="72"/>
      <c r="G28" s="99"/>
      <c r="H28" s="110"/>
      <c r="I28" s="122">
        <f>식사!E19</f>
        <v>17</v>
      </c>
      <c r="J28" s="115">
        <f>$C$4+$E$4</f>
        <v>7</v>
      </c>
      <c r="K28" s="123"/>
      <c r="L28" s="91"/>
      <c r="M28" s="102"/>
      <c r="N28" s="91"/>
      <c r="O28" s="146">
        <f t="shared" si="0"/>
        <v>119</v>
      </c>
      <c r="Q28" s="7"/>
    </row>
    <row r="29" spans="2:30">
      <c r="B29" s="1066"/>
      <c r="C29" s="882" t="s">
        <v>335</v>
      </c>
      <c r="D29" s="883"/>
      <c r="E29" s="884"/>
      <c r="F29" s="72"/>
      <c r="G29" s="101">
        <f>일정!E10+일정!E20+일정!E19</f>
        <v>76.3</v>
      </c>
      <c r="H29" s="115">
        <f>$C$4+$E$4</f>
        <v>7</v>
      </c>
      <c r="I29" s="102"/>
      <c r="J29" s="115"/>
      <c r="K29" s="123"/>
      <c r="L29" s="91"/>
      <c r="M29" s="102"/>
      <c r="N29" s="91"/>
      <c r="O29" s="146">
        <f t="shared" si="0"/>
        <v>534.1</v>
      </c>
      <c r="Q29" s="7"/>
    </row>
    <row r="30" spans="2:30">
      <c r="B30" s="1066"/>
      <c r="C30" s="1013" t="s">
        <v>333</v>
      </c>
      <c r="D30" s="1014"/>
      <c r="E30" s="1015"/>
      <c r="F30" s="72"/>
      <c r="G30" s="206"/>
      <c r="H30" s="164"/>
      <c r="I30" s="122">
        <f>식사!E33</f>
        <v>10</v>
      </c>
      <c r="J30" s="115">
        <f>$C$4+$E$4</f>
        <v>7</v>
      </c>
      <c r="K30" s="161"/>
      <c r="L30" s="138"/>
      <c r="M30" s="161"/>
      <c r="N30" s="138"/>
      <c r="O30" s="148">
        <f t="shared" si="0"/>
        <v>70</v>
      </c>
    </row>
    <row r="31" spans="2:30">
      <c r="B31" s="1066"/>
      <c r="C31" s="907" t="s">
        <v>839</v>
      </c>
      <c r="D31" s="908"/>
      <c r="E31" s="909"/>
      <c r="F31" s="72"/>
      <c r="G31" s="99"/>
      <c r="H31" s="110"/>
      <c r="I31" s="102"/>
      <c r="J31" s="115"/>
      <c r="K31" s="123"/>
      <c r="L31" s="91"/>
      <c r="M31" s="102"/>
      <c r="N31" s="91"/>
      <c r="O31" s="146">
        <f t="shared" si="0"/>
        <v>0</v>
      </c>
      <c r="Q31" s="7"/>
    </row>
    <row r="32" spans="2:30">
      <c r="B32" s="1066"/>
      <c r="C32" s="902" t="s">
        <v>840</v>
      </c>
      <c r="D32" s="903"/>
      <c r="E32" s="904"/>
      <c r="F32" s="72"/>
      <c r="G32" s="99"/>
      <c r="H32" s="110"/>
      <c r="I32" s="122">
        <f>식사!E3</f>
        <v>25</v>
      </c>
      <c r="J32" s="115">
        <f>$C$4+$E$4</f>
        <v>7</v>
      </c>
      <c r="K32" s="123"/>
      <c r="L32" s="91"/>
      <c r="M32" s="123"/>
      <c r="N32" s="91"/>
      <c r="O32" s="146">
        <f t="shared" si="0"/>
        <v>175</v>
      </c>
      <c r="Q32" s="7"/>
    </row>
    <row r="33" spans="2:17" ht="18" thickBot="1">
      <c r="B33" s="994"/>
      <c r="C33" s="1067" t="s">
        <v>596</v>
      </c>
      <c r="D33" s="935"/>
      <c r="E33" s="1068"/>
      <c r="F33" s="72"/>
      <c r="G33" s="100"/>
      <c r="H33" s="111"/>
      <c r="I33" s="124"/>
      <c r="J33" s="126"/>
      <c r="K33" s="129"/>
      <c r="L33" s="137"/>
      <c r="M33" s="124"/>
      <c r="N33" s="137"/>
      <c r="O33" s="147">
        <f t="shared" si="0"/>
        <v>0</v>
      </c>
      <c r="Q33" s="7"/>
    </row>
    <row r="34" spans="2:17">
      <c r="B34" s="72"/>
      <c r="C34" s="72"/>
      <c r="D34" s="72"/>
      <c r="E34" s="72"/>
      <c r="F34" s="72"/>
      <c r="G34" s="72"/>
      <c r="H34" s="72"/>
      <c r="K34" s="132">
        <f>SUM(K10:K33)</f>
        <v>980</v>
      </c>
      <c r="L34" s="72"/>
      <c r="M34" s="132">
        <f>SUM(M10:M33)</f>
        <v>1125</v>
      </c>
      <c r="N34" s="72"/>
      <c r="O34" s="150"/>
      <c r="P34" s="156"/>
    </row>
    <row r="35" spans="2:17">
      <c r="O35" s="150"/>
    </row>
    <row r="36" spans="2:17">
      <c r="B36" s="872" t="s">
        <v>246</v>
      </c>
      <c r="C36" s="873" t="s">
        <v>288</v>
      </c>
      <c r="D36" s="874"/>
      <c r="E36" s="875"/>
      <c r="F36" s="34"/>
      <c r="G36" s="862">
        <f>$C$4+$E$4</f>
        <v>7</v>
      </c>
      <c r="H36" s="863"/>
      <c r="I36" s="854">
        <v>3</v>
      </c>
      <c r="J36" s="854"/>
      <c r="K36" s="855">
        <v>1</v>
      </c>
      <c r="L36" s="855"/>
      <c r="M36" s="855"/>
      <c r="N36" s="855"/>
      <c r="O36" s="151">
        <f>G36*I36*K36</f>
        <v>21</v>
      </c>
    </row>
    <row r="37" spans="2:17" ht="18" thickBot="1">
      <c r="B37" s="827"/>
      <c r="C37" s="856" t="s">
        <v>451</v>
      </c>
      <c r="D37" s="857"/>
      <c r="E37" s="858"/>
      <c r="F37" s="34"/>
      <c r="G37" s="859">
        <v>50</v>
      </c>
      <c r="H37" s="860"/>
      <c r="I37" s="860"/>
      <c r="J37" s="860"/>
      <c r="K37" s="861">
        <f>C4</f>
        <v>7</v>
      </c>
      <c r="L37" s="861"/>
      <c r="M37" s="861"/>
      <c r="N37" s="861"/>
      <c r="O37" s="152">
        <f>G37*K37</f>
        <v>350</v>
      </c>
    </row>
    <row r="38" spans="2:17" ht="18" thickBot="1">
      <c r="O38" s="150"/>
    </row>
    <row r="39" spans="2:17" ht="16.5" customHeight="1">
      <c r="B39" s="961" t="s">
        <v>337</v>
      </c>
      <c r="C39" s="1021" t="s">
        <v>251</v>
      </c>
      <c r="D39" s="1022"/>
      <c r="E39" s="1023"/>
      <c r="F39" s="165"/>
      <c r="G39" s="967"/>
      <c r="H39" s="1024"/>
      <c r="I39" s="969">
        <f>일정!G24</f>
        <v>30</v>
      </c>
      <c r="J39" s="970"/>
      <c r="K39" s="1044">
        <f>C4</f>
        <v>7</v>
      </c>
      <c r="L39" s="1044"/>
      <c r="M39" s="1044"/>
      <c r="N39" s="1045"/>
      <c r="O39" s="153">
        <f t="shared" ref="O39:O44" si="1">G39*I39*K39</f>
        <v>0</v>
      </c>
    </row>
    <row r="40" spans="2:17">
      <c r="B40" s="1019"/>
      <c r="C40" s="1025" t="s">
        <v>250</v>
      </c>
      <c r="D40" s="1026"/>
      <c r="E40" s="1027"/>
      <c r="F40" s="165"/>
      <c r="G40" s="977">
        <v>1</v>
      </c>
      <c r="H40" s="1028"/>
      <c r="I40" s="979">
        <f>일정!G30</f>
        <v>28</v>
      </c>
      <c r="J40" s="980"/>
      <c r="K40" s="1046">
        <f>C4</f>
        <v>7</v>
      </c>
      <c r="L40" s="1047"/>
      <c r="M40" s="1047"/>
      <c r="N40" s="1048"/>
      <c r="O40" s="154">
        <f t="shared" si="1"/>
        <v>196</v>
      </c>
    </row>
    <row r="41" spans="2:17">
      <c r="B41" s="1019"/>
      <c r="C41" s="1025" t="s">
        <v>249</v>
      </c>
      <c r="D41" s="1026"/>
      <c r="E41" s="1027"/>
      <c r="F41" s="165"/>
      <c r="G41" s="977">
        <v>1</v>
      </c>
      <c r="H41" s="1028"/>
      <c r="I41" s="979">
        <f>일정!G35</f>
        <v>36</v>
      </c>
      <c r="J41" s="980"/>
      <c r="K41" s="1046">
        <f>C4</f>
        <v>7</v>
      </c>
      <c r="L41" s="1047"/>
      <c r="M41" s="1047"/>
      <c r="N41" s="1048"/>
      <c r="O41" s="154">
        <f t="shared" si="1"/>
        <v>252</v>
      </c>
    </row>
    <row r="42" spans="2:17">
      <c r="B42" s="1019"/>
      <c r="C42" s="1025" t="s">
        <v>841</v>
      </c>
      <c r="D42" s="1026"/>
      <c r="E42" s="1027"/>
      <c r="F42" s="165"/>
      <c r="G42" s="977">
        <v>1</v>
      </c>
      <c r="H42" s="1028"/>
      <c r="I42" s="979">
        <v>65</v>
      </c>
      <c r="J42" s="980"/>
      <c r="K42" s="1046">
        <f>C4</f>
        <v>7</v>
      </c>
      <c r="L42" s="1047"/>
      <c r="M42" s="1047"/>
      <c r="N42" s="1048"/>
      <c r="O42" s="154">
        <f t="shared" si="1"/>
        <v>455</v>
      </c>
    </row>
    <row r="43" spans="2:17">
      <c r="B43" s="1019"/>
      <c r="C43" s="1025" t="s">
        <v>336</v>
      </c>
      <c r="D43" s="1026"/>
      <c r="E43" s="1027"/>
      <c r="F43" s="165"/>
      <c r="G43" s="977">
        <v>1</v>
      </c>
      <c r="H43" s="1028"/>
      <c r="I43" s="979">
        <f>일정!G13</f>
        <v>19</v>
      </c>
      <c r="J43" s="980"/>
      <c r="K43" s="1046">
        <f>C4</f>
        <v>7</v>
      </c>
      <c r="L43" s="1047"/>
      <c r="M43" s="1047"/>
      <c r="N43" s="1048"/>
      <c r="O43" s="154">
        <f t="shared" si="1"/>
        <v>133</v>
      </c>
    </row>
    <row r="44" spans="2:17" ht="18" thickBot="1">
      <c r="B44" s="1020"/>
      <c r="C44" s="1030" t="s">
        <v>252</v>
      </c>
      <c r="D44" s="1031"/>
      <c r="E44" s="1032"/>
      <c r="F44" s="165"/>
      <c r="G44" s="989"/>
      <c r="H44" s="1033"/>
      <c r="I44" s="991">
        <f>일정!G29</f>
        <v>40</v>
      </c>
      <c r="J44" s="992"/>
      <c r="K44" s="1049">
        <f>C4</f>
        <v>7</v>
      </c>
      <c r="L44" s="1050"/>
      <c r="M44" s="1050"/>
      <c r="N44" s="1051"/>
      <c r="O44" s="215">
        <f t="shared" si="1"/>
        <v>0</v>
      </c>
    </row>
  </sheetData>
  <mergeCells count="79">
    <mergeCell ref="C44:E44"/>
    <mergeCell ref="G44:H44"/>
    <mergeCell ref="I44:J44"/>
    <mergeCell ref="K44:N44"/>
    <mergeCell ref="K43:N43"/>
    <mergeCell ref="I43:J43"/>
    <mergeCell ref="C42:E42"/>
    <mergeCell ref="G42:H42"/>
    <mergeCell ref="I42:J42"/>
    <mergeCell ref="C17:E17"/>
    <mergeCell ref="C19:E19"/>
    <mergeCell ref="C18:E18"/>
    <mergeCell ref="C22:E22"/>
    <mergeCell ref="C24:E26"/>
    <mergeCell ref="K42:N42"/>
    <mergeCell ref="B39:B44"/>
    <mergeCell ref="C39:E39"/>
    <mergeCell ref="G39:H39"/>
    <mergeCell ref="I39:J39"/>
    <mergeCell ref="K39:N39"/>
    <mergeCell ref="C40:E40"/>
    <mergeCell ref="G40:H40"/>
    <mergeCell ref="I40:J40"/>
    <mergeCell ref="K40:N40"/>
    <mergeCell ref="C41:E41"/>
    <mergeCell ref="G41:H41"/>
    <mergeCell ref="I41:J41"/>
    <mergeCell ref="K41:N41"/>
    <mergeCell ref="C43:E43"/>
    <mergeCell ref="G43:H43"/>
    <mergeCell ref="B36:B37"/>
    <mergeCell ref="C36:E36"/>
    <mergeCell ref="G36:H36"/>
    <mergeCell ref="I36:J36"/>
    <mergeCell ref="K36:N36"/>
    <mergeCell ref="C37:E37"/>
    <mergeCell ref="G37:J37"/>
    <mergeCell ref="K37:N37"/>
    <mergeCell ref="B27:B33"/>
    <mergeCell ref="C27:E27"/>
    <mergeCell ref="C28:E28"/>
    <mergeCell ref="C29:E29"/>
    <mergeCell ref="C31:E31"/>
    <mergeCell ref="C32:E32"/>
    <mergeCell ref="C33:E33"/>
    <mergeCell ref="C30:E30"/>
    <mergeCell ref="B24:B26"/>
    <mergeCell ref="B14:B23"/>
    <mergeCell ref="C14:E14"/>
    <mergeCell ref="C15:E15"/>
    <mergeCell ref="C16:E16"/>
    <mergeCell ref="C20:E20"/>
    <mergeCell ref="C21:E21"/>
    <mergeCell ref="C23:E23"/>
    <mergeCell ref="H7:K7"/>
    <mergeCell ref="M8:N8"/>
    <mergeCell ref="O8:O9"/>
    <mergeCell ref="B10:B13"/>
    <mergeCell ref="C10:E10"/>
    <mergeCell ref="C11:E11"/>
    <mergeCell ref="C12:E12"/>
    <mergeCell ref="C13:E13"/>
    <mergeCell ref="G8:H8"/>
    <mergeCell ref="I8:J8"/>
    <mergeCell ref="K8:L8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F2FA8E2E-CE77-4815-BFB1-D1C4211FD939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01605-360D-4F82-9425-2986FCE43B5A}">
  <dimension ref="A1:AF49"/>
  <sheetViews>
    <sheetView topLeftCell="A12" workbookViewId="0">
      <selection activeCell="A32" sqref="A32:A37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8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7" max="27" width="3.1640625" customWidth="1"/>
    <col min="28" max="28" width="18.6640625" customWidth="1"/>
  </cols>
  <sheetData>
    <row r="1" spans="1:32" ht="17.25" customHeight="1" thickBot="1">
      <c r="A1" s="181" t="s">
        <v>297</v>
      </c>
      <c r="B1" s="677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2.5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2">
      <c r="A2">
        <v>7.22</v>
      </c>
      <c r="B2" s="73" t="s">
        <v>238</v>
      </c>
      <c r="C2" s="923" t="s">
        <v>1147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Swissotel The stamford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540</v>
      </c>
      <c r="M2" s="140">
        <f>$I$1+$K$1</f>
        <v>2.5</v>
      </c>
      <c r="N2" s="106">
        <f>L2*M2</f>
        <v>1350</v>
      </c>
      <c r="O2" s="929">
        <f>SUM(N2:N6)</f>
        <v>2700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442</v>
      </c>
      <c r="AC2" s="10">
        <v>540</v>
      </c>
      <c r="AD2" s="10">
        <v>540</v>
      </c>
    </row>
    <row r="3" spans="1:32" ht="28">
      <c r="B3" s="74" t="s">
        <v>239</v>
      </c>
      <c r="C3" s="938" t="s">
        <v>1354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Swissotel The stamford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540</v>
      </c>
      <c r="M3" s="140">
        <f>$I$1+$K$1</f>
        <v>2.5</v>
      </c>
      <c r="N3" s="106">
        <f>L3*M3</f>
        <v>1350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2" ht="18" thickBot="1">
      <c r="B4" s="75" t="s">
        <v>241</v>
      </c>
      <c r="C4" s="81">
        <v>5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1078" t="s">
        <v>999</v>
      </c>
      <c r="K4" s="1079"/>
      <c r="L4" s="676"/>
      <c r="M4" s="141">
        <f>$I$1+$K$1</f>
        <v>2.5</v>
      </c>
      <c r="N4" s="106">
        <f>L4*M4</f>
        <v>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tr">
        <f>'25메인호텔'!F2</f>
        <v>Momentus</v>
      </c>
      <c r="AC4" s="35">
        <f>'25메인호텔'!G2</f>
        <v>190</v>
      </c>
      <c r="AD4" s="35">
        <f>'25메인호텔'!H2</f>
        <v>180</v>
      </c>
      <c r="AE4" s="34"/>
      <c r="AF4" s="34"/>
    </row>
    <row r="5" spans="1:32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/>
      <c r="I5" s="926"/>
      <c r="J5" s="939"/>
      <c r="K5" s="940"/>
      <c r="L5" s="135"/>
      <c r="M5" s="140"/>
      <c r="N5" s="106"/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tr">
        <f>'25메인호텔'!F3</f>
        <v>Aloft Novena</v>
      </c>
      <c r="AC5" s="35">
        <f>'25메인호텔'!G3</f>
        <v>180</v>
      </c>
      <c r="AD5" s="35">
        <f>'25메인호텔'!H3</f>
        <v>180</v>
      </c>
      <c r="AE5" s="34"/>
      <c r="AF5" s="34"/>
    </row>
    <row r="6" spans="1:32" ht="17.25" customHeight="1" thickBot="1">
      <c r="B6" s="77" t="s">
        <v>243</v>
      </c>
      <c r="C6" s="83">
        <f>(SUM(O10:O49)+O2)/C4+R6+T6</f>
        <v>1231.8</v>
      </c>
      <c r="D6" s="86" t="s">
        <v>254</v>
      </c>
      <c r="E6" s="94">
        <f>C6*$E$1</f>
        <v>1354980</v>
      </c>
      <c r="F6" s="72"/>
      <c r="G6" s="922"/>
      <c r="H6" s="925"/>
      <c r="I6" s="926"/>
      <c r="J6" s="935"/>
      <c r="K6" s="935"/>
      <c r="L6" s="136"/>
      <c r="M6" s="89"/>
      <c r="N6" s="107"/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tr">
        <f>'25메인호텔'!F4</f>
        <v>Mercure Stevens</v>
      </c>
      <c r="AC6" s="35">
        <f>'25메인호텔'!G4</f>
        <v>180</v>
      </c>
      <c r="AD6" s="35">
        <f>'25메인호텔'!H4</f>
        <v>180</v>
      </c>
      <c r="AE6" s="34"/>
      <c r="AF6" s="34"/>
    </row>
    <row r="7" spans="1:32" ht="18" thickBot="1">
      <c r="B7" s="78" t="s">
        <v>244</v>
      </c>
      <c r="C7" s="183">
        <v>0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tr">
        <f>'25메인호텔'!F5</f>
        <v>M Hotel City Centre</v>
      </c>
      <c r="AC7" s="35">
        <f>'25메인호텔'!G5</f>
        <v>230</v>
      </c>
      <c r="AD7" s="35">
        <f>'25메인호텔'!H5</f>
        <v>230</v>
      </c>
      <c r="AE7" s="34"/>
      <c r="AF7" s="34"/>
    </row>
    <row r="8" spans="1:32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tr">
        <f>'25메인호텔'!F6</f>
        <v>Concorde Hotel</v>
      </c>
      <c r="AC8" s="35">
        <f>'25메인호텔'!G6</f>
        <v>230</v>
      </c>
      <c r="AD8" s="35">
        <f>'25메인호텔'!H6</f>
        <v>230</v>
      </c>
      <c r="AE8" s="34"/>
      <c r="AF8" s="34"/>
    </row>
    <row r="9" spans="1:32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tr">
        <f>'25메인호텔'!F7</f>
        <v>Oasia Novena</v>
      </c>
      <c r="AC9" s="35">
        <f>'25메인호텔'!G7</f>
        <v>210</v>
      </c>
      <c r="AD9" s="35">
        <f>'25메인호텔'!H7</f>
        <v>210</v>
      </c>
      <c r="AE9" s="34"/>
      <c r="AF9" s="34"/>
    </row>
    <row r="10" spans="1:32">
      <c r="B10" s="905" t="str">
        <f>TEXT(C5,"m월 d일 aaaa")</f>
        <v>3월 16일 일요일</v>
      </c>
      <c r="C10" s="867" t="s">
        <v>960</v>
      </c>
      <c r="D10" s="916"/>
      <c r="E10" s="499">
        <f>상품리스트!F25</f>
        <v>0.91319444444444442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120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270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tr">
        <f>'25메인호텔'!F8</f>
        <v>Orchid Hotel</v>
      </c>
      <c r="AC10" s="35">
        <f>'25메인호텔'!G8</f>
        <v>220</v>
      </c>
      <c r="AD10" s="35">
        <f>'25메인호텔'!H8</f>
        <v>220</v>
      </c>
      <c r="AE10" s="34"/>
      <c r="AF10" s="34"/>
    </row>
    <row r="11" spans="1:32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9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tr">
        <f>'25메인호텔'!F9</f>
        <v>Amara Singapore</v>
      </c>
      <c r="AC11" s="35">
        <f>'25메인호텔'!G9</f>
        <v>230</v>
      </c>
      <c r="AD11" s="35">
        <f>'25메인호텔'!H9</f>
        <v>230</v>
      </c>
      <c r="AE11" s="34"/>
      <c r="AF11" s="34"/>
    </row>
    <row r="12" spans="1:32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서차지!B13</f>
        <v xml:space="preserve">Food &amp; Hotel Beverage </v>
      </c>
      <c r="W12" s="189">
        <f>서차지!C13</f>
        <v>0</v>
      </c>
      <c r="X12" s="189">
        <f>서차지!D13</f>
        <v>0</v>
      </c>
      <c r="Y12" s="188">
        <f>서차지!E13</f>
        <v>0</v>
      </c>
      <c r="AB12" s="495" t="str">
        <f>'25메인호텔'!F10</f>
        <v>Orchard Hotel</v>
      </c>
      <c r="AC12" s="35">
        <f>'25메인호텔'!G10</f>
        <v>240</v>
      </c>
      <c r="AD12" s="35">
        <f>'25메인호텔'!H10</f>
        <v>240</v>
      </c>
      <c r="AE12" s="34"/>
      <c r="AF12" s="34"/>
    </row>
    <row r="13" spans="1:32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430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805</v>
      </c>
      <c r="Q13" s="159" t="s">
        <v>277</v>
      </c>
      <c r="V13" s="190" t="str">
        <f>서차지!B14</f>
        <v>CommunicAsia</v>
      </c>
      <c r="W13" s="189">
        <f>서차지!C14</f>
        <v>0</v>
      </c>
      <c r="X13" s="189">
        <f>서차지!D14</f>
        <v>0</v>
      </c>
      <c r="Y13" s="188">
        <f>서차지!E14</f>
        <v>0</v>
      </c>
      <c r="AB13" s="495" t="str">
        <f>'25메인호텔'!F11</f>
        <v>Grand Copthorne</v>
      </c>
      <c r="AC13" s="35">
        <f>'25메인호텔'!G11</f>
        <v>240</v>
      </c>
      <c r="AD13" s="35">
        <f>'25메인호텔'!H11</f>
        <v>240</v>
      </c>
      <c r="AE13" s="34"/>
      <c r="AF13" s="34"/>
    </row>
    <row r="14" spans="1:32">
      <c r="B14" s="865"/>
      <c r="C14" s="907" t="s">
        <v>650</v>
      </c>
      <c r="D14" s="900"/>
      <c r="E14" s="901"/>
      <c r="F14" s="72"/>
      <c r="G14" s="102"/>
      <c r="H14" s="115"/>
      <c r="I14" s="120"/>
      <c r="J14" s="110"/>
      <c r="K14" s="123"/>
      <c r="L14" s="91"/>
      <c r="M14" s="123"/>
      <c r="N14" s="91"/>
      <c r="O14" s="144">
        <f t="shared" si="0"/>
        <v>0</v>
      </c>
      <c r="Q14" s="7"/>
      <c r="V14" s="190" t="str">
        <f>서차지!B15</f>
        <v>National Day</v>
      </c>
      <c r="W14" s="189">
        <f>서차지!C15</f>
        <v>0</v>
      </c>
      <c r="X14" s="189">
        <f>서차지!D15</f>
        <v>0</v>
      </c>
      <c r="Y14" s="188">
        <f>서차지!E15</f>
        <v>0</v>
      </c>
      <c r="AB14" s="496" t="str">
        <f>'25메인호텔'!F12</f>
        <v>Mercure Tyrwhitt</v>
      </c>
      <c r="AC14" s="35">
        <f>'25메인호텔'!G12</f>
        <v>170</v>
      </c>
      <c r="AD14" s="35">
        <f>'25메인호텔'!H12</f>
        <v>170</v>
      </c>
      <c r="AE14" s="34"/>
      <c r="AF14" s="34"/>
    </row>
    <row r="15" spans="1:32">
      <c r="B15" s="865"/>
      <c r="C15" s="899" t="str">
        <f>일정!C40</f>
        <v>버드 파라다이스</v>
      </c>
      <c r="D15" s="900"/>
      <c r="E15" s="901"/>
      <c r="F15" s="72"/>
      <c r="G15" s="101">
        <f>일정!E40</f>
        <v>24.5</v>
      </c>
      <c r="H15" s="115">
        <f>$C$4+$E$4</f>
        <v>5</v>
      </c>
      <c r="I15" s="123"/>
      <c r="J15" s="110"/>
      <c r="K15" s="123"/>
      <c r="L15" s="91"/>
      <c r="M15" s="123"/>
      <c r="N15" s="91"/>
      <c r="O15" s="144">
        <f t="shared" ref="O15" si="1">(G15*H15)+(I15*J15)+(K15*L15)+(M15*N15)</f>
        <v>122.5</v>
      </c>
      <c r="Q15" s="7"/>
      <c r="AB15" s="496" t="str">
        <f>'25메인호텔'!F12</f>
        <v>Mercure Tyrwhitt</v>
      </c>
      <c r="AC15" s="35">
        <f>'25메인호텔'!G12</f>
        <v>170</v>
      </c>
      <c r="AD15" s="35">
        <f>'25메인호텔'!H12</f>
        <v>170</v>
      </c>
      <c r="AE15" s="34"/>
      <c r="AF15" s="34"/>
    </row>
    <row r="16" spans="1:32">
      <c r="B16" s="865"/>
      <c r="C16" s="876" t="str">
        <f>식사!B36</f>
        <v>(중식) 펭귄코브 레스토랑</v>
      </c>
      <c r="D16" s="877"/>
      <c r="E16" s="878"/>
      <c r="F16" s="72"/>
      <c r="G16" s="99"/>
      <c r="H16" s="110"/>
      <c r="I16" s="122">
        <f>식사!E36</f>
        <v>20</v>
      </c>
      <c r="J16" s="115">
        <f>$C$4+$E$4</f>
        <v>5</v>
      </c>
      <c r="K16" s="120"/>
      <c r="L16" s="91"/>
      <c r="M16" s="120"/>
      <c r="N16" s="91"/>
      <c r="O16" s="144">
        <f t="shared" si="0"/>
        <v>100</v>
      </c>
      <c r="Q16" s="7"/>
      <c r="AB16" s="496" t="str">
        <f>'25메인호텔'!F13</f>
        <v>Hotel Boss</v>
      </c>
      <c r="AC16" s="35">
        <f>'25메인호텔'!G13</f>
        <v>185</v>
      </c>
      <c r="AD16" s="35">
        <f>'25메인호텔'!H13</f>
        <v>185</v>
      </c>
      <c r="AE16" s="34"/>
      <c r="AF16" s="34"/>
    </row>
    <row r="17" spans="2:32">
      <c r="B17" s="865"/>
      <c r="C17" s="907" t="s">
        <v>993</v>
      </c>
      <c r="D17" s="900"/>
      <c r="E17" s="901"/>
      <c r="F17" s="72"/>
      <c r="G17" s="102"/>
      <c r="H17" s="115"/>
      <c r="I17" s="120"/>
      <c r="J17" s="110"/>
      <c r="K17" s="120"/>
      <c r="L17" s="91"/>
      <c r="M17" s="120"/>
      <c r="N17" s="91"/>
      <c r="O17" s="144">
        <f t="shared" si="0"/>
        <v>0</v>
      </c>
      <c r="Q17" s="7"/>
      <c r="AB17" s="496" t="str">
        <f>'25메인호텔'!F14</f>
        <v>V Hotel Lavender</v>
      </c>
      <c r="AC17" s="35">
        <f>'25메인호텔'!G14</f>
        <v>185</v>
      </c>
      <c r="AD17" s="35">
        <f>'25메인호텔'!H14</f>
        <v>185</v>
      </c>
      <c r="AE17" s="34"/>
      <c r="AF17" s="34"/>
    </row>
    <row r="18" spans="2:32">
      <c r="B18" s="865"/>
      <c r="C18" s="899" t="s">
        <v>251</v>
      </c>
      <c r="D18" s="900"/>
      <c r="E18" s="901"/>
      <c r="F18" s="72"/>
      <c r="G18" s="101">
        <v>30</v>
      </c>
      <c r="H18" s="115">
        <f>$C$4+$E$4</f>
        <v>5</v>
      </c>
      <c r="I18" s="123"/>
      <c r="J18" s="110"/>
      <c r="K18" s="123"/>
      <c r="L18" s="91"/>
      <c r="M18" s="123"/>
      <c r="N18" s="91"/>
      <c r="O18" s="144"/>
      <c r="Q18" s="7"/>
      <c r="AB18" s="496"/>
      <c r="AC18" s="35"/>
      <c r="AD18" s="35"/>
      <c r="AE18" s="34"/>
      <c r="AF18" s="34"/>
    </row>
    <row r="19" spans="2:32">
      <c r="B19" s="865"/>
      <c r="C19" s="876" t="str">
        <f>식사!B41</f>
        <v>(석식) 아마라호텔_엘리멘트 뷔페</v>
      </c>
      <c r="D19" s="877"/>
      <c r="E19" s="878"/>
      <c r="F19" s="72"/>
      <c r="G19" s="99"/>
      <c r="H19" s="110"/>
      <c r="I19" s="122">
        <f>식사!E41</f>
        <v>42</v>
      </c>
      <c r="J19" s="115">
        <f>$C$4+$E$4</f>
        <v>5</v>
      </c>
      <c r="K19" s="120"/>
      <c r="L19" s="91"/>
      <c r="M19" s="120"/>
      <c r="N19" s="91"/>
      <c r="O19" s="144">
        <f t="shared" si="0"/>
        <v>210</v>
      </c>
      <c r="Q19" s="7"/>
      <c r="AB19" s="497" t="str">
        <f>'25메인호텔'!F17</f>
        <v>Oasia Sentosa</v>
      </c>
      <c r="AC19" s="35">
        <f>'25메인호텔'!G17</f>
        <v>240</v>
      </c>
      <c r="AD19" s="35">
        <f>'25메인호텔'!H17</f>
        <v>240</v>
      </c>
      <c r="AE19" s="34"/>
      <c r="AF19" s="34"/>
    </row>
    <row r="20" spans="2:32">
      <c r="B20" s="865"/>
      <c r="C20" s="941" t="s">
        <v>325</v>
      </c>
      <c r="D20" s="911"/>
      <c r="E20" s="912"/>
      <c r="F20" s="72"/>
      <c r="G20" s="205"/>
      <c r="H20" s="115"/>
      <c r="I20" s="102"/>
      <c r="J20" s="115"/>
      <c r="K20" s="120"/>
      <c r="L20" s="91"/>
      <c r="M20" s="120"/>
      <c r="N20" s="91"/>
      <c r="O20" s="144">
        <f t="shared" si="0"/>
        <v>0</v>
      </c>
      <c r="Q20" s="7"/>
      <c r="AB20" s="497" t="str">
        <f>'25메인호텔'!F18</f>
        <v>Swissotel The stamford</v>
      </c>
      <c r="AC20" s="35">
        <f>'25메인호텔'!G18</f>
        <v>540</v>
      </c>
      <c r="AD20" s="35">
        <f>'25메인호텔'!H18</f>
        <v>540</v>
      </c>
      <c r="AE20" s="34"/>
      <c r="AF20" s="34"/>
    </row>
    <row r="21" spans="2:32" ht="18" thickBot="1">
      <c r="B21" s="906"/>
      <c r="C21" s="893" t="s">
        <v>648</v>
      </c>
      <c r="D21" s="894"/>
      <c r="E21" s="895"/>
      <c r="F21" s="72"/>
      <c r="G21" s="102"/>
      <c r="H21" s="115"/>
      <c r="I21" s="123"/>
      <c r="J21" s="110"/>
      <c r="K21" s="123"/>
      <c r="L21" s="91"/>
      <c r="M21" s="123"/>
      <c r="N21" s="91"/>
      <c r="O21" s="144">
        <f t="shared" si="0"/>
        <v>0</v>
      </c>
      <c r="Q21" s="7"/>
    </row>
    <row r="22" spans="2:32">
      <c r="B22" s="864" t="str">
        <f>TEXT(C5+2,"m월 d일 aaaa")</f>
        <v>3월 18일 화요일</v>
      </c>
      <c r="C22" s="905" t="s">
        <v>623</v>
      </c>
      <c r="D22" s="1038"/>
      <c r="E22" s="1039"/>
      <c r="F22" s="72"/>
      <c r="G22" s="98"/>
      <c r="H22" s="109"/>
      <c r="I22" s="353"/>
      <c r="J22" s="109"/>
      <c r="K22" s="354"/>
      <c r="L22" s="90"/>
      <c r="M22" s="354"/>
      <c r="N22" s="90"/>
      <c r="O22" s="143">
        <f t="shared" si="0"/>
        <v>0</v>
      </c>
      <c r="Q22" s="159" t="s">
        <v>277</v>
      </c>
    </row>
    <row r="23" spans="2:32">
      <c r="B23" s="888"/>
      <c r="C23" s="865"/>
      <c r="D23" s="1040"/>
      <c r="E23" s="1041"/>
      <c r="F23" s="72"/>
      <c r="G23" s="102"/>
      <c r="H23" s="115"/>
      <c r="I23" s="123"/>
      <c r="J23" s="110"/>
      <c r="K23" s="123"/>
      <c r="L23" s="91"/>
      <c r="M23" s="123"/>
      <c r="N23" s="91"/>
      <c r="O23" s="144">
        <f t="shared" si="0"/>
        <v>0</v>
      </c>
      <c r="Q23" s="7"/>
    </row>
    <row r="24" spans="2:32">
      <c r="B24" s="888"/>
      <c r="C24" s="865"/>
      <c r="D24" s="1040"/>
      <c r="E24" s="1041"/>
      <c r="F24" s="72"/>
      <c r="G24" s="99"/>
      <c r="H24" s="110"/>
      <c r="I24" s="102"/>
      <c r="J24" s="115"/>
      <c r="K24" s="123"/>
      <c r="L24" s="91"/>
      <c r="M24" s="102"/>
      <c r="N24" s="91"/>
      <c r="O24" s="146">
        <f t="shared" si="0"/>
        <v>0</v>
      </c>
      <c r="Q24" s="7"/>
    </row>
    <row r="25" spans="2:32">
      <c r="B25" s="888"/>
      <c r="C25" s="865"/>
      <c r="D25" s="1040"/>
      <c r="E25" s="1041"/>
      <c r="F25" s="72"/>
      <c r="G25" s="99"/>
      <c r="H25" s="110"/>
      <c r="I25" s="102"/>
      <c r="J25" s="115"/>
      <c r="K25" s="123"/>
      <c r="L25" s="91"/>
      <c r="M25" s="102"/>
      <c r="N25" s="91"/>
      <c r="O25" s="146">
        <f t="shared" si="0"/>
        <v>0</v>
      </c>
      <c r="Q25" s="7"/>
    </row>
    <row r="26" spans="2:32">
      <c r="B26" s="888"/>
      <c r="C26" s="865"/>
      <c r="D26" s="1040"/>
      <c r="E26" s="1041"/>
      <c r="F26" s="72"/>
      <c r="G26" s="99"/>
      <c r="H26" s="110"/>
      <c r="I26" s="102"/>
      <c r="J26" s="115"/>
      <c r="K26" s="123"/>
      <c r="L26" s="91"/>
      <c r="M26" s="102"/>
      <c r="N26" s="91"/>
      <c r="O26" s="146">
        <f t="shared" si="0"/>
        <v>0</v>
      </c>
      <c r="Q26" s="7"/>
    </row>
    <row r="27" spans="2:32">
      <c r="B27" s="888"/>
      <c r="C27" s="865"/>
      <c r="D27" s="1040"/>
      <c r="E27" s="1041"/>
      <c r="F27" s="72"/>
      <c r="G27" s="99"/>
      <c r="H27" s="110"/>
      <c r="I27" s="102"/>
      <c r="J27" s="115"/>
      <c r="K27" s="123"/>
      <c r="L27" s="91"/>
      <c r="M27" s="123"/>
      <c r="N27" s="91"/>
      <c r="O27" s="146">
        <f t="shared" si="0"/>
        <v>0</v>
      </c>
      <c r="Q27" s="7"/>
    </row>
    <row r="28" spans="2:32" ht="18" thickBot="1">
      <c r="B28" s="866"/>
      <c r="C28" s="906"/>
      <c r="D28" s="1042"/>
      <c r="E28" s="1043"/>
      <c r="F28" s="72"/>
      <c r="G28" s="100"/>
      <c r="H28" s="111"/>
      <c r="I28" s="124"/>
      <c r="J28" s="126"/>
      <c r="K28" s="129"/>
      <c r="L28" s="137"/>
      <c r="M28" s="124"/>
      <c r="N28" s="137"/>
      <c r="O28" s="147">
        <f t="shared" si="0"/>
        <v>0</v>
      </c>
      <c r="Q28" s="7"/>
    </row>
    <row r="29" spans="2:32">
      <c r="B29" s="864" t="str">
        <f>TEXT(C5+3,"m월 d일 aaaa")</f>
        <v>3월 19일 수요일</v>
      </c>
      <c r="C29" s="896" t="s">
        <v>1357</v>
      </c>
      <c r="D29" s="897"/>
      <c r="E29" s="898"/>
      <c r="F29" s="72"/>
      <c r="G29" s="98"/>
      <c r="H29" s="109"/>
      <c r="I29" s="119"/>
      <c r="J29" s="109"/>
      <c r="K29" s="128">
        <f>IF(C4+E4&lt;8,'가이드&amp;차량'!C47, IF(C4+E4&lt;=14,'가이드&amp;차량'!C39,'가이드&amp;차량'!C23))</f>
        <v>430</v>
      </c>
      <c r="L29" s="90">
        <f>L10</f>
        <v>1</v>
      </c>
      <c r="M29" s="128">
        <f>'가이드&amp;차량'!C6+'가이드&amp;차량'!C3</f>
        <v>525</v>
      </c>
      <c r="N29" s="90">
        <f>N10</f>
        <v>1</v>
      </c>
      <c r="O29" s="143">
        <f t="shared" si="0"/>
        <v>955</v>
      </c>
      <c r="Q29" s="159" t="s">
        <v>278</v>
      </c>
    </row>
    <row r="30" spans="2:32">
      <c r="B30" s="944"/>
      <c r="C30" s="882" t="s">
        <v>331</v>
      </c>
      <c r="D30" s="883"/>
      <c r="E30" s="884"/>
      <c r="F30" s="72"/>
      <c r="G30" s="166"/>
      <c r="H30" s="115"/>
      <c r="I30" s="123"/>
      <c r="J30" s="110"/>
      <c r="K30" s="123"/>
      <c r="L30" s="91"/>
      <c r="M30" s="123"/>
      <c r="N30" s="91"/>
      <c r="O30" s="144">
        <f t="shared" ref="O30" si="2">(G30*H30)+(I30*J30)+(K30*L30)+(M30*N30)</f>
        <v>0</v>
      </c>
    </row>
    <row r="31" spans="2:32">
      <c r="B31" s="944"/>
      <c r="C31" s="879" t="str">
        <f>일정!C27</f>
        <v>가든스바이더베이 2돔 ( 쥬랴기 )</v>
      </c>
      <c r="D31" s="891"/>
      <c r="E31" s="892"/>
      <c r="F31" s="72"/>
      <c r="G31" s="101">
        <f>일정!E27</f>
        <v>28.3</v>
      </c>
      <c r="H31" s="115">
        <f>$C$4+$E$4</f>
        <v>5</v>
      </c>
      <c r="I31" s="123"/>
      <c r="J31" s="110"/>
      <c r="K31" s="123"/>
      <c r="L31" s="91"/>
      <c r="M31" s="123"/>
      <c r="N31" s="91"/>
      <c r="O31" s="144">
        <f t="shared" ref="O31" si="3">(G31*H31)+(I31*J31)+(K31*L31)+(M31*N31)</f>
        <v>141.5</v>
      </c>
      <c r="Q31" s="7"/>
      <c r="AB31" s="496">
        <f>'25메인호텔'!F29</f>
        <v>0</v>
      </c>
      <c r="AC31" s="35">
        <f>'25메인호텔'!G29</f>
        <v>0</v>
      </c>
      <c r="AD31" s="35">
        <f>'25메인호텔'!H29</f>
        <v>0</v>
      </c>
      <c r="AE31" s="34"/>
      <c r="AF31" s="34"/>
    </row>
    <row r="32" spans="2:32">
      <c r="B32" s="888"/>
      <c r="C32" s="876" t="str">
        <f>식사!B10</f>
        <v>(중식) 칠리크랩- 레드하우스_주중</v>
      </c>
      <c r="D32" s="877"/>
      <c r="E32" s="878"/>
      <c r="F32" s="72"/>
      <c r="G32" s="99"/>
      <c r="H32" s="110"/>
      <c r="I32" s="122">
        <f>식사!E10</f>
        <v>45</v>
      </c>
      <c r="J32" s="115">
        <f>$C$4+$E$4</f>
        <v>5</v>
      </c>
      <c r="K32" s="120"/>
      <c r="L32" s="91"/>
      <c r="M32" s="120"/>
      <c r="N32" s="91"/>
      <c r="O32" s="144">
        <f t="shared" si="0"/>
        <v>225</v>
      </c>
    </row>
    <row r="33" spans="1:21">
      <c r="A33" s="357"/>
      <c r="B33" s="888"/>
      <c r="C33" s="907" t="s">
        <v>334</v>
      </c>
      <c r="D33" s="908"/>
      <c r="E33" s="909"/>
      <c r="F33" s="72"/>
      <c r="G33" s="206"/>
      <c r="H33" s="164"/>
      <c r="I33" s="123"/>
      <c r="J33" s="110"/>
      <c r="K33" s="161"/>
      <c r="L33" s="138"/>
      <c r="M33" s="161"/>
      <c r="N33" s="138"/>
      <c r="O33" s="148">
        <f t="shared" si="0"/>
        <v>0</v>
      </c>
    </row>
    <row r="34" spans="1:21">
      <c r="A34" s="357"/>
      <c r="B34" s="888"/>
      <c r="C34" s="899" t="s">
        <v>1150</v>
      </c>
      <c r="D34" s="900"/>
      <c r="E34" s="901"/>
      <c r="F34" s="72"/>
      <c r="G34" s="101">
        <v>40</v>
      </c>
      <c r="H34" s="115">
        <f>$C$4+$E$4</f>
        <v>5</v>
      </c>
      <c r="I34" s="123"/>
      <c r="J34" s="110"/>
      <c r="K34" s="161"/>
      <c r="L34" s="138"/>
      <c r="M34" s="161"/>
      <c r="N34" s="138"/>
      <c r="O34" s="148"/>
    </row>
    <row r="35" spans="1:21">
      <c r="B35" s="888"/>
      <c r="C35" s="1013" t="str">
        <f>식사!B33</f>
        <v>카야 토스트 세트 시식</v>
      </c>
      <c r="D35" s="1014"/>
      <c r="E35" s="1015"/>
      <c r="F35" s="72"/>
      <c r="G35" s="206"/>
      <c r="H35" s="164"/>
      <c r="I35" s="122">
        <f>식사!E33</f>
        <v>10</v>
      </c>
      <c r="J35" s="115">
        <f>$C$4+$E$4</f>
        <v>5</v>
      </c>
      <c r="K35" s="161"/>
      <c r="L35" s="138"/>
      <c r="M35" s="161"/>
      <c r="N35" s="138"/>
      <c r="O35" s="148">
        <f t="shared" si="0"/>
        <v>50</v>
      </c>
    </row>
    <row r="36" spans="1:21">
      <c r="A36" s="357"/>
      <c r="B36" s="888"/>
      <c r="C36" s="907" t="s">
        <v>653</v>
      </c>
      <c r="D36" s="908"/>
      <c r="E36" s="909"/>
      <c r="F36" s="72"/>
      <c r="G36" s="206"/>
      <c r="H36" s="164"/>
      <c r="I36" s="123"/>
      <c r="J36" s="110"/>
      <c r="K36" s="161"/>
      <c r="L36" s="138"/>
      <c r="M36" s="161"/>
      <c r="N36" s="138"/>
      <c r="O36" s="148">
        <f t="shared" si="0"/>
        <v>0</v>
      </c>
    </row>
    <row r="37" spans="1:21">
      <c r="B37" s="888"/>
      <c r="C37" s="902" t="str">
        <f>식사!B3</f>
        <v>(석식) SBCD 코리안 두부 하우스</v>
      </c>
      <c r="D37" s="903"/>
      <c r="E37" s="904"/>
      <c r="F37" s="72"/>
      <c r="G37" s="104"/>
      <c r="H37" s="116"/>
      <c r="I37" s="122">
        <f>식사!E3</f>
        <v>25</v>
      </c>
      <c r="J37" s="115">
        <f>$C$4+$E$4</f>
        <v>5</v>
      </c>
      <c r="K37" s="130"/>
      <c r="L37" s="138"/>
      <c r="M37" s="130"/>
      <c r="N37" s="138"/>
      <c r="O37" s="148">
        <f t="shared" si="0"/>
        <v>125</v>
      </c>
    </row>
    <row r="38" spans="1:21">
      <c r="B38" s="889"/>
      <c r="C38" s="899" t="s">
        <v>250</v>
      </c>
      <c r="D38" s="900"/>
      <c r="E38" s="901"/>
      <c r="F38" s="72"/>
      <c r="G38" s="101">
        <v>28</v>
      </c>
      <c r="H38" s="115">
        <f>$C$4+$E$4</f>
        <v>5</v>
      </c>
      <c r="I38" s="102"/>
      <c r="J38" s="115"/>
      <c r="K38" s="161"/>
      <c r="L38" s="138"/>
      <c r="M38" s="161"/>
      <c r="N38" s="138"/>
      <c r="O38" s="162">
        <f t="shared" si="0"/>
        <v>140</v>
      </c>
    </row>
    <row r="39" spans="1:21" ht="18" thickBot="1">
      <c r="B39" s="866"/>
      <c r="C39" s="870" t="s">
        <v>596</v>
      </c>
      <c r="D39" s="871"/>
      <c r="E39" s="500">
        <f>상품리스트!I27</f>
        <v>0.97916666666666663</v>
      </c>
      <c r="F39" s="34"/>
      <c r="G39" s="105"/>
      <c r="H39" s="117"/>
      <c r="I39" s="124"/>
      <c r="J39" s="126"/>
      <c r="K39" s="131"/>
      <c r="L39" s="139"/>
      <c r="M39" s="131"/>
      <c r="N39" s="139"/>
      <c r="O39" s="149">
        <f t="shared" si="0"/>
        <v>0</v>
      </c>
      <c r="P39" s="34"/>
      <c r="Q39" s="34"/>
      <c r="R39" s="34"/>
      <c r="S39" s="34"/>
      <c r="T39" s="34"/>
      <c r="U39" s="34"/>
    </row>
    <row r="40" spans="1:21">
      <c r="B40" s="72"/>
      <c r="C40" s="72"/>
      <c r="D40" s="72"/>
      <c r="E40" s="72"/>
      <c r="F40" s="72"/>
      <c r="G40" s="72"/>
      <c r="H40" s="72"/>
      <c r="K40" s="132">
        <f>SUM(K10:K39)</f>
        <v>980</v>
      </c>
      <c r="L40" s="72"/>
      <c r="M40" s="132">
        <f>SUM(M10:M39)</f>
        <v>1050</v>
      </c>
      <c r="N40" s="72"/>
      <c r="O40" s="150"/>
      <c r="P40" s="156"/>
    </row>
    <row r="41" spans="1:21">
      <c r="O41" s="150"/>
    </row>
    <row r="42" spans="1:21">
      <c r="B42" s="872" t="s">
        <v>246</v>
      </c>
      <c r="C42" s="873" t="s">
        <v>288</v>
      </c>
      <c r="D42" s="874"/>
      <c r="E42" s="875"/>
      <c r="F42" s="34"/>
      <c r="G42" s="862">
        <f>$C$4+$E$4</f>
        <v>5</v>
      </c>
      <c r="H42" s="863"/>
      <c r="I42" s="854">
        <v>3</v>
      </c>
      <c r="J42" s="854"/>
      <c r="K42" s="855">
        <v>1</v>
      </c>
      <c r="L42" s="855"/>
      <c r="M42" s="855"/>
      <c r="N42" s="855"/>
      <c r="O42" s="151">
        <f>G42*I42*K42</f>
        <v>15</v>
      </c>
    </row>
    <row r="43" spans="1:21" ht="18" thickBot="1">
      <c r="B43" s="827"/>
      <c r="C43" s="856" t="s">
        <v>451</v>
      </c>
      <c r="D43" s="857"/>
      <c r="E43" s="858"/>
      <c r="F43" s="34"/>
      <c r="G43" s="859">
        <v>50</v>
      </c>
      <c r="H43" s="860"/>
      <c r="I43" s="860"/>
      <c r="J43" s="860"/>
      <c r="K43" s="861">
        <f>C4</f>
        <v>5</v>
      </c>
      <c r="L43" s="861"/>
      <c r="M43" s="861"/>
      <c r="N43" s="861"/>
      <c r="O43" s="152">
        <f>G43*K43</f>
        <v>250</v>
      </c>
    </row>
    <row r="44" spans="1:21" ht="18" thickBot="1">
      <c r="O44" s="150"/>
    </row>
    <row r="45" spans="1:21" ht="16.5" customHeight="1">
      <c r="B45" s="961" t="s">
        <v>337</v>
      </c>
      <c r="C45" s="1021" t="s">
        <v>251</v>
      </c>
      <c r="D45" s="1022"/>
      <c r="E45" s="1023"/>
      <c r="F45" s="165"/>
      <c r="G45" s="967"/>
      <c r="H45" s="1024"/>
      <c r="I45" s="969">
        <f>일정!G24</f>
        <v>30</v>
      </c>
      <c r="J45" s="970"/>
      <c r="K45" s="1044">
        <f>C4</f>
        <v>5</v>
      </c>
      <c r="L45" s="1044"/>
      <c r="M45" s="1044"/>
      <c r="N45" s="1045"/>
      <c r="O45" s="153">
        <f>G45*I45*K45</f>
        <v>0</v>
      </c>
    </row>
    <row r="46" spans="1:21">
      <c r="B46" s="1019"/>
      <c r="C46" s="1025" t="s">
        <v>250</v>
      </c>
      <c r="D46" s="1026"/>
      <c r="E46" s="1027"/>
      <c r="F46" s="165"/>
      <c r="G46" s="977"/>
      <c r="H46" s="1028"/>
      <c r="I46" s="979">
        <f>일정!G30</f>
        <v>28</v>
      </c>
      <c r="J46" s="980"/>
      <c r="K46" s="1046">
        <f>C4</f>
        <v>5</v>
      </c>
      <c r="L46" s="1047"/>
      <c r="M46" s="1047"/>
      <c r="N46" s="1048"/>
      <c r="O46" s="154">
        <f>G46*I46*K46</f>
        <v>0</v>
      </c>
    </row>
    <row r="47" spans="1:21">
      <c r="B47" s="1019"/>
      <c r="C47" s="1025" t="s">
        <v>249</v>
      </c>
      <c r="D47" s="1026"/>
      <c r="E47" s="1027"/>
      <c r="F47" s="165"/>
      <c r="G47" s="977"/>
      <c r="H47" s="1028"/>
      <c r="I47" s="979">
        <f>일정!G35</f>
        <v>36</v>
      </c>
      <c r="J47" s="980"/>
      <c r="K47" s="1046">
        <f>C4</f>
        <v>5</v>
      </c>
      <c r="L47" s="1047"/>
      <c r="M47" s="1047"/>
      <c r="N47" s="1048"/>
      <c r="O47" s="154">
        <f>G47*I47*K47</f>
        <v>0</v>
      </c>
    </row>
    <row r="48" spans="1:21">
      <c r="B48" s="1019"/>
      <c r="C48" s="1025" t="s">
        <v>336</v>
      </c>
      <c r="D48" s="1026"/>
      <c r="E48" s="1027"/>
      <c r="F48" s="165"/>
      <c r="G48" s="977"/>
      <c r="H48" s="1028"/>
      <c r="I48" s="979">
        <f>일정!G13</f>
        <v>19</v>
      </c>
      <c r="J48" s="980"/>
      <c r="K48" s="1046">
        <f>C4</f>
        <v>5</v>
      </c>
      <c r="L48" s="1047"/>
      <c r="M48" s="1047"/>
      <c r="N48" s="1048"/>
      <c r="O48" s="154">
        <f>G48*I48*K48</f>
        <v>0</v>
      </c>
    </row>
    <row r="49" spans="2:15">
      <c r="B49" s="1020"/>
      <c r="C49" s="1030" t="s">
        <v>252</v>
      </c>
      <c r="D49" s="1031"/>
      <c r="E49" s="1032"/>
      <c r="F49" s="165"/>
      <c r="G49" s="989"/>
      <c r="H49" s="1033"/>
      <c r="I49" s="991">
        <f>일정!G29</f>
        <v>40</v>
      </c>
      <c r="J49" s="992"/>
      <c r="K49" s="1049">
        <f>C4</f>
        <v>5</v>
      </c>
      <c r="L49" s="1050"/>
      <c r="M49" s="1050"/>
      <c r="N49" s="1051"/>
      <c r="O49" s="215">
        <f>G49*I49*K49</f>
        <v>0</v>
      </c>
    </row>
  </sheetData>
  <mergeCells count="77">
    <mergeCell ref="K47:N47"/>
    <mergeCell ref="C48:E48"/>
    <mergeCell ref="G48:H48"/>
    <mergeCell ref="I48:J48"/>
    <mergeCell ref="K48:N48"/>
    <mergeCell ref="B45:B49"/>
    <mergeCell ref="C45:E45"/>
    <mergeCell ref="G45:H45"/>
    <mergeCell ref="I45:J45"/>
    <mergeCell ref="K45:N45"/>
    <mergeCell ref="C46:E46"/>
    <mergeCell ref="G46:H46"/>
    <mergeCell ref="I46:J46"/>
    <mergeCell ref="K46:N46"/>
    <mergeCell ref="C47:E47"/>
    <mergeCell ref="C49:E49"/>
    <mergeCell ref="G49:H49"/>
    <mergeCell ref="I49:J49"/>
    <mergeCell ref="K49:N49"/>
    <mergeCell ref="G47:H47"/>
    <mergeCell ref="I47:J47"/>
    <mergeCell ref="B42:B43"/>
    <mergeCell ref="C42:E42"/>
    <mergeCell ref="G42:H42"/>
    <mergeCell ref="I42:J42"/>
    <mergeCell ref="K42:N42"/>
    <mergeCell ref="C43:E43"/>
    <mergeCell ref="G43:J43"/>
    <mergeCell ref="K43:N43"/>
    <mergeCell ref="B22:B28"/>
    <mergeCell ref="C22:E28"/>
    <mergeCell ref="B29:B39"/>
    <mergeCell ref="C29:E29"/>
    <mergeCell ref="C32:E32"/>
    <mergeCell ref="C35:E35"/>
    <mergeCell ref="C36:E36"/>
    <mergeCell ref="C37:E37"/>
    <mergeCell ref="C33:E33"/>
    <mergeCell ref="C38:E38"/>
    <mergeCell ref="C34:E34"/>
    <mergeCell ref="C39:D39"/>
    <mergeCell ref="C31:E31"/>
    <mergeCell ref="C30:E30"/>
    <mergeCell ref="B13:B21"/>
    <mergeCell ref="C13:E13"/>
    <mergeCell ref="C14:E14"/>
    <mergeCell ref="C16:E16"/>
    <mergeCell ref="C19:E19"/>
    <mergeCell ref="C20:E20"/>
    <mergeCell ref="C21:E21"/>
    <mergeCell ref="C17:E17"/>
    <mergeCell ref="C18:E18"/>
    <mergeCell ref="C15:E15"/>
    <mergeCell ref="H7:K7"/>
    <mergeCell ref="M8:N8"/>
    <mergeCell ref="O8:O9"/>
    <mergeCell ref="B10:B12"/>
    <mergeCell ref="C11:E11"/>
    <mergeCell ref="C12:E12"/>
    <mergeCell ref="G8:H8"/>
    <mergeCell ref="I8:J8"/>
    <mergeCell ref="K8:L8"/>
    <mergeCell ref="C10:D10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DEF3075E-60E2-4D91-B35C-5192E2E3325F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882B-B689-4F3E-8C61-C9F475B9A9D4}">
  <dimension ref="A1:AF50"/>
  <sheetViews>
    <sheetView workbookViewId="0">
      <selection activeCell="I18" sqref="I18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7" max="27" width="3.1640625" customWidth="1"/>
    <col min="28" max="28" width="18.6640625" customWidth="1"/>
    <col min="29" max="30" width="5.6640625" bestFit="1" customWidth="1"/>
    <col min="31" max="32" width="4.1640625" bestFit="1" customWidth="1"/>
  </cols>
  <sheetData>
    <row r="1" spans="1:32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20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2">
      <c r="B2" s="73" t="s">
        <v>238</v>
      </c>
      <c r="C2" s="923" t="s">
        <v>1226</v>
      </c>
      <c r="D2" s="923"/>
      <c r="E2" s="924"/>
      <c r="F2" s="72"/>
      <c r="G2" s="921"/>
      <c r="H2" s="925">
        <f>C5</f>
        <v>45817</v>
      </c>
      <c r="I2" s="926"/>
      <c r="J2" s="927" t="str">
        <f>AB2</f>
        <v>Swissotel The stamford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495</v>
      </c>
      <c r="M2" s="140">
        <f>$I$1+$K$1</f>
        <v>20</v>
      </c>
      <c r="N2" s="106">
        <f>L2*M2</f>
        <v>9900</v>
      </c>
      <c r="O2" s="929">
        <f>SUM(N2:N6)</f>
        <v>29700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7" t="s">
        <v>442</v>
      </c>
      <c r="AC2" s="35">
        <v>495</v>
      </c>
      <c r="AD2" s="35">
        <v>495</v>
      </c>
    </row>
    <row r="3" spans="1:32" ht="28">
      <c r="B3" s="74" t="s">
        <v>239</v>
      </c>
      <c r="C3" s="938" t="s">
        <v>1228</v>
      </c>
      <c r="D3" s="938"/>
      <c r="E3" s="770"/>
      <c r="F3" s="72"/>
      <c r="G3" s="921"/>
      <c r="H3" s="925">
        <f>H2+1</f>
        <v>45818</v>
      </c>
      <c r="I3" s="926"/>
      <c r="J3" s="927" t="str">
        <f>J2</f>
        <v>Swissotel The stamford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495</v>
      </c>
      <c r="M3" s="140">
        <f>$I$1+$K$1</f>
        <v>20</v>
      </c>
      <c r="N3" s="106">
        <f>L3*M3</f>
        <v>9900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2" ht="18" thickBot="1">
      <c r="B4" s="75" t="s">
        <v>241</v>
      </c>
      <c r="C4" s="81">
        <v>40</v>
      </c>
      <c r="D4" s="84" t="s">
        <v>253</v>
      </c>
      <c r="E4" s="92">
        <v>1</v>
      </c>
      <c r="F4" s="72"/>
      <c r="G4" s="921"/>
      <c r="H4" s="925">
        <f>H3+1</f>
        <v>45819</v>
      </c>
      <c r="I4" s="926"/>
      <c r="J4" s="927" t="str">
        <f>J2</f>
        <v>Swissotel The stamford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495</v>
      </c>
      <c r="M4" s="141">
        <f>$I$1+$K$1</f>
        <v>20</v>
      </c>
      <c r="N4" s="106">
        <f>L4*M4</f>
        <v>9900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tr">
        <f>'25메인호텔'!F2</f>
        <v>Momentus</v>
      </c>
      <c r="AC4" s="35">
        <f>'25메인호텔'!G2</f>
        <v>190</v>
      </c>
      <c r="AD4" s="35">
        <f>'25메인호텔'!H2</f>
        <v>180</v>
      </c>
      <c r="AE4" s="34"/>
      <c r="AF4" s="34"/>
    </row>
    <row r="5" spans="1:32" ht="18" thickBot="1">
      <c r="B5" s="76" t="s">
        <v>242</v>
      </c>
      <c r="C5" s="82">
        <v>45817</v>
      </c>
      <c r="D5" s="85">
        <v>3</v>
      </c>
      <c r="E5" s="93">
        <f>C5+D5</f>
        <v>45820</v>
      </c>
      <c r="F5" s="72"/>
      <c r="G5" s="921"/>
      <c r="H5" s="925"/>
      <c r="I5" s="926"/>
      <c r="J5" s="939"/>
      <c r="K5" s="940"/>
      <c r="L5" s="135"/>
      <c r="M5" s="140"/>
      <c r="N5" s="106"/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tr">
        <f>'25메인호텔'!F3</f>
        <v>Aloft Novena</v>
      </c>
      <c r="AC5" s="35">
        <f>'25메인호텔'!G3</f>
        <v>180</v>
      </c>
      <c r="AD5" s="35">
        <f>'25메인호텔'!H3</f>
        <v>180</v>
      </c>
      <c r="AE5" s="34"/>
      <c r="AF5" s="34"/>
    </row>
    <row r="6" spans="1:32" ht="17.25" customHeight="1" thickBot="1">
      <c r="B6" s="77" t="s">
        <v>243</v>
      </c>
      <c r="C6" s="83">
        <f>(SUM(O10:O50)+O2)/C4+R6+T6</f>
        <v>1371.1524999999999</v>
      </c>
      <c r="D6" s="86" t="s">
        <v>254</v>
      </c>
      <c r="E6" s="94">
        <f>C6*$E$1</f>
        <v>1508267.75</v>
      </c>
      <c r="F6" s="72"/>
      <c r="G6" s="922"/>
      <c r="H6" s="925"/>
      <c r="I6" s="926"/>
      <c r="J6" s="935"/>
      <c r="K6" s="935"/>
      <c r="L6" s="136"/>
      <c r="M6" s="89"/>
      <c r="N6" s="107"/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tr">
        <f>'25메인호텔'!F4</f>
        <v>Mercure Stevens</v>
      </c>
      <c r="AC6" s="35">
        <f>'25메인호텔'!G4</f>
        <v>180</v>
      </c>
      <c r="AD6" s="35">
        <f>'25메인호텔'!H4</f>
        <v>180</v>
      </c>
      <c r="AE6" s="34"/>
      <c r="AF6" s="34"/>
    </row>
    <row r="7" spans="1:32" ht="18" thickBot="1">
      <c r="B7" s="78" t="s">
        <v>244</v>
      </c>
      <c r="C7" s="183">
        <v>0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tr">
        <f>'25메인호텔'!F5</f>
        <v>M Hotel City Centre</v>
      </c>
      <c r="AC7" s="35">
        <f>'25메인호텔'!G5</f>
        <v>230</v>
      </c>
      <c r="AD7" s="35">
        <f>'25메인호텔'!H5</f>
        <v>230</v>
      </c>
      <c r="AE7" s="34"/>
      <c r="AF7" s="34"/>
    </row>
    <row r="8" spans="1:32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tr">
        <f>'25메인호텔'!F6</f>
        <v>Concorde Hotel</v>
      </c>
      <c r="AC8" s="35">
        <f>'25메인호텔'!G6</f>
        <v>230</v>
      </c>
      <c r="AD8" s="35">
        <f>'25메인호텔'!H6</f>
        <v>230</v>
      </c>
      <c r="AE8" s="34"/>
      <c r="AF8" s="34"/>
    </row>
    <row r="9" spans="1:32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tr">
        <f>'25메인호텔'!F7</f>
        <v>Oasia Novena</v>
      </c>
      <c r="AC9" s="35">
        <f>'25메인호텔'!G7</f>
        <v>210</v>
      </c>
      <c r="AD9" s="35">
        <f>'25메인호텔'!H7</f>
        <v>210</v>
      </c>
      <c r="AE9" s="34"/>
      <c r="AF9" s="34"/>
    </row>
    <row r="10" spans="1:32">
      <c r="B10" s="905" t="str">
        <f>TEXT(C5,"m월 d일 aaaa")</f>
        <v>6월 9일 월요일</v>
      </c>
      <c r="C10" s="867" t="s">
        <v>1229</v>
      </c>
      <c r="D10" s="916"/>
      <c r="E10" s="499">
        <f>상품리스트!F28</f>
        <v>0.98611111111111116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280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430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tr">
        <f>'25메인호텔'!F8</f>
        <v>Orchid Hotel</v>
      </c>
      <c r="AC10" s="35">
        <f>'25메인호텔'!G8</f>
        <v>220</v>
      </c>
      <c r="AD10" s="35">
        <f>'25메인호텔'!H8</f>
        <v>220</v>
      </c>
      <c r="AE10" s="34"/>
      <c r="AF10" s="34"/>
    </row>
    <row r="11" spans="1:32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40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tr">
        <f>'25메인호텔'!F9</f>
        <v>Amara Singapore</v>
      </c>
      <c r="AC11" s="35">
        <f>'25메인호텔'!G9</f>
        <v>230</v>
      </c>
      <c r="AD11" s="35">
        <f>'25메인호텔'!H9</f>
        <v>230</v>
      </c>
      <c r="AE11" s="34"/>
      <c r="AF11" s="34"/>
    </row>
    <row r="12" spans="1:32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tr">
        <f>'25메인호텔'!F10</f>
        <v>Orchard Hotel</v>
      </c>
      <c r="AC12" s="35">
        <f>'25메인호텔'!G10</f>
        <v>240</v>
      </c>
      <c r="AD12" s="35">
        <f>'25메인호텔'!H10</f>
        <v>240</v>
      </c>
      <c r="AE12" s="34"/>
      <c r="AF12" s="34"/>
    </row>
    <row r="13" spans="1:32">
      <c r="B13" s="905" t="str">
        <f>TEXT(C5+1,"m월 d일 aaaa")</f>
        <v>6월 10일 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630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1005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tr">
        <f>'25메인호텔'!F11</f>
        <v>Grand Copthorne</v>
      </c>
      <c r="AC13" s="35">
        <f>'25메인호텔'!G11</f>
        <v>240</v>
      </c>
      <c r="AD13" s="35">
        <f>'25메인호텔'!H11</f>
        <v>240</v>
      </c>
      <c r="AE13" s="34"/>
      <c r="AF13" s="34"/>
    </row>
    <row r="14" spans="1:32">
      <c r="B14" s="865"/>
      <c r="C14" s="907" t="s">
        <v>1149</v>
      </c>
      <c r="D14" s="900"/>
      <c r="E14" s="901"/>
      <c r="F14" s="72"/>
      <c r="G14" s="102"/>
      <c r="H14" s="115"/>
      <c r="I14" s="120"/>
      <c r="J14" s="110"/>
      <c r="K14" s="123"/>
      <c r="L14" s="91"/>
      <c r="M14" s="123"/>
      <c r="N14" s="91"/>
      <c r="O14" s="144">
        <f t="shared" si="0"/>
        <v>0</v>
      </c>
      <c r="Q14" s="7"/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tr">
        <f>'25메인호텔'!F12</f>
        <v>Mercure Tyrwhitt</v>
      </c>
      <c r="AC14" s="35">
        <f>'25메인호텔'!G12</f>
        <v>170</v>
      </c>
      <c r="AD14" s="35">
        <f>'25메인호텔'!H12</f>
        <v>170</v>
      </c>
      <c r="AE14" s="34"/>
      <c r="AF14" s="34"/>
    </row>
    <row r="15" spans="1:32">
      <c r="B15" s="865"/>
      <c r="C15" s="876" t="s">
        <v>1234</v>
      </c>
      <c r="D15" s="877"/>
      <c r="E15" s="878"/>
      <c r="F15" s="72"/>
      <c r="G15" s="99"/>
      <c r="H15" s="110"/>
      <c r="I15" s="122">
        <f>식사!E23</f>
        <v>28</v>
      </c>
      <c r="J15" s="115">
        <f>$C$4+$E$4</f>
        <v>41</v>
      </c>
      <c r="K15" s="120"/>
      <c r="L15" s="91"/>
      <c r="M15" s="120"/>
      <c r="N15" s="91"/>
      <c r="O15" s="144">
        <f t="shared" si="0"/>
        <v>1148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tr">
        <f>'25메인호텔'!F13</f>
        <v>Hotel Boss</v>
      </c>
      <c r="AC15" s="35">
        <f>'25메인호텔'!G13</f>
        <v>185</v>
      </c>
      <c r="AD15" s="35">
        <f>'25메인호텔'!H13</f>
        <v>185</v>
      </c>
      <c r="AE15" s="34"/>
      <c r="AF15" s="34"/>
    </row>
    <row r="16" spans="1:32">
      <c r="B16" s="865"/>
      <c r="C16" s="907" t="s">
        <v>324</v>
      </c>
      <c r="D16" s="900"/>
      <c r="E16" s="901"/>
      <c r="F16" s="72"/>
      <c r="G16" s="102"/>
      <c r="H16" s="115"/>
      <c r="I16" s="120"/>
      <c r="J16" s="110"/>
      <c r="K16" s="120"/>
      <c r="L16" s="91"/>
      <c r="M16" s="120"/>
      <c r="N16" s="91"/>
      <c r="O16" s="144">
        <f t="shared" si="0"/>
        <v>0</v>
      </c>
      <c r="Q16" s="7"/>
      <c r="AB16" s="496" t="str">
        <f>'25메인호텔'!F14</f>
        <v>V Hotel Lavender</v>
      </c>
      <c r="AC16" s="35">
        <f>'25메인호텔'!G14</f>
        <v>185</v>
      </c>
      <c r="AD16" s="35">
        <f>'25메인호텔'!H14</f>
        <v>185</v>
      </c>
      <c r="AE16" s="34"/>
      <c r="AF16" s="34"/>
    </row>
    <row r="17" spans="2:32">
      <c r="B17" s="865"/>
      <c r="C17" s="899" t="s">
        <v>622</v>
      </c>
      <c r="D17" s="900"/>
      <c r="E17" s="901"/>
      <c r="F17" s="72"/>
      <c r="G17" s="101">
        <f>일정!E38</f>
        <v>23.5</v>
      </c>
      <c r="H17" s="115">
        <f>$C$4+$E$4</f>
        <v>41</v>
      </c>
      <c r="I17" s="123"/>
      <c r="J17" s="110"/>
      <c r="K17" s="123"/>
      <c r="L17" s="91"/>
      <c r="M17" s="123"/>
      <c r="N17" s="91"/>
      <c r="O17" s="144">
        <f t="shared" si="0"/>
        <v>963.5</v>
      </c>
      <c r="Q17" s="7"/>
      <c r="AB17" s="496" t="str">
        <f>'25메인호텔'!F15</f>
        <v>IbIs Novena</v>
      </c>
      <c r="AC17" s="35">
        <f>'25메인호텔'!G15</f>
        <v>155</v>
      </c>
      <c r="AD17" s="35">
        <f>'25메인호텔'!H15</f>
        <v>155</v>
      </c>
      <c r="AE17" s="34"/>
      <c r="AF17" s="34"/>
    </row>
    <row r="18" spans="2:32">
      <c r="B18" s="865"/>
      <c r="C18" s="879" t="str">
        <f>일정!C27</f>
        <v>가든스바이더베이 2돔 ( 쥬랴기 )</v>
      </c>
      <c r="D18" s="891"/>
      <c r="E18" s="892"/>
      <c r="F18" s="72"/>
      <c r="G18" s="101">
        <f>일정!E27</f>
        <v>28.3</v>
      </c>
      <c r="H18" s="115">
        <f>$C$4+$E$4</f>
        <v>41</v>
      </c>
      <c r="I18" s="123"/>
      <c r="J18" s="110"/>
      <c r="K18" s="123"/>
      <c r="L18" s="91"/>
      <c r="M18" s="123"/>
      <c r="N18" s="91"/>
      <c r="O18" s="144">
        <f t="shared" si="0"/>
        <v>1160.3</v>
      </c>
      <c r="Q18" s="7"/>
      <c r="AB18" s="496" t="str">
        <f>'25메인호텔'!F16</f>
        <v xml:space="preserve">IbIs bencoolen </v>
      </c>
      <c r="AC18" s="35">
        <f>'25메인호텔'!G16</f>
        <v>185</v>
      </c>
      <c r="AD18" s="35">
        <f>'25메인호텔'!H16</f>
        <v>185</v>
      </c>
      <c r="AE18" s="34"/>
      <c r="AF18" s="34"/>
    </row>
    <row r="19" spans="2:32">
      <c r="B19" s="865"/>
      <c r="C19" s="899" t="s">
        <v>251</v>
      </c>
      <c r="D19" s="900"/>
      <c r="E19" s="901"/>
      <c r="F19" s="72"/>
      <c r="G19" s="101">
        <f>I46</f>
        <v>30</v>
      </c>
      <c r="H19" s="115">
        <f>$C$4+$E$4</f>
        <v>41</v>
      </c>
      <c r="I19" s="123"/>
      <c r="J19" s="110"/>
      <c r="K19" s="123"/>
      <c r="L19" s="91"/>
      <c r="M19" s="123"/>
      <c r="N19" s="91"/>
      <c r="O19" s="144">
        <f t="shared" si="0"/>
        <v>1230</v>
      </c>
      <c r="Q19" s="7"/>
      <c r="AB19" s="497" t="str">
        <f>'25메인호텔'!F17</f>
        <v>Oasia Sentosa</v>
      </c>
      <c r="AC19" s="35">
        <f>'25메인호텔'!G17</f>
        <v>240</v>
      </c>
      <c r="AD19" s="35">
        <f>'25메인호텔'!H17</f>
        <v>240</v>
      </c>
      <c r="AE19" s="34"/>
      <c r="AF19" s="34"/>
    </row>
    <row r="20" spans="2:32">
      <c r="B20" s="865"/>
      <c r="C20" s="876" t="s">
        <v>651</v>
      </c>
      <c r="D20" s="877"/>
      <c r="E20" s="878"/>
      <c r="F20" s="72"/>
      <c r="G20" s="99"/>
      <c r="H20" s="110"/>
      <c r="I20" s="122">
        <f>식사!E22</f>
        <v>22</v>
      </c>
      <c r="J20" s="115">
        <f>$C$4+$E$4</f>
        <v>41</v>
      </c>
      <c r="K20" s="120"/>
      <c r="L20" s="91"/>
      <c r="M20" s="120"/>
      <c r="N20" s="91"/>
      <c r="O20" s="144">
        <f t="shared" si="0"/>
        <v>902</v>
      </c>
      <c r="Q20" s="7"/>
      <c r="AB20" s="497" t="str">
        <f>'25메인호텔'!F18</f>
        <v>Swissotel The stamford</v>
      </c>
      <c r="AC20" s="35">
        <f>'25메인호텔'!G18</f>
        <v>540</v>
      </c>
      <c r="AD20" s="35">
        <f>'25메인호텔'!H18</f>
        <v>540</v>
      </c>
      <c r="AE20" s="34" t="e">
        <f>'25메인호텔'!#REF!</f>
        <v>#REF!</v>
      </c>
      <c r="AF20" s="34" t="e">
        <f>'25메인호텔'!#REF!</f>
        <v>#REF!</v>
      </c>
    </row>
    <row r="21" spans="2:32">
      <c r="B21" s="865"/>
      <c r="C21" s="941" t="s">
        <v>325</v>
      </c>
      <c r="D21" s="911"/>
      <c r="E21" s="912"/>
      <c r="F21" s="72"/>
      <c r="G21" s="205"/>
      <c r="H21" s="115"/>
      <c r="I21" s="102"/>
      <c r="J21" s="115"/>
      <c r="K21" s="120"/>
      <c r="L21" s="91"/>
      <c r="M21" s="120"/>
      <c r="N21" s="91"/>
      <c r="O21" s="144">
        <f t="shared" si="0"/>
        <v>0</v>
      </c>
      <c r="Q21" s="7"/>
    </row>
    <row r="22" spans="2:32" ht="18" thickBot="1">
      <c r="B22" s="906"/>
      <c r="C22" s="893" t="s">
        <v>648</v>
      </c>
      <c r="D22" s="894"/>
      <c r="E22" s="895"/>
      <c r="F22" s="72"/>
      <c r="G22" s="102"/>
      <c r="H22" s="115"/>
      <c r="I22" s="123"/>
      <c r="J22" s="110"/>
      <c r="K22" s="123"/>
      <c r="L22" s="91"/>
      <c r="M22" s="123"/>
      <c r="N22" s="91"/>
      <c r="O22" s="144">
        <f t="shared" si="0"/>
        <v>0</v>
      </c>
      <c r="Q22" s="7"/>
    </row>
    <row r="23" spans="2:32">
      <c r="B23" s="864" t="str">
        <f>TEXT(C5+2,"m월 d일 aaaa")</f>
        <v>6월 11일 수요일</v>
      </c>
      <c r="C23" s="896" t="s">
        <v>240</v>
      </c>
      <c r="D23" s="897"/>
      <c r="E23" s="898"/>
      <c r="F23" s="72"/>
      <c r="G23" s="98"/>
      <c r="H23" s="109"/>
      <c r="I23" s="119"/>
      <c r="J23" s="109"/>
      <c r="K23" s="128">
        <f>IF(C4+E4&lt;8,'가이드&amp;차량'!C47, IF(C4+E4&lt;=14,'가이드&amp;차량'!C39,'가이드&amp;차량'!C23))</f>
        <v>630</v>
      </c>
      <c r="L23" s="90">
        <f>L10</f>
        <v>1</v>
      </c>
      <c r="M23" s="128">
        <f>'가이드&amp;차량'!C6</f>
        <v>375</v>
      </c>
      <c r="N23" s="90">
        <f>N10</f>
        <v>1</v>
      </c>
      <c r="O23" s="143">
        <f t="shared" si="0"/>
        <v>1005</v>
      </c>
      <c r="Q23" s="159" t="s">
        <v>277</v>
      </c>
      <c r="V23" s="498"/>
    </row>
    <row r="24" spans="2:32">
      <c r="B24" s="888"/>
      <c r="C24" s="907" t="s">
        <v>505</v>
      </c>
      <c r="D24" s="908"/>
      <c r="E24" s="909"/>
      <c r="F24" s="72"/>
      <c r="G24" s="102"/>
      <c r="H24" s="115"/>
      <c r="I24" s="123"/>
      <c r="J24" s="110"/>
      <c r="K24" s="123"/>
      <c r="L24" s="91"/>
      <c r="M24" s="123"/>
      <c r="N24" s="91"/>
      <c r="O24" s="144">
        <f t="shared" si="0"/>
        <v>0</v>
      </c>
      <c r="Q24" s="7"/>
    </row>
    <row r="25" spans="2:32">
      <c r="B25" s="888"/>
      <c r="C25" s="902" t="s">
        <v>1231</v>
      </c>
      <c r="D25" s="903"/>
      <c r="E25" s="904"/>
      <c r="F25" s="72"/>
      <c r="G25" s="99"/>
      <c r="H25" s="110"/>
      <c r="I25" s="122">
        <f>식사!E32</f>
        <v>30</v>
      </c>
      <c r="J25" s="115">
        <f>$C$4+$E$4</f>
        <v>41</v>
      </c>
      <c r="K25" s="123"/>
      <c r="L25" s="91"/>
      <c r="M25" s="102"/>
      <c r="N25" s="91"/>
      <c r="O25" s="146">
        <f t="shared" si="0"/>
        <v>1230</v>
      </c>
      <c r="Q25" s="7" t="s">
        <v>1232</v>
      </c>
    </row>
    <row r="26" spans="2:32">
      <c r="B26" s="888"/>
      <c r="C26" s="882" t="s">
        <v>335</v>
      </c>
      <c r="D26" s="883"/>
      <c r="E26" s="884"/>
      <c r="F26" s="72"/>
      <c r="G26" s="101">
        <f>일정!E10+일정!E19+일정!E20</f>
        <v>76.3</v>
      </c>
      <c r="H26" s="115">
        <f>$C$4+$E$4</f>
        <v>41</v>
      </c>
      <c r="I26" s="102"/>
      <c r="J26" s="115"/>
      <c r="K26" s="123"/>
      <c r="L26" s="91"/>
      <c r="M26" s="102"/>
      <c r="N26" s="91"/>
      <c r="O26" s="146">
        <f t="shared" si="0"/>
        <v>3128.2999999999997</v>
      </c>
      <c r="Q26" s="7"/>
    </row>
    <row r="27" spans="2:32">
      <c r="B27" s="888"/>
      <c r="C27" s="899" t="s">
        <v>1233</v>
      </c>
      <c r="D27" s="900"/>
      <c r="E27" s="901"/>
      <c r="F27" s="72"/>
      <c r="G27" s="101">
        <f>I48</f>
        <v>36</v>
      </c>
      <c r="H27" s="115">
        <f>$C$4+$E$4</f>
        <v>41</v>
      </c>
      <c r="I27" s="102"/>
      <c r="J27" s="115"/>
      <c r="K27" s="123"/>
      <c r="L27" s="91"/>
      <c r="M27" s="102"/>
      <c r="N27" s="91"/>
      <c r="O27" s="146">
        <f t="shared" si="0"/>
        <v>1476</v>
      </c>
      <c r="Q27" s="7"/>
    </row>
    <row r="28" spans="2:32">
      <c r="B28" s="888"/>
      <c r="C28" s="907" t="s">
        <v>995</v>
      </c>
      <c r="D28" s="908"/>
      <c r="E28" s="909"/>
      <c r="F28" s="72"/>
      <c r="G28" s="99"/>
      <c r="H28" s="110"/>
      <c r="I28" s="102"/>
      <c r="J28" s="115"/>
      <c r="K28" s="123"/>
      <c r="L28" s="91"/>
      <c r="M28" s="102"/>
      <c r="N28" s="91"/>
      <c r="O28" s="146">
        <f t="shared" si="0"/>
        <v>0</v>
      </c>
      <c r="Q28" s="7"/>
    </row>
    <row r="29" spans="2:32">
      <c r="B29" s="888"/>
      <c r="C29" s="902" t="s">
        <v>1209</v>
      </c>
      <c r="D29" s="903"/>
      <c r="E29" s="904"/>
      <c r="F29" s="72"/>
      <c r="G29" s="99"/>
      <c r="H29" s="110"/>
      <c r="I29" s="122">
        <f>식사!E41</f>
        <v>42</v>
      </c>
      <c r="J29" s="115">
        <f>$C$4+$E$4</f>
        <v>41</v>
      </c>
      <c r="K29" s="123"/>
      <c r="L29" s="91"/>
      <c r="M29" s="123"/>
      <c r="N29" s="91"/>
      <c r="O29" s="146">
        <f t="shared" si="0"/>
        <v>1722</v>
      </c>
      <c r="Q29" s="7"/>
    </row>
    <row r="30" spans="2:32" ht="18" thickBot="1">
      <c r="B30" s="866"/>
      <c r="C30" s="917" t="s">
        <v>248</v>
      </c>
      <c r="D30" s="918"/>
      <c r="E30" s="919"/>
      <c r="F30" s="72"/>
      <c r="G30" s="100"/>
      <c r="H30" s="111"/>
      <c r="I30" s="124"/>
      <c r="J30" s="126"/>
      <c r="K30" s="129"/>
      <c r="L30" s="137"/>
      <c r="M30" s="124"/>
      <c r="N30" s="137"/>
      <c r="O30" s="147">
        <f t="shared" si="0"/>
        <v>0</v>
      </c>
      <c r="Q30" s="7"/>
    </row>
    <row r="31" spans="2:32">
      <c r="B31" s="864" t="str">
        <f>TEXT(C5+3,"m월 d일 aaaa")</f>
        <v>6월 12일 목요일</v>
      </c>
      <c r="C31" s="896" t="s">
        <v>330</v>
      </c>
      <c r="D31" s="897"/>
      <c r="E31" s="898"/>
      <c r="F31" s="72"/>
      <c r="G31" s="98"/>
      <c r="H31" s="109"/>
      <c r="I31" s="119"/>
      <c r="J31" s="109"/>
      <c r="K31" s="128">
        <f>IF(C4+E4&lt;8,'가이드&amp;차량'!C47, IF(C4+E4&lt;=14,'가이드&amp;차량'!C39,'가이드&amp;차량'!C23))</f>
        <v>630</v>
      </c>
      <c r="L31" s="90">
        <f>L10</f>
        <v>1</v>
      </c>
      <c r="M31" s="128">
        <f>'가이드&amp;차량'!C6+'가이드&amp;차량'!C3</f>
        <v>525</v>
      </c>
      <c r="N31" s="90">
        <f>N10</f>
        <v>1</v>
      </c>
      <c r="O31" s="143">
        <f t="shared" si="0"/>
        <v>1155</v>
      </c>
      <c r="Q31" s="159" t="s">
        <v>278</v>
      </c>
    </row>
    <row r="32" spans="2:32">
      <c r="B32" s="888"/>
      <c r="C32" s="882" t="s">
        <v>331</v>
      </c>
      <c r="D32" s="883"/>
      <c r="E32" s="884"/>
      <c r="F32" s="72"/>
      <c r="G32" s="166"/>
      <c r="H32" s="115"/>
      <c r="I32" s="123"/>
      <c r="J32" s="110"/>
      <c r="K32" s="123"/>
      <c r="L32" s="91"/>
      <c r="M32" s="123"/>
      <c r="N32" s="91"/>
      <c r="O32" s="144">
        <f t="shared" si="0"/>
        <v>0</v>
      </c>
    </row>
    <row r="33" spans="1:21">
      <c r="B33" s="888"/>
      <c r="C33" s="876" t="s">
        <v>1353</v>
      </c>
      <c r="D33" s="877"/>
      <c r="E33" s="878"/>
      <c r="F33" s="72"/>
      <c r="G33" s="99"/>
      <c r="H33" s="110"/>
      <c r="I33" s="122">
        <v>45</v>
      </c>
      <c r="J33" s="115">
        <f>$C$4+$E$4</f>
        <v>41</v>
      </c>
      <c r="K33" s="120"/>
      <c r="L33" s="91"/>
      <c r="M33" s="120"/>
      <c r="N33" s="91"/>
      <c r="O33" s="144">
        <f t="shared" si="0"/>
        <v>1845</v>
      </c>
    </row>
    <row r="34" spans="1:21">
      <c r="A34" s="357" t="s">
        <v>652</v>
      </c>
      <c r="B34" s="888"/>
      <c r="C34" s="907" t="s">
        <v>334</v>
      </c>
      <c r="D34" s="908"/>
      <c r="E34" s="909"/>
      <c r="F34" s="72"/>
      <c r="G34" s="206"/>
      <c r="H34" s="164"/>
      <c r="I34" s="123"/>
      <c r="J34" s="110"/>
      <c r="K34" s="161"/>
      <c r="L34" s="138"/>
      <c r="M34" s="161"/>
      <c r="N34" s="138"/>
      <c r="O34" s="148">
        <f t="shared" si="0"/>
        <v>0</v>
      </c>
    </row>
    <row r="35" spans="1:21">
      <c r="A35" s="357"/>
      <c r="B35" s="888"/>
      <c r="C35" s="899" t="s">
        <v>1150</v>
      </c>
      <c r="D35" s="900"/>
      <c r="E35" s="901"/>
      <c r="F35" s="72"/>
      <c r="G35" s="101">
        <f>I50</f>
        <v>40</v>
      </c>
      <c r="H35" s="115">
        <f>$C$4+$E$4</f>
        <v>41</v>
      </c>
      <c r="I35" s="123"/>
      <c r="J35" s="110"/>
      <c r="K35" s="161"/>
      <c r="L35" s="138"/>
      <c r="M35" s="161"/>
      <c r="N35" s="138"/>
      <c r="O35" s="148">
        <f t="shared" si="0"/>
        <v>1640</v>
      </c>
    </row>
    <row r="36" spans="1:21">
      <c r="B36" s="888"/>
      <c r="C36" s="1013" t="s">
        <v>333</v>
      </c>
      <c r="D36" s="1014"/>
      <c r="E36" s="1015"/>
      <c r="F36" s="72"/>
      <c r="G36" s="206"/>
      <c r="H36" s="164"/>
      <c r="I36" s="122">
        <f>식사!E33</f>
        <v>10</v>
      </c>
      <c r="J36" s="115">
        <f>$C$4+$E$4</f>
        <v>41</v>
      </c>
      <c r="K36" s="161"/>
      <c r="L36" s="138"/>
      <c r="M36" s="161"/>
      <c r="N36" s="138"/>
      <c r="O36" s="148">
        <f t="shared" si="0"/>
        <v>410</v>
      </c>
    </row>
    <row r="37" spans="1:21">
      <c r="A37" s="357" t="s">
        <v>652</v>
      </c>
      <c r="B37" s="888"/>
      <c r="C37" s="907" t="s">
        <v>653</v>
      </c>
      <c r="D37" s="908"/>
      <c r="E37" s="909"/>
      <c r="F37" s="72"/>
      <c r="G37" s="206"/>
      <c r="H37" s="164"/>
      <c r="I37" s="123"/>
      <c r="J37" s="110"/>
      <c r="K37" s="161"/>
      <c r="L37" s="138"/>
      <c r="M37" s="161"/>
      <c r="N37" s="138"/>
      <c r="O37" s="148">
        <f t="shared" si="0"/>
        <v>0</v>
      </c>
    </row>
    <row r="38" spans="1:21">
      <c r="B38" s="888"/>
      <c r="C38" s="902" t="s">
        <v>298</v>
      </c>
      <c r="D38" s="903"/>
      <c r="E38" s="904"/>
      <c r="F38" s="72"/>
      <c r="G38" s="104"/>
      <c r="H38" s="116"/>
      <c r="I38" s="122">
        <f>식사!E3</f>
        <v>25</v>
      </c>
      <c r="J38" s="115">
        <f>$C$4+$E$4</f>
        <v>41</v>
      </c>
      <c r="K38" s="130"/>
      <c r="L38" s="138"/>
      <c r="M38" s="130"/>
      <c r="N38" s="138"/>
      <c r="O38" s="148">
        <f t="shared" si="0"/>
        <v>1025</v>
      </c>
    </row>
    <row r="39" spans="1:21">
      <c r="B39" s="889"/>
      <c r="C39" s="1080" t="s">
        <v>250</v>
      </c>
      <c r="D39" s="1081"/>
      <c r="E39" s="1082"/>
      <c r="F39" s="72"/>
      <c r="G39" s="101">
        <f>I47</f>
        <v>28</v>
      </c>
      <c r="H39" s="115">
        <f>$C$4+$E$4</f>
        <v>41</v>
      </c>
      <c r="I39" s="102"/>
      <c r="J39" s="115"/>
      <c r="K39" s="161"/>
      <c r="L39" s="138"/>
      <c r="M39" s="161"/>
      <c r="N39" s="138"/>
      <c r="O39" s="162">
        <f t="shared" si="0"/>
        <v>1148</v>
      </c>
    </row>
    <row r="40" spans="1:21" ht="18" thickBot="1">
      <c r="B40" s="866"/>
      <c r="C40" s="870" t="s">
        <v>596</v>
      </c>
      <c r="D40" s="871"/>
      <c r="E40" s="500">
        <f>상품리스트!I28</f>
        <v>4.8611111111111112E-2</v>
      </c>
      <c r="F40" s="34"/>
      <c r="G40" s="105"/>
      <c r="H40" s="117"/>
      <c r="I40" s="124"/>
      <c r="J40" s="126"/>
      <c r="K40" s="131"/>
      <c r="L40" s="139"/>
      <c r="M40" s="131"/>
      <c r="N40" s="139"/>
      <c r="O40" s="149">
        <f t="shared" si="0"/>
        <v>0</v>
      </c>
      <c r="P40" s="34"/>
      <c r="Q40" s="34"/>
      <c r="R40" s="34"/>
      <c r="S40" s="34"/>
      <c r="T40" s="34"/>
      <c r="U40" s="34"/>
    </row>
    <row r="41" spans="1:21">
      <c r="B41" s="72"/>
      <c r="C41" s="72"/>
      <c r="D41" s="72"/>
      <c r="E41" s="72"/>
      <c r="F41" s="72"/>
      <c r="G41" s="72"/>
      <c r="H41" s="72"/>
      <c r="K41" s="132">
        <f>SUM(K10:K40)</f>
        <v>2170</v>
      </c>
      <c r="L41" s="72"/>
      <c r="M41" s="132">
        <f>SUM(M10:M40)</f>
        <v>1425</v>
      </c>
      <c r="N41" s="72"/>
      <c r="O41" s="150"/>
      <c r="P41" s="156"/>
    </row>
    <row r="42" spans="1:21" ht="18" thickBot="1">
      <c r="O42" s="150"/>
    </row>
    <row r="43" spans="1:21">
      <c r="B43" s="872" t="s">
        <v>246</v>
      </c>
      <c r="C43" s="873" t="s">
        <v>288</v>
      </c>
      <c r="D43" s="874"/>
      <c r="E43" s="875"/>
      <c r="F43" s="34"/>
      <c r="G43" s="862">
        <f>$C$4+$E$4</f>
        <v>41</v>
      </c>
      <c r="H43" s="863"/>
      <c r="I43" s="854">
        <v>3</v>
      </c>
      <c r="J43" s="854"/>
      <c r="K43" s="855">
        <v>1</v>
      </c>
      <c r="L43" s="855"/>
      <c r="M43" s="855"/>
      <c r="N43" s="855"/>
      <c r="O43" s="151">
        <f>G43*I43*K43</f>
        <v>123</v>
      </c>
    </row>
    <row r="44" spans="1:21" ht="18" thickBot="1">
      <c r="B44" s="827"/>
      <c r="C44" s="856" t="s">
        <v>451</v>
      </c>
      <c r="D44" s="857"/>
      <c r="E44" s="858"/>
      <c r="F44" s="34"/>
      <c r="G44" s="859">
        <v>50</v>
      </c>
      <c r="H44" s="860"/>
      <c r="I44" s="860"/>
      <c r="J44" s="860"/>
      <c r="K44" s="861">
        <f>C4</f>
        <v>40</v>
      </c>
      <c r="L44" s="861"/>
      <c r="M44" s="861"/>
      <c r="N44" s="861"/>
      <c r="O44" s="152">
        <f>G44*K44</f>
        <v>2000</v>
      </c>
    </row>
    <row r="45" spans="1:21" ht="18" thickBot="1">
      <c r="O45" s="150"/>
    </row>
    <row r="46" spans="1:21" ht="16.5" customHeight="1">
      <c r="B46" s="961" t="s">
        <v>337</v>
      </c>
      <c r="C46" s="1021" t="s">
        <v>251</v>
      </c>
      <c r="D46" s="1022"/>
      <c r="E46" s="1023"/>
      <c r="F46" s="165"/>
      <c r="G46" s="967"/>
      <c r="H46" s="1024"/>
      <c r="I46" s="969">
        <f>일정!G24</f>
        <v>30</v>
      </c>
      <c r="J46" s="970"/>
      <c r="K46" s="1044">
        <f>$C$4+$E$4</f>
        <v>41</v>
      </c>
      <c r="L46" s="1044"/>
      <c r="M46" s="1044"/>
      <c r="N46" s="1045"/>
      <c r="O46" s="153">
        <f>G46*I46*K46</f>
        <v>0</v>
      </c>
    </row>
    <row r="47" spans="1:21">
      <c r="B47" s="1019"/>
      <c r="C47" s="1025" t="s">
        <v>250</v>
      </c>
      <c r="D47" s="1026"/>
      <c r="E47" s="1027"/>
      <c r="F47" s="165"/>
      <c r="G47" s="977"/>
      <c r="H47" s="1028"/>
      <c r="I47" s="979">
        <f>일정!G30</f>
        <v>28</v>
      </c>
      <c r="J47" s="980"/>
      <c r="K47" s="1046">
        <f>$C$4+$E$4</f>
        <v>41</v>
      </c>
      <c r="L47" s="1047"/>
      <c r="M47" s="1047"/>
      <c r="N47" s="1048"/>
      <c r="O47" s="154">
        <f>G47*I47*K47</f>
        <v>0</v>
      </c>
    </row>
    <row r="48" spans="1:21">
      <c r="B48" s="1019"/>
      <c r="C48" s="1025" t="s">
        <v>249</v>
      </c>
      <c r="D48" s="1026"/>
      <c r="E48" s="1027"/>
      <c r="F48" s="165"/>
      <c r="G48" s="977"/>
      <c r="H48" s="1028"/>
      <c r="I48" s="979">
        <f>일정!G35</f>
        <v>36</v>
      </c>
      <c r="J48" s="980"/>
      <c r="K48" s="1046">
        <f>$C$4+$E$4</f>
        <v>41</v>
      </c>
      <c r="L48" s="1047"/>
      <c r="M48" s="1047"/>
      <c r="N48" s="1048"/>
      <c r="O48" s="154">
        <f>G48*I48*K48</f>
        <v>0</v>
      </c>
    </row>
    <row r="49" spans="2:15">
      <c r="B49" s="1019"/>
      <c r="C49" s="1025" t="s">
        <v>336</v>
      </c>
      <c r="D49" s="1026"/>
      <c r="E49" s="1027"/>
      <c r="F49" s="165"/>
      <c r="G49" s="977"/>
      <c r="H49" s="1028"/>
      <c r="I49" s="979">
        <f>일정!G13</f>
        <v>19</v>
      </c>
      <c r="J49" s="980"/>
      <c r="K49" s="1046">
        <f>$C$4+$E$4</f>
        <v>41</v>
      </c>
      <c r="L49" s="1047"/>
      <c r="M49" s="1047"/>
      <c r="N49" s="1048"/>
      <c r="O49" s="154">
        <f>G49*I49*K49</f>
        <v>0</v>
      </c>
    </row>
    <row r="50" spans="2:15" ht="18" thickBot="1">
      <c r="B50" s="1020"/>
      <c r="C50" s="1030" t="s">
        <v>252</v>
      </c>
      <c r="D50" s="1031"/>
      <c r="E50" s="1032"/>
      <c r="F50" s="165"/>
      <c r="G50" s="989"/>
      <c r="H50" s="1033"/>
      <c r="I50" s="991">
        <f>일정!G29</f>
        <v>40</v>
      </c>
      <c r="J50" s="992"/>
      <c r="K50" s="1049">
        <f>$C$4+$E$4</f>
        <v>41</v>
      </c>
      <c r="L50" s="1050"/>
      <c r="M50" s="1050"/>
      <c r="N50" s="1051"/>
      <c r="O50" s="215">
        <f>G50*I50*K50</f>
        <v>0</v>
      </c>
    </row>
  </sheetData>
  <mergeCells count="84">
    <mergeCell ref="C29:E29"/>
    <mergeCell ref="C30:E30"/>
    <mergeCell ref="C28:E28"/>
    <mergeCell ref="C50:E50"/>
    <mergeCell ref="G50:H50"/>
    <mergeCell ref="C46:E46"/>
    <mergeCell ref="G46:H46"/>
    <mergeCell ref="C48:E48"/>
    <mergeCell ref="G43:H43"/>
    <mergeCell ref="C37:E37"/>
    <mergeCell ref="C38:E38"/>
    <mergeCell ref="C39:E39"/>
    <mergeCell ref="C40:D40"/>
    <mergeCell ref="I50:J50"/>
    <mergeCell ref="K50:N50"/>
    <mergeCell ref="B23:B30"/>
    <mergeCell ref="C23:E23"/>
    <mergeCell ref="C24:E24"/>
    <mergeCell ref="C25:E25"/>
    <mergeCell ref="C26:E26"/>
    <mergeCell ref="C27:E27"/>
    <mergeCell ref="G48:H48"/>
    <mergeCell ref="I48:J48"/>
    <mergeCell ref="K48:N48"/>
    <mergeCell ref="C49:E49"/>
    <mergeCell ref="G49:H49"/>
    <mergeCell ref="I49:J49"/>
    <mergeCell ref="K49:N49"/>
    <mergeCell ref="B46:B50"/>
    <mergeCell ref="I46:J46"/>
    <mergeCell ref="K46:N46"/>
    <mergeCell ref="C47:E47"/>
    <mergeCell ref="G47:H47"/>
    <mergeCell ref="I47:J47"/>
    <mergeCell ref="K47:N47"/>
    <mergeCell ref="I43:J43"/>
    <mergeCell ref="K43:N43"/>
    <mergeCell ref="C44:E44"/>
    <mergeCell ref="G44:J44"/>
    <mergeCell ref="K44:N44"/>
    <mergeCell ref="B43:B44"/>
    <mergeCell ref="C43:E43"/>
    <mergeCell ref="C22:E22"/>
    <mergeCell ref="B31:B40"/>
    <mergeCell ref="C31:E31"/>
    <mergeCell ref="C32:E32"/>
    <mergeCell ref="C33:E33"/>
    <mergeCell ref="C34:E34"/>
    <mergeCell ref="C35:E35"/>
    <mergeCell ref="C36:E36"/>
    <mergeCell ref="B13:B2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M8:N8"/>
    <mergeCell ref="H7:K7"/>
    <mergeCell ref="O8:O9"/>
    <mergeCell ref="B10:B12"/>
    <mergeCell ref="C10:D10"/>
    <mergeCell ref="C11:E11"/>
    <mergeCell ref="C12:E12"/>
    <mergeCell ref="G8:H8"/>
    <mergeCell ref="I8:J8"/>
    <mergeCell ref="K8:L8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AFDBC326-AA19-4191-923F-2C24E5DFF858}"/>
  </hyperlinks>
  <pageMargins left="0.7" right="0.7" top="0.75" bottom="0.75" header="0.3" footer="0.3"/>
  <pageSetup paperSize="9"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A0D4C-0D1D-4720-BD66-96B781DB4632}">
  <dimension ref="A1:AD45"/>
  <sheetViews>
    <sheetView topLeftCell="A14" workbookViewId="0">
      <selection activeCell="I45" sqref="I45:J45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7" max="27" width="2.1640625" customWidth="1"/>
    <col min="28" max="28" width="19.33203125" bestFit="1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15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1013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Aloft Novena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180</v>
      </c>
      <c r="M2" s="140">
        <f>$I$1+$K$1</f>
        <v>15</v>
      </c>
      <c r="N2" s="106">
        <f>L2*M2</f>
        <v>2700</v>
      </c>
      <c r="O2" s="929">
        <f>SUM(N2:N6)</f>
        <v>8100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918</v>
      </c>
      <c r="AC2" s="10">
        <v>180</v>
      </c>
      <c r="AD2" s="10">
        <v>180</v>
      </c>
    </row>
    <row r="3" spans="1:30" ht="28">
      <c r="B3" s="74" t="s">
        <v>239</v>
      </c>
      <c r="C3" s="938" t="s">
        <v>1014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Aloft Novena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180</v>
      </c>
      <c r="M3" s="140">
        <f>$I$1+$K$1</f>
        <v>15</v>
      </c>
      <c r="N3" s="106">
        <f>L3*M3</f>
        <v>2700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30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927" t="str">
        <f>J2</f>
        <v>Aloft Novena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180</v>
      </c>
      <c r="M4" s="141">
        <f>$I$1+$K$1</f>
        <v>15</v>
      </c>
      <c r="N4" s="106">
        <f>L4*M4</f>
        <v>2700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/>
      <c r="I5" s="926"/>
      <c r="J5" s="939"/>
      <c r="K5" s="940"/>
      <c r="L5" s="135"/>
      <c r="M5" s="140"/>
      <c r="N5" s="106"/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(SUM(O10:O45)+O2)/C4+R3+T5</f>
        <v>695.93333333333328</v>
      </c>
      <c r="D6" s="86" t="s">
        <v>254</v>
      </c>
      <c r="E6" s="94">
        <f>C6*$E$1</f>
        <v>765526.66666666663</v>
      </c>
      <c r="F6" s="72"/>
      <c r="G6" s="922"/>
      <c r="H6" s="925"/>
      <c r="I6" s="926"/>
      <c r="J6" s="935"/>
      <c r="K6" s="935"/>
      <c r="L6" s="136"/>
      <c r="M6" s="89"/>
      <c r="N6" s="107"/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3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67" t="s">
        <v>947</v>
      </c>
      <c r="D10" s="916"/>
      <c r="E10" s="499">
        <f>상품리스트!F28</f>
        <v>0.98611111111111116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280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430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5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8" thickBot="1">
      <c r="B12" s="865"/>
      <c r="C12" s="917" t="s">
        <v>247</v>
      </c>
      <c r="D12" s="918"/>
      <c r="E12" s="919"/>
      <c r="F12" s="72"/>
      <c r="G12" s="104"/>
      <c r="H12" s="314"/>
      <c r="I12" s="130"/>
      <c r="J12" s="314"/>
      <c r="K12" s="130"/>
      <c r="L12" s="138"/>
      <c r="M12" s="130"/>
      <c r="N12" s="138"/>
      <c r="O12" s="148">
        <f t="shared" si="0"/>
        <v>0</v>
      </c>
      <c r="R12" s="72"/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630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1005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865"/>
      <c r="C14" s="882" t="s">
        <v>283</v>
      </c>
      <c r="D14" s="883"/>
      <c r="E14" s="884"/>
      <c r="F14" s="72"/>
      <c r="G14" s="102"/>
      <c r="H14" s="115"/>
      <c r="I14" s="120"/>
      <c r="J14" s="110"/>
      <c r="K14" s="123"/>
      <c r="L14" s="91"/>
      <c r="M14" s="123"/>
      <c r="N14" s="91"/>
      <c r="O14" s="144">
        <f t="shared" si="0"/>
        <v>0</v>
      </c>
      <c r="Q14" s="7"/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865"/>
      <c r="C15" s="899" t="s">
        <v>625</v>
      </c>
      <c r="D15" s="883"/>
      <c r="E15" s="884"/>
      <c r="F15" s="72"/>
      <c r="G15" s="101">
        <f>일정!E38</f>
        <v>23.5</v>
      </c>
      <c r="H15" s="115">
        <f>$C$4+$E$4</f>
        <v>30</v>
      </c>
      <c r="I15" s="123"/>
      <c r="J15" s="110"/>
      <c r="K15" s="123"/>
      <c r="L15" s="91"/>
      <c r="M15" s="123"/>
      <c r="N15" s="91"/>
      <c r="O15" s="144">
        <f>(G15*H15)+(I15*J15)+(K15*L15)+(M15*N15)</f>
        <v>705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922</v>
      </c>
      <c r="AC15" s="10">
        <v>185</v>
      </c>
      <c r="AD15" s="10">
        <v>185</v>
      </c>
    </row>
    <row r="16" spans="1:30">
      <c r="B16" s="865"/>
      <c r="C16" s="876" t="s">
        <v>810</v>
      </c>
      <c r="D16" s="877"/>
      <c r="E16" s="878"/>
      <c r="F16" s="72"/>
      <c r="G16" s="99"/>
      <c r="H16" s="110"/>
      <c r="I16" s="122">
        <f>식사!E23</f>
        <v>28</v>
      </c>
      <c r="J16" s="115">
        <f>$C$4+$E$4</f>
        <v>30</v>
      </c>
      <c r="K16" s="120"/>
      <c r="L16" s="91"/>
      <c r="M16" s="120"/>
      <c r="N16" s="91"/>
      <c r="O16" s="144">
        <f t="shared" si="0"/>
        <v>840</v>
      </c>
      <c r="AB16" s="496" t="s">
        <v>923</v>
      </c>
      <c r="AC16" s="10">
        <v>185</v>
      </c>
      <c r="AD16" s="10">
        <v>185</v>
      </c>
    </row>
    <row r="17" spans="2:30">
      <c r="B17" s="865"/>
      <c r="C17" s="890" t="s">
        <v>626</v>
      </c>
      <c r="D17" s="891"/>
      <c r="E17" s="892"/>
      <c r="F17" s="72"/>
      <c r="G17" s="102"/>
      <c r="H17" s="115"/>
      <c r="I17" s="123"/>
      <c r="J17" s="110"/>
      <c r="K17" s="123"/>
      <c r="L17" s="91"/>
      <c r="M17" s="123"/>
      <c r="N17" s="91"/>
      <c r="O17" s="144">
        <f t="shared" si="0"/>
        <v>0</v>
      </c>
      <c r="Q17" s="7"/>
      <c r="AB17" s="496" t="s">
        <v>931</v>
      </c>
      <c r="AC17" s="10">
        <v>155</v>
      </c>
      <c r="AD17" s="10">
        <v>155</v>
      </c>
    </row>
    <row r="18" spans="2:30">
      <c r="B18" s="865"/>
      <c r="C18" s="879" t="str">
        <f>일정!C27</f>
        <v>가든스바이더베이 2돔 ( 쥬랴기 )</v>
      </c>
      <c r="D18" s="891"/>
      <c r="E18" s="892"/>
      <c r="F18" s="72"/>
      <c r="G18" s="101">
        <f>일정!E27</f>
        <v>28.3</v>
      </c>
      <c r="H18" s="115">
        <f>$C$4+$E$4</f>
        <v>30</v>
      </c>
      <c r="I18" s="130"/>
      <c r="J18" s="314"/>
      <c r="K18" s="130"/>
      <c r="L18" s="138"/>
      <c r="M18" s="130"/>
      <c r="N18" s="138"/>
      <c r="O18" s="148">
        <f t="shared" si="0"/>
        <v>849</v>
      </c>
      <c r="R18" s="72"/>
      <c r="AB18" s="497" t="s">
        <v>928</v>
      </c>
      <c r="AC18" s="10">
        <v>280</v>
      </c>
      <c r="AD18" s="10">
        <v>280</v>
      </c>
    </row>
    <row r="19" spans="2:30">
      <c r="B19" s="865"/>
      <c r="C19" s="876" t="s">
        <v>627</v>
      </c>
      <c r="D19" s="877"/>
      <c r="E19" s="878"/>
      <c r="F19" s="72"/>
      <c r="G19" s="99"/>
      <c r="H19" s="110"/>
      <c r="I19" s="122">
        <f>식사!E22</f>
        <v>22</v>
      </c>
      <c r="J19" s="115">
        <f>$C$4+$E$4</f>
        <v>30</v>
      </c>
      <c r="K19" s="120"/>
      <c r="L19" s="91"/>
      <c r="M19" s="120"/>
      <c r="N19" s="91"/>
      <c r="O19" s="144">
        <f t="shared" si="0"/>
        <v>660</v>
      </c>
      <c r="Q19" s="7"/>
      <c r="AB19" s="497" t="s">
        <v>442</v>
      </c>
      <c r="AC19" s="10">
        <v>366</v>
      </c>
      <c r="AD19" s="10">
        <v>366</v>
      </c>
    </row>
    <row r="20" spans="2:30">
      <c r="B20" s="865"/>
      <c r="C20" s="890" t="s">
        <v>628</v>
      </c>
      <c r="D20" s="891"/>
      <c r="E20" s="892"/>
      <c r="F20" s="72"/>
      <c r="G20" s="99"/>
      <c r="H20" s="110"/>
      <c r="I20" s="102"/>
      <c r="J20" s="115"/>
      <c r="K20" s="120"/>
      <c r="L20" s="91"/>
      <c r="M20" s="120"/>
      <c r="N20" s="91"/>
      <c r="O20" s="144">
        <f t="shared" si="0"/>
        <v>0</v>
      </c>
      <c r="Q20" s="7"/>
    </row>
    <row r="21" spans="2:30" ht="18" thickBot="1">
      <c r="B21" s="906"/>
      <c r="C21" s="893" t="s">
        <v>1005</v>
      </c>
      <c r="D21" s="894"/>
      <c r="E21" s="895"/>
      <c r="F21" s="72"/>
      <c r="G21" s="102"/>
      <c r="H21" s="115"/>
      <c r="I21" s="123"/>
      <c r="J21" s="110"/>
      <c r="K21" s="123"/>
      <c r="L21" s="91"/>
      <c r="M21" s="123"/>
      <c r="N21" s="91"/>
      <c r="O21" s="144">
        <f t="shared" si="0"/>
        <v>0</v>
      </c>
      <c r="Q21" s="7"/>
    </row>
    <row r="22" spans="2:30">
      <c r="B22" s="864" t="str">
        <f>TEXT(C5+2,"m월 d일 aaaa")</f>
        <v>3월 18일 화요일</v>
      </c>
      <c r="C22" s="896" t="s">
        <v>240</v>
      </c>
      <c r="D22" s="897"/>
      <c r="E22" s="898"/>
      <c r="F22" s="72"/>
      <c r="G22" s="98"/>
      <c r="H22" s="109"/>
      <c r="I22" s="119"/>
      <c r="J22" s="109"/>
      <c r="K22" s="128">
        <f>IF(C4+E4&lt;8,'가이드&amp;차량'!C47, IF(C4+E4&lt;=14,'가이드&amp;차량'!C39,'가이드&amp;차량'!C23))</f>
        <v>630</v>
      </c>
      <c r="L22" s="90">
        <f>L10</f>
        <v>1</v>
      </c>
      <c r="M22" s="128">
        <f>'가이드&amp;차량'!C6</f>
        <v>375</v>
      </c>
      <c r="N22" s="90">
        <f>N10</f>
        <v>1</v>
      </c>
      <c r="O22" s="143">
        <f t="shared" si="0"/>
        <v>1005</v>
      </c>
      <c r="Q22" s="159" t="s">
        <v>277</v>
      </c>
      <c r="V22" s="498"/>
    </row>
    <row r="23" spans="2:30">
      <c r="B23" s="888"/>
      <c r="C23" s="907" t="s">
        <v>505</v>
      </c>
      <c r="D23" s="908"/>
      <c r="E23" s="909"/>
      <c r="F23" s="72"/>
      <c r="G23" s="102"/>
      <c r="H23" s="115"/>
      <c r="I23" s="123"/>
      <c r="J23" s="110"/>
      <c r="K23" s="123"/>
      <c r="L23" s="91"/>
      <c r="M23" s="123"/>
      <c r="N23" s="91"/>
      <c r="O23" s="144">
        <f t="shared" si="0"/>
        <v>0</v>
      </c>
      <c r="Q23" s="7"/>
    </row>
    <row r="24" spans="2:30">
      <c r="B24" s="888"/>
      <c r="C24" s="902" t="s">
        <v>629</v>
      </c>
      <c r="D24" s="903"/>
      <c r="E24" s="904"/>
      <c r="F24" s="72"/>
      <c r="G24" s="99"/>
      <c r="H24" s="110"/>
      <c r="I24" s="122">
        <f>식사!E19</f>
        <v>17</v>
      </c>
      <c r="J24" s="115">
        <f>$C$4+$E$4</f>
        <v>30</v>
      </c>
      <c r="K24" s="123"/>
      <c r="L24" s="91"/>
      <c r="M24" s="102"/>
      <c r="N24" s="91"/>
      <c r="O24" s="146">
        <f t="shared" si="0"/>
        <v>510</v>
      </c>
      <c r="Q24" s="7"/>
    </row>
    <row r="25" spans="2:30">
      <c r="B25" s="888"/>
      <c r="C25" s="882" t="s">
        <v>335</v>
      </c>
      <c r="D25" s="883"/>
      <c r="E25" s="884"/>
      <c r="F25" s="72"/>
      <c r="G25" s="101">
        <f>일정!E10+일정!E20+일정!E19</f>
        <v>76.3</v>
      </c>
      <c r="H25" s="115">
        <f>$C$4+$E$4</f>
        <v>30</v>
      </c>
      <c r="I25" s="102"/>
      <c r="J25" s="115"/>
      <c r="K25" s="123"/>
      <c r="L25" s="91"/>
      <c r="M25" s="102"/>
      <c r="N25" s="91"/>
      <c r="O25" s="146">
        <f t="shared" si="0"/>
        <v>2289</v>
      </c>
      <c r="Q25" s="7"/>
    </row>
    <row r="26" spans="2:30">
      <c r="B26" s="888"/>
      <c r="C26" s="907" t="s">
        <v>547</v>
      </c>
      <c r="D26" s="908"/>
      <c r="E26" s="909"/>
      <c r="F26" s="72"/>
      <c r="G26" s="99"/>
      <c r="H26" s="110"/>
      <c r="I26" s="102"/>
      <c r="J26" s="115"/>
      <c r="K26" s="123"/>
      <c r="L26" s="91"/>
      <c r="M26" s="102"/>
      <c r="N26" s="91"/>
      <c r="O26" s="146">
        <f t="shared" si="0"/>
        <v>0</v>
      </c>
      <c r="Q26" s="7"/>
    </row>
    <row r="27" spans="2:30">
      <c r="B27" s="888"/>
      <c r="C27" s="902" t="s">
        <v>1225</v>
      </c>
      <c r="D27" s="903"/>
      <c r="E27" s="904"/>
      <c r="F27" s="72"/>
      <c r="G27" s="99"/>
      <c r="H27" s="110"/>
      <c r="I27" s="122">
        <f>식사!E7</f>
        <v>18</v>
      </c>
      <c r="J27" s="115">
        <f>$C$4+$E$4</f>
        <v>30</v>
      </c>
      <c r="K27" s="123"/>
      <c r="L27" s="91"/>
      <c r="M27" s="123"/>
      <c r="N27" s="91"/>
      <c r="O27" s="146">
        <f t="shared" si="0"/>
        <v>540</v>
      </c>
      <c r="Q27" s="7"/>
    </row>
    <row r="28" spans="2:30" ht="18" thickBot="1">
      <c r="B28" s="866"/>
      <c r="C28" s="917" t="s">
        <v>248</v>
      </c>
      <c r="D28" s="918"/>
      <c r="E28" s="919"/>
      <c r="F28" s="72"/>
      <c r="G28" s="100"/>
      <c r="H28" s="111"/>
      <c r="I28" s="124"/>
      <c r="J28" s="126"/>
      <c r="K28" s="129"/>
      <c r="L28" s="137"/>
      <c r="M28" s="124"/>
      <c r="N28" s="137"/>
      <c r="O28" s="147">
        <f t="shared" si="0"/>
        <v>0</v>
      </c>
      <c r="Q28" s="7"/>
    </row>
    <row r="29" spans="2:30">
      <c r="B29" s="864" t="str">
        <f>TEXT(C5+3,"m월 d일 aaaa")</f>
        <v>3월 19일 수요일</v>
      </c>
      <c r="C29" s="896" t="s">
        <v>330</v>
      </c>
      <c r="D29" s="897"/>
      <c r="E29" s="898"/>
      <c r="F29" s="72"/>
      <c r="G29" s="98"/>
      <c r="H29" s="109"/>
      <c r="I29" s="119"/>
      <c r="J29" s="109"/>
      <c r="K29" s="128">
        <f>IF(C4+E4&lt;8,'가이드&amp;차량'!C47, IF(C4+E4&lt;=14,'가이드&amp;차량'!C39,'가이드&amp;차량'!C23))</f>
        <v>630</v>
      </c>
      <c r="L29" s="90">
        <f>L10</f>
        <v>1</v>
      </c>
      <c r="M29" s="128">
        <f>'가이드&amp;차량'!C6+'가이드&amp;차량'!C3</f>
        <v>525</v>
      </c>
      <c r="N29" s="90">
        <f>N10</f>
        <v>1</v>
      </c>
      <c r="O29" s="143">
        <f t="shared" si="0"/>
        <v>1155</v>
      </c>
      <c r="Q29" s="159" t="s">
        <v>278</v>
      </c>
    </row>
    <row r="30" spans="2:30">
      <c r="B30" s="888"/>
      <c r="C30" s="882" t="s">
        <v>631</v>
      </c>
      <c r="D30" s="883"/>
      <c r="E30" s="884"/>
      <c r="F30" s="72"/>
      <c r="G30" s="166"/>
      <c r="H30" s="115"/>
      <c r="I30" s="123"/>
      <c r="J30" s="110"/>
      <c r="K30" s="123"/>
      <c r="L30" s="91"/>
      <c r="M30" s="123"/>
      <c r="N30" s="91"/>
      <c r="O30" s="144">
        <f t="shared" si="0"/>
        <v>0</v>
      </c>
      <c r="V30" s="498"/>
    </row>
    <row r="31" spans="2:30">
      <c r="B31" s="888"/>
      <c r="C31" s="876" t="s">
        <v>632</v>
      </c>
      <c r="D31" s="877"/>
      <c r="E31" s="878"/>
      <c r="F31" s="72"/>
      <c r="G31" s="99"/>
      <c r="H31" s="110"/>
      <c r="I31" s="122">
        <f>식사!E28</f>
        <v>35</v>
      </c>
      <c r="J31" s="115">
        <f>$C$4+$E$4</f>
        <v>30</v>
      </c>
      <c r="K31" s="120"/>
      <c r="L31" s="91"/>
      <c r="M31" s="120"/>
      <c r="N31" s="91"/>
      <c r="O31" s="144">
        <f t="shared" si="0"/>
        <v>1050</v>
      </c>
    </row>
    <row r="32" spans="2:30">
      <c r="B32" s="888"/>
      <c r="C32" s="882" t="s">
        <v>633</v>
      </c>
      <c r="D32" s="883"/>
      <c r="E32" s="884"/>
      <c r="F32" s="72"/>
      <c r="G32" s="355"/>
      <c r="H32" s="113"/>
      <c r="I32" s="122">
        <f>식사!E33</f>
        <v>10</v>
      </c>
      <c r="J32" s="115">
        <f>$C$4+$E$4</f>
        <v>30</v>
      </c>
      <c r="K32" s="123"/>
      <c r="L32" s="91"/>
      <c r="M32" s="123"/>
      <c r="N32" s="91"/>
      <c r="O32" s="144">
        <f t="shared" si="0"/>
        <v>300</v>
      </c>
    </row>
    <row r="33" spans="2:21">
      <c r="B33" s="888"/>
      <c r="C33" s="907" t="s">
        <v>634</v>
      </c>
      <c r="D33" s="908"/>
      <c r="E33" s="909"/>
      <c r="F33" s="72"/>
      <c r="G33" s="206"/>
      <c r="H33" s="164"/>
      <c r="I33" s="123"/>
      <c r="J33" s="110"/>
      <c r="K33" s="161"/>
      <c r="L33" s="138"/>
      <c r="M33" s="161"/>
      <c r="N33" s="138"/>
      <c r="O33" s="148">
        <f t="shared" si="0"/>
        <v>0</v>
      </c>
    </row>
    <row r="34" spans="2:21">
      <c r="B34" s="888"/>
      <c r="C34" s="902" t="s">
        <v>298</v>
      </c>
      <c r="D34" s="903"/>
      <c r="E34" s="904"/>
      <c r="F34" s="72"/>
      <c r="G34" s="104"/>
      <c r="H34" s="116"/>
      <c r="I34" s="122">
        <f>식사!E3</f>
        <v>25</v>
      </c>
      <c r="J34" s="115">
        <f>$C$4+$E$4</f>
        <v>30</v>
      </c>
      <c r="K34" s="130"/>
      <c r="L34" s="138"/>
      <c r="M34" s="130"/>
      <c r="N34" s="138"/>
      <c r="O34" s="148">
        <f t="shared" si="0"/>
        <v>750</v>
      </c>
    </row>
    <row r="35" spans="2:21" ht="18" thickBot="1">
      <c r="B35" s="866"/>
      <c r="C35" s="870" t="s">
        <v>596</v>
      </c>
      <c r="D35" s="871"/>
      <c r="E35" s="500">
        <f>상품리스트!I32</f>
        <v>1.7361111111111112E-2</v>
      </c>
      <c r="F35" s="34"/>
      <c r="G35" s="105"/>
      <c r="H35" s="117"/>
      <c r="I35" s="124"/>
      <c r="J35" s="126"/>
      <c r="K35" s="131"/>
      <c r="L35" s="139"/>
      <c r="M35" s="131"/>
      <c r="N35" s="139"/>
      <c r="O35" s="149">
        <f t="shared" si="0"/>
        <v>0</v>
      </c>
      <c r="P35" s="34"/>
      <c r="Q35" s="34"/>
      <c r="R35" s="34"/>
      <c r="S35" s="34"/>
      <c r="T35" s="34"/>
      <c r="U35" s="34"/>
    </row>
    <row r="36" spans="2:21">
      <c r="B36" s="72"/>
      <c r="C36" s="72"/>
      <c r="D36" s="72"/>
      <c r="E36" s="72"/>
      <c r="F36" s="72"/>
      <c r="G36" s="72"/>
      <c r="H36" s="72"/>
      <c r="K36" s="132">
        <f>SUM(K10:K35)</f>
        <v>2170</v>
      </c>
      <c r="L36" s="72"/>
      <c r="M36" s="132">
        <f>SUM(M10:M35)</f>
        <v>1425</v>
      </c>
      <c r="N36" s="72"/>
      <c r="O36" s="150"/>
      <c r="P36" s="156"/>
    </row>
    <row r="37" spans="2:21" ht="18" thickBot="1">
      <c r="O37" s="150"/>
    </row>
    <row r="38" spans="2:21">
      <c r="B38" s="872" t="s">
        <v>246</v>
      </c>
      <c r="C38" s="873" t="s">
        <v>288</v>
      </c>
      <c r="D38" s="874"/>
      <c r="E38" s="875"/>
      <c r="F38" s="34"/>
      <c r="G38" s="862">
        <f>$C$4+$E$4</f>
        <v>30</v>
      </c>
      <c r="H38" s="863"/>
      <c r="I38" s="854">
        <v>3</v>
      </c>
      <c r="J38" s="854"/>
      <c r="K38" s="855">
        <v>1</v>
      </c>
      <c r="L38" s="855"/>
      <c r="M38" s="855"/>
      <c r="N38" s="855"/>
      <c r="O38" s="151">
        <f>G38*I38*K38</f>
        <v>90</v>
      </c>
    </row>
    <row r="39" spans="2:21" ht="18" thickBot="1">
      <c r="B39" s="827"/>
      <c r="C39" s="856" t="s">
        <v>451</v>
      </c>
      <c r="D39" s="857"/>
      <c r="E39" s="858"/>
      <c r="F39" s="34"/>
      <c r="G39" s="859">
        <v>50</v>
      </c>
      <c r="H39" s="860"/>
      <c r="I39" s="860"/>
      <c r="J39" s="860"/>
      <c r="K39" s="861">
        <f>C4</f>
        <v>30</v>
      </c>
      <c r="L39" s="861"/>
      <c r="M39" s="861"/>
      <c r="N39" s="861"/>
      <c r="O39" s="152">
        <f>G39*K39</f>
        <v>1500</v>
      </c>
    </row>
    <row r="40" spans="2:21" ht="18" thickBot="1">
      <c r="O40" s="150"/>
    </row>
    <row r="41" spans="2:21" ht="16.5" customHeight="1">
      <c r="B41" s="961" t="s">
        <v>337</v>
      </c>
      <c r="C41" s="1021" t="s">
        <v>251</v>
      </c>
      <c r="D41" s="1022"/>
      <c r="E41" s="1023"/>
      <c r="F41" s="165"/>
      <c r="G41" s="967"/>
      <c r="H41" s="1024"/>
      <c r="I41" s="969">
        <f>일정!G24</f>
        <v>30</v>
      </c>
      <c r="J41" s="970"/>
      <c r="K41" s="1044">
        <f>C4</f>
        <v>30</v>
      </c>
      <c r="L41" s="1044"/>
      <c r="M41" s="1044"/>
      <c r="N41" s="1045"/>
      <c r="O41" s="153">
        <f>G41*I41*K41</f>
        <v>0</v>
      </c>
    </row>
    <row r="42" spans="2:21">
      <c r="B42" s="1019"/>
      <c r="C42" s="1025" t="s">
        <v>250</v>
      </c>
      <c r="D42" s="1026"/>
      <c r="E42" s="1027"/>
      <c r="F42" s="165"/>
      <c r="G42" s="977"/>
      <c r="H42" s="1028"/>
      <c r="I42" s="979">
        <f>일정!G30</f>
        <v>28</v>
      </c>
      <c r="J42" s="980"/>
      <c r="K42" s="1046">
        <f>C4</f>
        <v>30</v>
      </c>
      <c r="L42" s="1047"/>
      <c r="M42" s="1047"/>
      <c r="N42" s="1048"/>
      <c r="O42" s="154">
        <f>G42*I42*K42</f>
        <v>0</v>
      </c>
    </row>
    <row r="43" spans="2:21">
      <c r="B43" s="1019"/>
      <c r="C43" s="1025" t="s">
        <v>249</v>
      </c>
      <c r="D43" s="1026"/>
      <c r="E43" s="1027"/>
      <c r="F43" s="165"/>
      <c r="G43" s="977"/>
      <c r="H43" s="1028"/>
      <c r="I43" s="979">
        <f>일정!G35</f>
        <v>36</v>
      </c>
      <c r="J43" s="980"/>
      <c r="K43" s="1046">
        <f>C4</f>
        <v>30</v>
      </c>
      <c r="L43" s="1047"/>
      <c r="M43" s="1047"/>
      <c r="N43" s="1048"/>
      <c r="O43" s="154">
        <f>G43*I43*K43</f>
        <v>0</v>
      </c>
    </row>
    <row r="44" spans="2:21">
      <c r="B44" s="1019"/>
      <c r="C44" s="1025" t="s">
        <v>336</v>
      </c>
      <c r="D44" s="1026"/>
      <c r="E44" s="1027"/>
      <c r="F44" s="165"/>
      <c r="G44" s="977"/>
      <c r="H44" s="1028"/>
      <c r="I44" s="979">
        <f>일정!G13</f>
        <v>19</v>
      </c>
      <c r="J44" s="980"/>
      <c r="K44" s="1046">
        <f>C4</f>
        <v>30</v>
      </c>
      <c r="L44" s="1047"/>
      <c r="M44" s="1047"/>
      <c r="N44" s="1048"/>
      <c r="O44" s="154">
        <f>G44*I44*K44</f>
        <v>0</v>
      </c>
    </row>
    <row r="45" spans="2:21" ht="18" thickBot="1">
      <c r="B45" s="1020"/>
      <c r="C45" s="1030" t="s">
        <v>252</v>
      </c>
      <c r="D45" s="1031"/>
      <c r="E45" s="1032"/>
      <c r="F45" s="165"/>
      <c r="G45" s="989"/>
      <c r="H45" s="1033"/>
      <c r="I45" s="991">
        <f>일정!G29</f>
        <v>40</v>
      </c>
      <c r="J45" s="992"/>
      <c r="K45" s="1049">
        <f>C4</f>
        <v>30</v>
      </c>
      <c r="L45" s="1050"/>
      <c r="M45" s="1050"/>
      <c r="N45" s="1051"/>
      <c r="O45" s="215">
        <f>G45*I45*K45</f>
        <v>0</v>
      </c>
    </row>
  </sheetData>
  <mergeCells count="79">
    <mergeCell ref="K43:N43"/>
    <mergeCell ref="C44:E44"/>
    <mergeCell ref="G44:H44"/>
    <mergeCell ref="I44:J44"/>
    <mergeCell ref="K44:N44"/>
    <mergeCell ref="B41:B45"/>
    <mergeCell ref="C41:E41"/>
    <mergeCell ref="G41:H41"/>
    <mergeCell ref="I41:J41"/>
    <mergeCell ref="K41:N41"/>
    <mergeCell ref="C42:E42"/>
    <mergeCell ref="G42:H42"/>
    <mergeCell ref="I42:J42"/>
    <mergeCell ref="K42:N42"/>
    <mergeCell ref="C43:E43"/>
    <mergeCell ref="C45:E45"/>
    <mergeCell ref="G45:H45"/>
    <mergeCell ref="I45:J45"/>
    <mergeCell ref="K45:N45"/>
    <mergeCell ref="G43:H43"/>
    <mergeCell ref="I43:J43"/>
    <mergeCell ref="B38:B39"/>
    <mergeCell ref="C38:E38"/>
    <mergeCell ref="G38:H38"/>
    <mergeCell ref="I38:J38"/>
    <mergeCell ref="K38:N38"/>
    <mergeCell ref="C39:E39"/>
    <mergeCell ref="G39:J39"/>
    <mergeCell ref="K39:N39"/>
    <mergeCell ref="B29:B35"/>
    <mergeCell ref="C29:E29"/>
    <mergeCell ref="C30:E30"/>
    <mergeCell ref="C31:E31"/>
    <mergeCell ref="C32:E32"/>
    <mergeCell ref="C33:E33"/>
    <mergeCell ref="C34:E34"/>
    <mergeCell ref="C35:D35"/>
    <mergeCell ref="B22:B28"/>
    <mergeCell ref="C22:E22"/>
    <mergeCell ref="C23:E23"/>
    <mergeCell ref="C24:E24"/>
    <mergeCell ref="C25:E25"/>
    <mergeCell ref="C26:E26"/>
    <mergeCell ref="C27:E27"/>
    <mergeCell ref="C28:E28"/>
    <mergeCell ref="B13:B21"/>
    <mergeCell ref="C13:E13"/>
    <mergeCell ref="C14:E14"/>
    <mergeCell ref="C16:E16"/>
    <mergeCell ref="C17:E17"/>
    <mergeCell ref="C19:E19"/>
    <mergeCell ref="C21:E21"/>
    <mergeCell ref="C15:E15"/>
    <mergeCell ref="C18:E18"/>
    <mergeCell ref="C20:E20"/>
    <mergeCell ref="H7:K7"/>
    <mergeCell ref="M8:N8"/>
    <mergeCell ref="O8:O9"/>
    <mergeCell ref="B10:B12"/>
    <mergeCell ref="C11:E11"/>
    <mergeCell ref="C12:E12"/>
    <mergeCell ref="G8:H8"/>
    <mergeCell ref="I8:J8"/>
    <mergeCell ref="K8:L8"/>
    <mergeCell ref="C10:D10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B9AD164A-CBF7-4005-AFE4-0B1185C81889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F618-7E6D-4D12-B5E0-EB64D88D53A5}">
  <dimension ref="A1:AD47"/>
  <sheetViews>
    <sheetView topLeftCell="A9" workbookViewId="0">
      <selection activeCell="V27" sqref="V27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7" max="27" width="1.83203125" customWidth="1"/>
    <col min="28" max="28" width="20.6640625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3.5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539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Aloft Novena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180</v>
      </c>
      <c r="M2" s="140">
        <f>$I$1+$K$1</f>
        <v>3.5</v>
      </c>
      <c r="N2" s="106">
        <f>L2*M2</f>
        <v>630</v>
      </c>
      <c r="O2" s="929">
        <f>SUM(N2:N6)</f>
        <v>1890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918</v>
      </c>
      <c r="AC2" s="10">
        <v>180</v>
      </c>
      <c r="AD2" s="10">
        <v>180</v>
      </c>
    </row>
    <row r="3" spans="1:30" ht="28">
      <c r="B3" s="74" t="s">
        <v>239</v>
      </c>
      <c r="C3" s="938" t="s">
        <v>532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Aloft Novena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180</v>
      </c>
      <c r="M3" s="140">
        <f>$I$1+$K$1</f>
        <v>3.5</v>
      </c>
      <c r="N3" s="106">
        <f>L3*M3</f>
        <v>630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7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927" t="str">
        <f>J2</f>
        <v>Aloft Novena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180</v>
      </c>
      <c r="M4" s="141">
        <f>$I$1+$K$1</f>
        <v>3.5</v>
      </c>
      <c r="N4" s="106">
        <f>L4*M4</f>
        <v>630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/>
      <c r="I5" s="926"/>
      <c r="J5" s="939"/>
      <c r="K5" s="940"/>
      <c r="L5" s="135"/>
      <c r="M5" s="140"/>
      <c r="N5" s="106"/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(SUM(O10:O47)+O2)/C4+R3+T5</f>
        <v>1024.6000000000001</v>
      </c>
      <c r="D6" s="86" t="s">
        <v>254</v>
      </c>
      <c r="E6" s="94">
        <f>C6*$E$1</f>
        <v>1127060.0000000002</v>
      </c>
      <c r="F6" s="72"/>
      <c r="G6" s="922"/>
      <c r="H6" s="925"/>
      <c r="I6" s="926"/>
      <c r="J6" s="935"/>
      <c r="K6" s="935"/>
      <c r="L6" s="136"/>
      <c r="M6" s="89"/>
      <c r="N6" s="107"/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3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96" t="s">
        <v>540</v>
      </c>
      <c r="D10" s="897"/>
      <c r="E10" s="898"/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120</v>
      </c>
      <c r="L10" s="90">
        <v>1</v>
      </c>
      <c r="M10" s="128">
        <f>'가이드&amp;차량'!C3</f>
        <v>150</v>
      </c>
      <c r="N10" s="90">
        <v>1</v>
      </c>
      <c r="O10" s="143">
        <f t="shared" ref="O10:O16" si="0">(G10*H10)+(I10*J10)+(K10*L10)+(M10*N10)</f>
        <v>270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si="0"/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>
      <c r="B12" s="865"/>
      <c r="C12" s="948" t="s">
        <v>541</v>
      </c>
      <c r="D12" s="946"/>
      <c r="E12" s="947"/>
      <c r="F12" s="72"/>
      <c r="G12" s="104"/>
      <c r="H12" s="314"/>
      <c r="I12" s="130"/>
      <c r="J12" s="314"/>
      <c r="K12" s="130"/>
      <c r="L12" s="138"/>
      <c r="M12" s="130"/>
      <c r="N12" s="138"/>
      <c r="O12" s="148">
        <f t="shared" si="0"/>
        <v>0</v>
      </c>
      <c r="R12" s="72"/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865"/>
      <c r="C13" s="879" t="str">
        <f>일정!C27</f>
        <v>가든스바이더베이 2돔 ( 쥬랴기 )</v>
      </c>
      <c r="D13" s="891"/>
      <c r="E13" s="892"/>
      <c r="F13" s="72"/>
      <c r="G13" s="101">
        <f>일정!E27</f>
        <v>28.3</v>
      </c>
      <c r="H13" s="115">
        <f>$C$4+$E$4</f>
        <v>7</v>
      </c>
      <c r="I13" s="130"/>
      <c r="J13" s="314"/>
      <c r="K13" s="130"/>
      <c r="L13" s="138"/>
      <c r="M13" s="130"/>
      <c r="N13" s="138"/>
      <c r="O13" s="148">
        <f t="shared" si="0"/>
        <v>198.1</v>
      </c>
      <c r="R13" s="72"/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865"/>
      <c r="C14" s="876" t="s">
        <v>542</v>
      </c>
      <c r="D14" s="877"/>
      <c r="E14" s="878"/>
      <c r="F14" s="72"/>
      <c r="G14" s="99"/>
      <c r="H14" s="110"/>
      <c r="I14" s="122">
        <f>식사!E24</f>
        <v>32</v>
      </c>
      <c r="J14" s="115">
        <f>$C$4+$E$4</f>
        <v>7</v>
      </c>
      <c r="K14" s="120"/>
      <c r="L14" s="91"/>
      <c r="M14" s="120"/>
      <c r="N14" s="91"/>
      <c r="O14" s="144">
        <f t="shared" si="0"/>
        <v>224</v>
      </c>
      <c r="Q14" s="7"/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865"/>
      <c r="C15" s="941" t="s">
        <v>325</v>
      </c>
      <c r="D15" s="911"/>
      <c r="E15" s="912"/>
      <c r="F15" s="72"/>
      <c r="G15" s="205"/>
      <c r="H15" s="115"/>
      <c r="I15" s="102"/>
      <c r="J15" s="115"/>
      <c r="K15" s="120"/>
      <c r="L15" s="91"/>
      <c r="M15" s="120"/>
      <c r="N15" s="91"/>
      <c r="O15" s="144">
        <f t="shared" si="0"/>
        <v>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922</v>
      </c>
      <c r="AC15" s="10">
        <v>185</v>
      </c>
      <c r="AD15" s="10">
        <v>185</v>
      </c>
    </row>
    <row r="16" spans="1:30" ht="18" thickBot="1">
      <c r="B16" s="906"/>
      <c r="C16" s="917" t="s">
        <v>248</v>
      </c>
      <c r="D16" s="918"/>
      <c r="E16" s="919"/>
      <c r="F16" s="72"/>
      <c r="G16" s="205"/>
      <c r="H16" s="115"/>
      <c r="I16" s="102"/>
      <c r="J16" s="115"/>
      <c r="K16" s="120"/>
      <c r="L16" s="91"/>
      <c r="M16" s="120"/>
      <c r="N16" s="91"/>
      <c r="O16" s="144">
        <f t="shared" si="0"/>
        <v>0</v>
      </c>
      <c r="Q16" s="7"/>
      <c r="AB16" s="496" t="s">
        <v>726</v>
      </c>
      <c r="AC16" s="10">
        <v>185</v>
      </c>
      <c r="AD16" s="10">
        <v>185</v>
      </c>
    </row>
    <row r="17" spans="2:30">
      <c r="B17" s="905" t="str">
        <f>TEXT(C5+1,"m월 d일 aaaa")</f>
        <v>3월 17일 월요일</v>
      </c>
      <c r="C17" s="896" t="s">
        <v>888</v>
      </c>
      <c r="D17" s="897"/>
      <c r="E17" s="898"/>
      <c r="F17" s="72"/>
      <c r="G17" s="98"/>
      <c r="H17" s="112"/>
      <c r="I17" s="119"/>
      <c r="J17" s="109"/>
      <c r="K17" s="128">
        <f>IF(C4+E4&lt;8,'가이드&amp;차량'!C47, IF(C4+E4&lt;=14,'가이드&amp;차량'!C39,'가이드&amp;차량'!C23))</f>
        <v>430</v>
      </c>
      <c r="L17" s="90">
        <f>L10</f>
        <v>1</v>
      </c>
      <c r="M17" s="128">
        <f>'가이드&amp;차량'!C6</f>
        <v>375</v>
      </c>
      <c r="N17" s="90">
        <f>N10</f>
        <v>1</v>
      </c>
      <c r="O17" s="143">
        <f t="shared" ref="O17:O37" si="1">(G17*H17)+(I17*J17)+(K17*L17)+(M17*N17)</f>
        <v>805</v>
      </c>
      <c r="Q17" s="159" t="s">
        <v>277</v>
      </c>
      <c r="AB17" s="496" t="s">
        <v>931</v>
      </c>
      <c r="AC17" s="10">
        <v>155</v>
      </c>
      <c r="AD17" s="10">
        <v>155</v>
      </c>
    </row>
    <row r="18" spans="2:30">
      <c r="B18" s="865"/>
      <c r="C18" s="882" t="s">
        <v>331</v>
      </c>
      <c r="D18" s="883"/>
      <c r="E18" s="884"/>
      <c r="F18" s="72"/>
      <c r="G18" s="102"/>
      <c r="H18" s="115"/>
      <c r="I18" s="120"/>
      <c r="J18" s="110"/>
      <c r="K18" s="123"/>
      <c r="L18" s="91"/>
      <c r="M18" s="123"/>
      <c r="N18" s="91"/>
      <c r="O18" s="144">
        <f t="shared" si="1"/>
        <v>0</v>
      </c>
      <c r="Q18" s="7"/>
      <c r="AB18" s="496" t="s">
        <v>923</v>
      </c>
      <c r="AC18" s="10">
        <v>185</v>
      </c>
      <c r="AD18" s="10">
        <v>185</v>
      </c>
    </row>
    <row r="19" spans="2:30">
      <c r="B19" s="865"/>
      <c r="C19" s="876" t="s">
        <v>332</v>
      </c>
      <c r="D19" s="877"/>
      <c r="E19" s="878"/>
      <c r="F19" s="72"/>
      <c r="G19" s="99"/>
      <c r="H19" s="110"/>
      <c r="I19" s="122">
        <f>식사!E19</f>
        <v>17</v>
      </c>
      <c r="J19" s="115">
        <f>$C$4+$E$4</f>
        <v>7</v>
      </c>
      <c r="K19" s="120"/>
      <c r="L19" s="91"/>
      <c r="M19" s="120"/>
      <c r="N19" s="91"/>
      <c r="O19" s="144">
        <f>(G19*H19)+(I19*J19)+(K19*L19)+(M19*N19)</f>
        <v>119</v>
      </c>
      <c r="AB19" s="497" t="s">
        <v>928</v>
      </c>
      <c r="AC19" s="10">
        <v>280</v>
      </c>
      <c r="AD19" s="10">
        <v>280</v>
      </c>
    </row>
    <row r="20" spans="2:30">
      <c r="B20" s="865"/>
      <c r="C20" s="890" t="s">
        <v>543</v>
      </c>
      <c r="D20" s="891"/>
      <c r="E20" s="892"/>
      <c r="F20" s="72"/>
      <c r="G20" s="102"/>
      <c r="H20" s="115"/>
      <c r="I20" s="123"/>
      <c r="J20" s="110"/>
      <c r="K20" s="123"/>
      <c r="L20" s="91"/>
      <c r="M20" s="123"/>
      <c r="N20" s="91"/>
      <c r="O20" s="144">
        <f t="shared" si="1"/>
        <v>0</v>
      </c>
      <c r="Q20" s="7"/>
      <c r="AB20" s="497" t="s">
        <v>442</v>
      </c>
      <c r="AC20" s="10">
        <v>366</v>
      </c>
      <c r="AD20" s="10">
        <v>366</v>
      </c>
    </row>
    <row r="21" spans="2:30">
      <c r="B21" s="865"/>
      <c r="C21" s="1013" t="s">
        <v>333</v>
      </c>
      <c r="D21" s="1014"/>
      <c r="E21" s="1015"/>
      <c r="F21" s="72"/>
      <c r="G21" s="206"/>
      <c r="H21" s="164"/>
      <c r="I21" s="122">
        <f>식사!E33</f>
        <v>10</v>
      </c>
      <c r="J21" s="115">
        <f>$C$4+$E$4</f>
        <v>7</v>
      </c>
      <c r="K21" s="161"/>
      <c r="L21" s="138"/>
      <c r="M21" s="161"/>
      <c r="N21" s="138"/>
      <c r="O21" s="148">
        <f>(G21*H21)+(I21*J21)+(K21*L21)+(M21*N21)</f>
        <v>70</v>
      </c>
    </row>
    <row r="22" spans="2:30">
      <c r="B22" s="865"/>
      <c r="C22" s="876" t="s">
        <v>544</v>
      </c>
      <c r="D22" s="877"/>
      <c r="E22" s="878"/>
      <c r="F22" s="72"/>
      <c r="G22" s="99"/>
      <c r="H22" s="110"/>
      <c r="I22" s="122">
        <f>식사!E16</f>
        <v>30</v>
      </c>
      <c r="J22" s="115">
        <f>$C$4+$E$4</f>
        <v>7</v>
      </c>
      <c r="K22" s="120"/>
      <c r="L22" s="91"/>
      <c r="M22" s="120"/>
      <c r="N22" s="91"/>
      <c r="O22" s="144">
        <f t="shared" si="1"/>
        <v>210</v>
      </c>
      <c r="Q22" s="7"/>
    </row>
    <row r="23" spans="2:30" ht="18" thickBot="1">
      <c r="B23" s="906"/>
      <c r="C23" s="893" t="s">
        <v>1005</v>
      </c>
      <c r="D23" s="894"/>
      <c r="E23" s="895"/>
      <c r="F23" s="72"/>
      <c r="G23" s="102"/>
      <c r="H23" s="115"/>
      <c r="I23" s="123"/>
      <c r="J23" s="110"/>
      <c r="K23" s="123"/>
      <c r="L23" s="91"/>
      <c r="M23" s="123"/>
      <c r="N23" s="91"/>
      <c r="O23" s="144">
        <f t="shared" si="1"/>
        <v>0</v>
      </c>
      <c r="Q23" s="7"/>
    </row>
    <row r="24" spans="2:30">
      <c r="B24" s="864" t="str">
        <f>TEXT(C5+2,"m월 d일 aaaa")</f>
        <v>3월 18일 화요일</v>
      </c>
      <c r="C24" s="896" t="s">
        <v>240</v>
      </c>
      <c r="D24" s="897"/>
      <c r="E24" s="898"/>
      <c r="F24" s="72"/>
      <c r="G24" s="98"/>
      <c r="H24" s="109"/>
      <c r="I24" s="119"/>
      <c r="J24" s="109"/>
      <c r="K24" s="128">
        <f>IF(C4+E4&lt;8,'가이드&amp;차량'!C47, IF(C4+E4&lt;=14,'가이드&amp;차량'!C39,'가이드&amp;차량'!C23))</f>
        <v>430</v>
      </c>
      <c r="L24" s="90">
        <f>L10</f>
        <v>1</v>
      </c>
      <c r="M24" s="128">
        <f>'가이드&amp;차량'!C6</f>
        <v>375</v>
      </c>
      <c r="N24" s="90">
        <f>N10</f>
        <v>1</v>
      </c>
      <c r="O24" s="143">
        <f t="shared" si="1"/>
        <v>805</v>
      </c>
      <c r="Q24" s="159" t="s">
        <v>277</v>
      </c>
    </row>
    <row r="25" spans="2:30">
      <c r="B25" s="888"/>
      <c r="C25" s="899" t="s">
        <v>545</v>
      </c>
      <c r="D25" s="883"/>
      <c r="E25" s="884"/>
      <c r="F25" s="72"/>
      <c r="G25" s="101">
        <f>일정!E38+일정!E40</f>
        <v>48</v>
      </c>
      <c r="H25" s="115">
        <f>$C$4+$E$4</f>
        <v>7</v>
      </c>
      <c r="I25" s="123"/>
      <c r="J25" s="110"/>
      <c r="K25" s="123"/>
      <c r="L25" s="91"/>
      <c r="M25" s="123"/>
      <c r="N25" s="91"/>
      <c r="O25" s="144">
        <f t="shared" si="1"/>
        <v>336</v>
      </c>
      <c r="Q25" s="7"/>
    </row>
    <row r="26" spans="2:30">
      <c r="B26" s="888"/>
      <c r="C26" s="902" t="s">
        <v>326</v>
      </c>
      <c r="D26" s="903"/>
      <c r="E26" s="904"/>
      <c r="F26" s="72"/>
      <c r="G26" s="99"/>
      <c r="H26" s="110"/>
      <c r="I26" s="122">
        <f>식사!E36</f>
        <v>20</v>
      </c>
      <c r="J26" s="115">
        <f>$C$4+$E$4</f>
        <v>7</v>
      </c>
      <c r="K26" s="123"/>
      <c r="L26" s="91"/>
      <c r="M26" s="102"/>
      <c r="N26" s="91"/>
      <c r="O26" s="146">
        <f t="shared" si="1"/>
        <v>140</v>
      </c>
      <c r="Q26" s="7"/>
    </row>
    <row r="27" spans="2:30">
      <c r="B27" s="888"/>
      <c r="C27" s="907" t="s">
        <v>546</v>
      </c>
      <c r="D27" s="908"/>
      <c r="E27" s="909"/>
      <c r="F27" s="72"/>
      <c r="G27" s="99"/>
      <c r="H27" s="110"/>
      <c r="I27" s="102"/>
      <c r="J27" s="115"/>
      <c r="K27" s="123"/>
      <c r="L27" s="91"/>
      <c r="M27" s="102"/>
      <c r="N27" s="91"/>
      <c r="O27" s="146">
        <f t="shared" si="1"/>
        <v>0</v>
      </c>
      <c r="Q27" s="7"/>
    </row>
    <row r="28" spans="2:30">
      <c r="B28" s="888"/>
      <c r="C28" s="907" t="s">
        <v>547</v>
      </c>
      <c r="D28" s="908"/>
      <c r="E28" s="909"/>
      <c r="F28" s="72"/>
      <c r="G28" s="99"/>
      <c r="H28" s="110"/>
      <c r="I28" s="102"/>
      <c r="J28" s="115"/>
      <c r="K28" s="123"/>
      <c r="L28" s="91"/>
      <c r="M28" s="102"/>
      <c r="N28" s="91"/>
      <c r="O28" s="146">
        <f t="shared" si="1"/>
        <v>0</v>
      </c>
      <c r="Q28" s="7"/>
    </row>
    <row r="29" spans="2:30">
      <c r="B29" s="888"/>
      <c r="C29" s="902" t="s">
        <v>548</v>
      </c>
      <c r="D29" s="903"/>
      <c r="E29" s="904"/>
      <c r="F29" s="72"/>
      <c r="G29" s="99"/>
      <c r="H29" s="110"/>
      <c r="I29" s="122">
        <f>식사!E22</f>
        <v>22</v>
      </c>
      <c r="J29" s="115">
        <f>$C$4+$E$4</f>
        <v>7</v>
      </c>
      <c r="K29" s="123"/>
      <c r="L29" s="91"/>
      <c r="M29" s="123"/>
      <c r="N29" s="91"/>
      <c r="O29" s="146">
        <f t="shared" si="1"/>
        <v>154</v>
      </c>
      <c r="Q29" s="7"/>
    </row>
    <row r="30" spans="2:30" ht="18" thickBot="1">
      <c r="B30" s="866"/>
      <c r="C30" s="917" t="s">
        <v>248</v>
      </c>
      <c r="D30" s="918"/>
      <c r="E30" s="919"/>
      <c r="F30" s="72"/>
      <c r="G30" s="100"/>
      <c r="H30" s="111"/>
      <c r="I30" s="124"/>
      <c r="J30" s="126"/>
      <c r="K30" s="129"/>
      <c r="L30" s="137"/>
      <c r="M30" s="124"/>
      <c r="N30" s="137"/>
      <c r="O30" s="147">
        <f t="shared" si="1"/>
        <v>0</v>
      </c>
      <c r="Q30" s="7"/>
    </row>
    <row r="31" spans="2:30">
      <c r="B31" s="864" t="str">
        <f>TEXT(C5+3,"m월 d일 aaaa")</f>
        <v>3월 19일 수요일</v>
      </c>
      <c r="C31" s="896" t="s">
        <v>330</v>
      </c>
      <c r="D31" s="897"/>
      <c r="E31" s="898"/>
      <c r="F31" s="72"/>
      <c r="G31" s="98"/>
      <c r="H31" s="109"/>
      <c r="I31" s="119"/>
      <c r="J31" s="109"/>
      <c r="K31" s="128">
        <f>IF(C4+E4&lt;8,'가이드&amp;차량'!C47, IF(C4+E4&lt;=14,'가이드&amp;차량'!C39,'가이드&amp;차량'!C23))</f>
        <v>430</v>
      </c>
      <c r="L31" s="90">
        <f>L10</f>
        <v>1</v>
      </c>
      <c r="M31" s="128">
        <f>'가이드&amp;차량'!C6+'가이드&amp;차량'!C3</f>
        <v>525</v>
      </c>
      <c r="N31" s="90">
        <f>N10</f>
        <v>1</v>
      </c>
      <c r="O31" s="143">
        <f t="shared" si="1"/>
        <v>955</v>
      </c>
      <c r="Q31" s="159" t="s">
        <v>278</v>
      </c>
    </row>
    <row r="32" spans="2:30">
      <c r="B32" s="888"/>
      <c r="C32" s="882" t="s">
        <v>331</v>
      </c>
      <c r="D32" s="883"/>
      <c r="E32" s="884"/>
      <c r="F32" s="72"/>
      <c r="G32" s="166"/>
      <c r="H32" s="115"/>
      <c r="I32" s="123"/>
      <c r="J32" s="110"/>
      <c r="K32" s="123"/>
      <c r="L32" s="91"/>
      <c r="M32" s="123"/>
      <c r="N32" s="91"/>
      <c r="O32" s="144">
        <f t="shared" si="1"/>
        <v>0</v>
      </c>
    </row>
    <row r="33" spans="2:21">
      <c r="B33" s="888"/>
      <c r="C33" s="876" t="s">
        <v>549</v>
      </c>
      <c r="D33" s="877"/>
      <c r="E33" s="878"/>
      <c r="F33" s="72"/>
      <c r="G33" s="99"/>
      <c r="H33" s="110"/>
      <c r="I33" s="122">
        <f>식사!E7</f>
        <v>18</v>
      </c>
      <c r="J33" s="115">
        <f>$C$4+$E$4</f>
        <v>7</v>
      </c>
      <c r="K33" s="120"/>
      <c r="L33" s="91"/>
      <c r="M33" s="120"/>
      <c r="N33" s="91"/>
      <c r="O33" s="144">
        <f t="shared" si="1"/>
        <v>126</v>
      </c>
    </row>
    <row r="34" spans="2:21">
      <c r="B34" s="888"/>
      <c r="C34" s="882" t="s">
        <v>335</v>
      </c>
      <c r="D34" s="883"/>
      <c r="E34" s="884"/>
      <c r="F34" s="72"/>
      <c r="G34" s="103">
        <f>일정!E10+일정!E20+일정!E19</f>
        <v>76.3</v>
      </c>
      <c r="H34" s="115">
        <f>$C$4+$E$4</f>
        <v>7</v>
      </c>
      <c r="I34" s="123"/>
      <c r="J34" s="110"/>
      <c r="K34" s="123"/>
      <c r="L34" s="91"/>
      <c r="M34" s="123"/>
      <c r="N34" s="91"/>
      <c r="O34" s="144">
        <f t="shared" si="1"/>
        <v>534.1</v>
      </c>
    </row>
    <row r="35" spans="2:21">
      <c r="B35" s="888"/>
      <c r="C35" s="907" t="s">
        <v>550</v>
      </c>
      <c r="D35" s="908"/>
      <c r="E35" s="909"/>
      <c r="F35" s="72"/>
      <c r="G35" s="206"/>
      <c r="H35" s="164"/>
      <c r="I35" s="123"/>
      <c r="J35" s="110"/>
      <c r="K35" s="161"/>
      <c r="L35" s="138"/>
      <c r="M35" s="161"/>
      <c r="N35" s="138"/>
      <c r="O35" s="148">
        <f t="shared" si="1"/>
        <v>0</v>
      </c>
    </row>
    <row r="36" spans="2:21">
      <c r="B36" s="888"/>
      <c r="C36" s="902" t="s">
        <v>298</v>
      </c>
      <c r="D36" s="903"/>
      <c r="E36" s="904"/>
      <c r="F36" s="72"/>
      <c r="G36" s="104"/>
      <c r="H36" s="116"/>
      <c r="I36" s="122">
        <f>식사!E3</f>
        <v>25</v>
      </c>
      <c r="J36" s="115">
        <f>$C$4+$E$4</f>
        <v>7</v>
      </c>
      <c r="K36" s="130"/>
      <c r="L36" s="138"/>
      <c r="M36" s="130"/>
      <c r="N36" s="138"/>
      <c r="O36" s="148">
        <f t="shared" si="1"/>
        <v>175</v>
      </c>
    </row>
    <row r="37" spans="2:21" ht="18" thickBot="1">
      <c r="B37" s="866"/>
      <c r="C37" s="1067" t="s">
        <v>284</v>
      </c>
      <c r="D37" s="935"/>
      <c r="E37" s="1068"/>
      <c r="F37" s="34"/>
      <c r="G37" s="105"/>
      <c r="H37" s="117"/>
      <c r="I37" s="124"/>
      <c r="J37" s="126"/>
      <c r="K37" s="131"/>
      <c r="L37" s="139"/>
      <c r="M37" s="131"/>
      <c r="N37" s="139"/>
      <c r="O37" s="149">
        <f t="shared" si="1"/>
        <v>0</v>
      </c>
      <c r="P37" s="34"/>
      <c r="Q37" s="34"/>
      <c r="R37" s="34"/>
      <c r="S37" s="34"/>
      <c r="T37" s="34"/>
      <c r="U37" s="34"/>
    </row>
    <row r="38" spans="2:21">
      <c r="B38" s="72"/>
      <c r="C38" s="72"/>
      <c r="D38" s="72"/>
      <c r="E38" s="72"/>
      <c r="F38" s="72"/>
      <c r="G38" s="72"/>
      <c r="H38" s="72"/>
      <c r="K38" s="132">
        <f>SUM(K10:K37)</f>
        <v>1410</v>
      </c>
      <c r="L38" s="72"/>
      <c r="M38" s="132">
        <f>SUM(M10:M37)</f>
        <v>1425</v>
      </c>
      <c r="N38" s="72"/>
      <c r="O38" s="150"/>
      <c r="P38" s="156"/>
    </row>
    <row r="39" spans="2:21">
      <c r="O39" s="150"/>
    </row>
    <row r="40" spans="2:21">
      <c r="B40" s="872" t="s">
        <v>246</v>
      </c>
      <c r="C40" s="873" t="s">
        <v>288</v>
      </c>
      <c r="D40" s="874"/>
      <c r="E40" s="875"/>
      <c r="F40" s="34"/>
      <c r="G40" s="862">
        <f>$C$4+$E$4</f>
        <v>7</v>
      </c>
      <c r="H40" s="863"/>
      <c r="I40" s="854">
        <v>3</v>
      </c>
      <c r="J40" s="854"/>
      <c r="K40" s="855">
        <v>1</v>
      </c>
      <c r="L40" s="855"/>
      <c r="M40" s="855"/>
      <c r="N40" s="855"/>
      <c r="O40" s="151">
        <f>G40*I40*K40</f>
        <v>21</v>
      </c>
    </row>
    <row r="41" spans="2:21">
      <c r="B41" s="827"/>
      <c r="C41" s="856" t="s">
        <v>451</v>
      </c>
      <c r="D41" s="857"/>
      <c r="E41" s="858"/>
      <c r="F41" s="34"/>
      <c r="G41" s="859">
        <v>50</v>
      </c>
      <c r="H41" s="860"/>
      <c r="I41" s="860"/>
      <c r="J41" s="860"/>
      <c r="K41" s="861">
        <f>C4</f>
        <v>7</v>
      </c>
      <c r="L41" s="861"/>
      <c r="M41" s="861"/>
      <c r="N41" s="861"/>
      <c r="O41" s="152">
        <f>G41*K41</f>
        <v>350</v>
      </c>
    </row>
    <row r="42" spans="2:21" ht="18" thickBot="1">
      <c r="O42" s="150"/>
    </row>
    <row r="43" spans="2:21" ht="16.5" customHeight="1">
      <c r="B43" s="961" t="s">
        <v>337</v>
      </c>
      <c r="C43" s="1021" t="s">
        <v>251</v>
      </c>
      <c r="D43" s="1022"/>
      <c r="E43" s="1023"/>
      <c r="F43" s="165"/>
      <c r="G43" s="967"/>
      <c r="H43" s="1024"/>
      <c r="I43" s="969">
        <f>일정!G24</f>
        <v>30</v>
      </c>
      <c r="J43" s="970"/>
      <c r="K43" s="1044">
        <f>C4</f>
        <v>7</v>
      </c>
      <c r="L43" s="1044"/>
      <c r="M43" s="1044"/>
      <c r="N43" s="1045"/>
      <c r="O43" s="153">
        <f>G43*I43*K43</f>
        <v>0</v>
      </c>
    </row>
    <row r="44" spans="2:21">
      <c r="B44" s="1019"/>
      <c r="C44" s="1025" t="s">
        <v>250</v>
      </c>
      <c r="D44" s="1026"/>
      <c r="E44" s="1027"/>
      <c r="F44" s="165"/>
      <c r="G44" s="977"/>
      <c r="H44" s="1028"/>
      <c r="I44" s="979">
        <f>일정!G30</f>
        <v>28</v>
      </c>
      <c r="J44" s="980"/>
      <c r="K44" s="1046">
        <f>C4</f>
        <v>7</v>
      </c>
      <c r="L44" s="1047"/>
      <c r="M44" s="1047"/>
      <c r="N44" s="1048"/>
      <c r="O44" s="154">
        <f>G44*I44*K44</f>
        <v>0</v>
      </c>
    </row>
    <row r="45" spans="2:21">
      <c r="B45" s="1019"/>
      <c r="C45" s="1025" t="s">
        <v>249</v>
      </c>
      <c r="D45" s="1026"/>
      <c r="E45" s="1027"/>
      <c r="F45" s="165"/>
      <c r="G45" s="977"/>
      <c r="H45" s="1028"/>
      <c r="I45" s="979">
        <f>일정!G35</f>
        <v>36</v>
      </c>
      <c r="J45" s="980"/>
      <c r="K45" s="1046">
        <f>C4</f>
        <v>7</v>
      </c>
      <c r="L45" s="1047"/>
      <c r="M45" s="1047"/>
      <c r="N45" s="1048"/>
      <c r="O45" s="154">
        <f>G45*I45*K45</f>
        <v>0</v>
      </c>
    </row>
    <row r="46" spans="2:21">
      <c r="B46" s="1019"/>
      <c r="C46" s="1025" t="s">
        <v>336</v>
      </c>
      <c r="D46" s="1026"/>
      <c r="E46" s="1027"/>
      <c r="F46" s="165"/>
      <c r="G46" s="977"/>
      <c r="H46" s="1028"/>
      <c r="I46" s="979">
        <f>일정!G13</f>
        <v>19</v>
      </c>
      <c r="J46" s="980"/>
      <c r="K46" s="1046">
        <f>C4</f>
        <v>7</v>
      </c>
      <c r="L46" s="1047"/>
      <c r="M46" s="1047"/>
      <c r="N46" s="1048"/>
      <c r="O46" s="154">
        <f>G46*I46*K46</f>
        <v>0</v>
      </c>
    </row>
    <row r="47" spans="2:21" ht="18" thickBot="1">
      <c r="B47" s="1020"/>
      <c r="C47" s="1030" t="s">
        <v>252</v>
      </c>
      <c r="D47" s="1031"/>
      <c r="E47" s="1032"/>
      <c r="F47" s="165"/>
      <c r="G47" s="989"/>
      <c r="H47" s="1033"/>
      <c r="I47" s="991">
        <f>일정!G29</f>
        <v>40</v>
      </c>
      <c r="J47" s="992"/>
      <c r="K47" s="1049">
        <f>C4</f>
        <v>7</v>
      </c>
      <c r="L47" s="1050"/>
      <c r="M47" s="1050"/>
      <c r="N47" s="1051"/>
      <c r="O47" s="215">
        <f>G47*I47*K47</f>
        <v>0</v>
      </c>
    </row>
  </sheetData>
  <mergeCells count="81">
    <mergeCell ref="K45:N45"/>
    <mergeCell ref="C46:E46"/>
    <mergeCell ref="G46:H46"/>
    <mergeCell ref="I46:J46"/>
    <mergeCell ref="K46:N46"/>
    <mergeCell ref="B43:B47"/>
    <mergeCell ref="C43:E43"/>
    <mergeCell ref="G43:H43"/>
    <mergeCell ref="I43:J43"/>
    <mergeCell ref="K43:N43"/>
    <mergeCell ref="C44:E44"/>
    <mergeCell ref="G44:H44"/>
    <mergeCell ref="I44:J44"/>
    <mergeCell ref="K44:N44"/>
    <mergeCell ref="C45:E45"/>
    <mergeCell ref="C47:E47"/>
    <mergeCell ref="G47:H47"/>
    <mergeCell ref="I47:J47"/>
    <mergeCell ref="K47:N47"/>
    <mergeCell ref="G45:H45"/>
    <mergeCell ref="I45:J45"/>
    <mergeCell ref="B40:B41"/>
    <mergeCell ref="C40:E40"/>
    <mergeCell ref="G40:H40"/>
    <mergeCell ref="I40:J40"/>
    <mergeCell ref="K40:N40"/>
    <mergeCell ref="C41:E41"/>
    <mergeCell ref="G41:J41"/>
    <mergeCell ref="K41:N41"/>
    <mergeCell ref="B31:B37"/>
    <mergeCell ref="C31:E31"/>
    <mergeCell ref="C32:E32"/>
    <mergeCell ref="C33:E33"/>
    <mergeCell ref="C34:E34"/>
    <mergeCell ref="C35:E35"/>
    <mergeCell ref="C36:E36"/>
    <mergeCell ref="C37:E37"/>
    <mergeCell ref="B24:B30"/>
    <mergeCell ref="C24:E24"/>
    <mergeCell ref="C25:E25"/>
    <mergeCell ref="C26:E26"/>
    <mergeCell ref="C27:E27"/>
    <mergeCell ref="C28:E28"/>
    <mergeCell ref="C29:E29"/>
    <mergeCell ref="C30:E30"/>
    <mergeCell ref="B17:B23"/>
    <mergeCell ref="C17:E17"/>
    <mergeCell ref="C18:E18"/>
    <mergeCell ref="C19:E19"/>
    <mergeCell ref="C20:E20"/>
    <mergeCell ref="C22:E22"/>
    <mergeCell ref="C23:E23"/>
    <mergeCell ref="C21:E21"/>
    <mergeCell ref="H7:K7"/>
    <mergeCell ref="M8:N8"/>
    <mergeCell ref="O8:O9"/>
    <mergeCell ref="B10:B16"/>
    <mergeCell ref="C10:E10"/>
    <mergeCell ref="C11:E11"/>
    <mergeCell ref="C16:E16"/>
    <mergeCell ref="G8:H8"/>
    <mergeCell ref="I8:J8"/>
    <mergeCell ref="K8:L8"/>
    <mergeCell ref="C12:E12"/>
    <mergeCell ref="C13:E13"/>
    <mergeCell ref="C14:E14"/>
    <mergeCell ref="C15:E15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1E7B0177-64DD-4C07-B87D-97C48F1E3EF9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D693-BF42-4639-973F-A1C38C43AE34}">
  <dimension ref="A1:AD43"/>
  <sheetViews>
    <sheetView workbookViewId="0">
      <selection activeCell="Y33" sqref="Y33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7" max="27" width="2.1640625" customWidth="1"/>
    <col min="28" max="28" width="19.1640625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8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988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M Hotel City Centre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210</v>
      </c>
      <c r="M2" s="140">
        <f>$I$1+$K$1</f>
        <v>8</v>
      </c>
      <c r="N2" s="106">
        <f>L2*M2</f>
        <v>1680</v>
      </c>
      <c r="O2" s="929">
        <f>SUM(N2:N6)</f>
        <v>5040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924</v>
      </c>
      <c r="AC2" s="10">
        <v>210</v>
      </c>
      <c r="AD2" s="10">
        <v>210</v>
      </c>
    </row>
    <row r="3" spans="1:30" ht="28">
      <c r="B3" s="74" t="s">
        <v>239</v>
      </c>
      <c r="C3" s="938" t="s">
        <v>1048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M Hotel City Centre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210</v>
      </c>
      <c r="M3" s="140">
        <f>$I$1+$K$1</f>
        <v>8</v>
      </c>
      <c r="N3" s="106">
        <f>L3*M3</f>
        <v>1680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16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927" t="str">
        <f>J2</f>
        <v>M Hotel City Centre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210</v>
      </c>
      <c r="M4" s="141">
        <f>$I$1+$K$1</f>
        <v>8</v>
      </c>
      <c r="N4" s="106">
        <f>L4*M4</f>
        <v>1680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/>
      <c r="I5" s="926"/>
      <c r="J5" s="939"/>
      <c r="K5" s="940"/>
      <c r="L5" s="135"/>
      <c r="M5" s="140"/>
      <c r="N5" s="106"/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(SUM(O10:O43)+O2)/C4+R5+T6</f>
        <v>895.28750000000002</v>
      </c>
      <c r="D6" s="86" t="s">
        <v>254</v>
      </c>
      <c r="E6" s="94">
        <f>C6*$E$1</f>
        <v>984816.25</v>
      </c>
      <c r="F6" s="72"/>
      <c r="G6" s="922"/>
      <c r="H6" s="925"/>
      <c r="I6" s="926"/>
      <c r="J6" s="935"/>
      <c r="K6" s="935"/>
      <c r="L6" s="136"/>
      <c r="M6" s="89"/>
      <c r="N6" s="107"/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2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67" t="s">
        <v>947</v>
      </c>
      <c r="D10" s="916"/>
      <c r="E10" s="499">
        <f>상품리스트!F28</f>
        <v>0.98611111111111116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280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430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4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630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1005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865"/>
      <c r="C14" s="907" t="s">
        <v>322</v>
      </c>
      <c r="D14" s="900"/>
      <c r="E14" s="901"/>
      <c r="F14" s="72"/>
      <c r="G14" s="102"/>
      <c r="H14" s="115"/>
      <c r="I14" s="120"/>
      <c r="J14" s="110"/>
      <c r="K14" s="123"/>
      <c r="L14" s="91"/>
      <c r="M14" s="123"/>
      <c r="N14" s="91"/>
      <c r="O14" s="144">
        <f t="shared" si="0"/>
        <v>0</v>
      </c>
      <c r="Q14" s="7"/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865"/>
      <c r="C15" s="876" t="s">
        <v>632</v>
      </c>
      <c r="D15" s="877"/>
      <c r="E15" s="878"/>
      <c r="F15" s="72"/>
      <c r="G15" s="99"/>
      <c r="H15" s="110"/>
      <c r="I15" s="122">
        <f>IF(C4+E4&lt;10,식사!E27,식사!E28)</f>
        <v>35</v>
      </c>
      <c r="J15" s="115">
        <f>$C$4+$E$4</f>
        <v>16</v>
      </c>
      <c r="K15" s="120"/>
      <c r="L15" s="91"/>
      <c r="M15" s="120"/>
      <c r="N15" s="91"/>
      <c r="O15" s="144">
        <f t="shared" si="0"/>
        <v>560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922</v>
      </c>
      <c r="AC15" s="10">
        <v>185</v>
      </c>
      <c r="AD15" s="10">
        <v>185</v>
      </c>
    </row>
    <row r="16" spans="1:30">
      <c r="B16" s="865"/>
      <c r="C16" s="879" t="s">
        <v>783</v>
      </c>
      <c r="D16" s="891"/>
      <c r="E16" s="892"/>
      <c r="F16" s="72"/>
      <c r="G16" s="101">
        <f>일정!E38</f>
        <v>23.5</v>
      </c>
      <c r="H16" s="115">
        <f>$C$4+$E$4</f>
        <v>16</v>
      </c>
      <c r="I16" s="123"/>
      <c r="J16" s="110"/>
      <c r="K16" s="123"/>
      <c r="L16" s="91"/>
      <c r="M16" s="123"/>
      <c r="N16" s="91"/>
      <c r="O16" s="144">
        <f t="shared" si="0"/>
        <v>376</v>
      </c>
      <c r="Q16" s="7"/>
      <c r="AB16" s="496" t="s">
        <v>923</v>
      </c>
      <c r="AC16" s="10">
        <v>185</v>
      </c>
      <c r="AD16" s="10">
        <v>185</v>
      </c>
    </row>
    <row r="17" spans="2:30">
      <c r="B17" s="865"/>
      <c r="C17" s="890" t="s">
        <v>338</v>
      </c>
      <c r="D17" s="891"/>
      <c r="E17" s="892"/>
      <c r="F17" s="72"/>
      <c r="G17" s="102"/>
      <c r="H17" s="115"/>
      <c r="I17" s="123"/>
      <c r="J17" s="110"/>
      <c r="K17" s="123"/>
      <c r="L17" s="91"/>
      <c r="M17" s="123"/>
      <c r="N17" s="91"/>
      <c r="O17" s="144">
        <f t="shared" si="0"/>
        <v>0</v>
      </c>
      <c r="Q17" s="7"/>
      <c r="AB17" s="496" t="s">
        <v>931</v>
      </c>
      <c r="AC17" s="10">
        <v>155</v>
      </c>
      <c r="AD17" s="10">
        <v>155</v>
      </c>
    </row>
    <row r="18" spans="2:30">
      <c r="B18" s="865"/>
      <c r="C18" s="879" t="str">
        <f>일정!C27</f>
        <v>가든스바이더베이 2돔 ( 쥬랴기 )</v>
      </c>
      <c r="D18" s="891"/>
      <c r="E18" s="892"/>
      <c r="F18" s="72"/>
      <c r="G18" s="101">
        <f>일정!E27</f>
        <v>28.3</v>
      </c>
      <c r="H18" s="115">
        <f>$C$4+$E$4</f>
        <v>16</v>
      </c>
      <c r="I18" s="123"/>
      <c r="J18" s="110"/>
      <c r="K18" s="123"/>
      <c r="L18" s="91"/>
      <c r="M18" s="123"/>
      <c r="N18" s="91"/>
      <c r="O18" s="144">
        <f t="shared" si="0"/>
        <v>452.8</v>
      </c>
      <c r="Q18" s="7"/>
      <c r="AB18" s="497" t="s">
        <v>928</v>
      </c>
      <c r="AC18" s="10">
        <v>280</v>
      </c>
      <c r="AD18" s="10">
        <v>280</v>
      </c>
    </row>
    <row r="19" spans="2:30">
      <c r="B19" s="865"/>
      <c r="C19" s="876" t="s">
        <v>1053</v>
      </c>
      <c r="D19" s="877"/>
      <c r="E19" s="878"/>
      <c r="F19" s="72"/>
      <c r="G19" s="123"/>
      <c r="H19" s="110"/>
      <c r="I19" s="122">
        <f>식사!E7</f>
        <v>18</v>
      </c>
      <c r="J19" s="115">
        <f>$C$4+$E$4</f>
        <v>16</v>
      </c>
      <c r="K19" s="120"/>
      <c r="L19" s="91"/>
      <c r="M19" s="120"/>
      <c r="N19" s="91"/>
      <c r="O19" s="144">
        <f t="shared" si="0"/>
        <v>288</v>
      </c>
      <c r="Q19" s="7"/>
      <c r="AB19" s="497" t="s">
        <v>442</v>
      </c>
      <c r="AC19" s="10">
        <v>366</v>
      </c>
      <c r="AD19" s="10">
        <v>366</v>
      </c>
    </row>
    <row r="20" spans="2:30">
      <c r="B20" s="865"/>
      <c r="C20" s="941" t="s">
        <v>325</v>
      </c>
      <c r="D20" s="911"/>
      <c r="E20" s="912"/>
      <c r="F20" s="72"/>
      <c r="G20" s="205"/>
      <c r="H20" s="115"/>
      <c r="I20" s="102"/>
      <c r="J20" s="115"/>
      <c r="K20" s="120"/>
      <c r="L20" s="91"/>
      <c r="M20" s="120"/>
      <c r="N20" s="91"/>
      <c r="O20" s="144">
        <f t="shared" si="0"/>
        <v>0</v>
      </c>
      <c r="Q20" s="7"/>
    </row>
    <row r="21" spans="2:30" ht="18" thickBot="1">
      <c r="B21" s="906"/>
      <c r="C21" s="893" t="s">
        <v>1005</v>
      </c>
      <c r="D21" s="894"/>
      <c r="E21" s="895"/>
      <c r="F21" s="72"/>
      <c r="G21" s="102"/>
      <c r="H21" s="115"/>
      <c r="I21" s="123"/>
      <c r="J21" s="110"/>
      <c r="K21" s="123"/>
      <c r="L21" s="91"/>
      <c r="M21" s="123"/>
      <c r="N21" s="91"/>
      <c r="O21" s="144">
        <f t="shared" si="0"/>
        <v>0</v>
      </c>
      <c r="Q21" s="7"/>
    </row>
    <row r="22" spans="2:30">
      <c r="B22" s="864" t="str">
        <f>TEXT(C5+2,"m월 d일 aaaa")</f>
        <v>3월 18일 화요일</v>
      </c>
      <c r="C22" s="896" t="s">
        <v>240</v>
      </c>
      <c r="D22" s="897"/>
      <c r="E22" s="898"/>
      <c r="F22" s="72"/>
      <c r="G22" s="353"/>
      <c r="H22" s="109"/>
      <c r="I22" s="119"/>
      <c r="J22" s="109"/>
      <c r="K22" s="128">
        <f>IF(C4+E4&lt;8,'가이드&amp;차량'!C47, IF(C4+E4&lt;=14,'가이드&amp;차량'!C39,'가이드&amp;차량'!C23))</f>
        <v>630</v>
      </c>
      <c r="L22" s="90">
        <f>L10</f>
        <v>1</v>
      </c>
      <c r="M22" s="128">
        <f>'가이드&amp;차량'!C6</f>
        <v>375</v>
      </c>
      <c r="N22" s="90">
        <f>N10</f>
        <v>1</v>
      </c>
      <c r="O22" s="143">
        <f t="shared" si="0"/>
        <v>1005</v>
      </c>
      <c r="Q22" s="159" t="s">
        <v>277</v>
      </c>
    </row>
    <row r="23" spans="2:30">
      <c r="B23" s="888"/>
      <c r="C23" s="899" t="s">
        <v>329</v>
      </c>
      <c r="D23" s="883"/>
      <c r="E23" s="884"/>
      <c r="F23" s="72"/>
      <c r="G23" s="101">
        <f>일정!E40</f>
        <v>24.5</v>
      </c>
      <c r="H23" s="115">
        <f>$C$4+$E$4</f>
        <v>16</v>
      </c>
      <c r="I23" s="123"/>
      <c r="J23" s="110"/>
      <c r="K23" s="123"/>
      <c r="L23" s="91"/>
      <c r="M23" s="123"/>
      <c r="N23" s="91"/>
      <c r="O23" s="144">
        <f t="shared" si="0"/>
        <v>392</v>
      </c>
      <c r="Q23" s="7"/>
    </row>
    <row r="24" spans="2:30">
      <c r="B24" s="888"/>
      <c r="C24" s="902" t="s">
        <v>326</v>
      </c>
      <c r="D24" s="903"/>
      <c r="E24" s="904"/>
      <c r="F24" s="72"/>
      <c r="G24" s="123"/>
      <c r="H24" s="110"/>
      <c r="I24" s="122">
        <f>식사!E36</f>
        <v>20</v>
      </c>
      <c r="J24" s="115">
        <f>$C$4+$E$4</f>
        <v>16</v>
      </c>
      <c r="K24" s="123"/>
      <c r="L24" s="91"/>
      <c r="M24" s="102"/>
      <c r="N24" s="91"/>
      <c r="O24" s="146">
        <f t="shared" si="0"/>
        <v>320</v>
      </c>
      <c r="Q24" s="7"/>
    </row>
    <row r="25" spans="2:30">
      <c r="B25" s="888"/>
      <c r="C25" s="1016" t="s">
        <v>785</v>
      </c>
      <c r="D25" s="1017"/>
      <c r="E25" s="1018"/>
      <c r="F25" s="72"/>
      <c r="G25" s="102"/>
      <c r="H25" s="115"/>
      <c r="I25" s="102"/>
      <c r="J25" s="115"/>
      <c r="K25" s="123"/>
      <c r="L25" s="91"/>
      <c r="M25" s="102"/>
      <c r="N25" s="91"/>
      <c r="O25" s="146">
        <f t="shared" si="0"/>
        <v>0</v>
      </c>
      <c r="Q25" s="7"/>
    </row>
    <row r="26" spans="2:30">
      <c r="B26" s="888"/>
      <c r="C26" s="902" t="s">
        <v>328</v>
      </c>
      <c r="D26" s="903"/>
      <c r="E26" s="904"/>
      <c r="F26" s="72"/>
      <c r="G26" s="123"/>
      <c r="H26" s="110"/>
      <c r="I26" s="122">
        <v>20</v>
      </c>
      <c r="J26" s="115">
        <f>$C$4+$E$4</f>
        <v>16</v>
      </c>
      <c r="K26" s="123"/>
      <c r="L26" s="91"/>
      <c r="M26" s="123"/>
      <c r="N26" s="91"/>
      <c r="O26" s="146">
        <f t="shared" si="0"/>
        <v>320</v>
      </c>
      <c r="Q26" s="7"/>
    </row>
    <row r="27" spans="2:30" ht="18" thickBot="1">
      <c r="B27" s="866"/>
      <c r="C27" s="917" t="s">
        <v>248</v>
      </c>
      <c r="D27" s="918"/>
      <c r="E27" s="919"/>
      <c r="F27" s="72"/>
      <c r="G27" s="129"/>
      <c r="H27" s="111"/>
      <c r="I27" s="124"/>
      <c r="J27" s="126"/>
      <c r="K27" s="129"/>
      <c r="L27" s="137"/>
      <c r="M27" s="124"/>
      <c r="N27" s="137"/>
      <c r="O27" s="147">
        <f t="shared" si="0"/>
        <v>0</v>
      </c>
      <c r="Q27" s="7"/>
    </row>
    <row r="28" spans="2:30">
      <c r="B28" s="864" t="str">
        <f>TEXT(C5+3,"m월 d일 aaaa")</f>
        <v>3월 19일 수요일</v>
      </c>
      <c r="C28" s="896" t="s">
        <v>330</v>
      </c>
      <c r="D28" s="897"/>
      <c r="E28" s="898"/>
      <c r="F28" s="72"/>
      <c r="G28" s="353"/>
      <c r="H28" s="109"/>
      <c r="I28" s="119"/>
      <c r="J28" s="109"/>
      <c r="K28" s="128">
        <f>IF(C4+E4&lt;8,'가이드&amp;차량'!C47, IF(C4+E4&lt;=14,'가이드&amp;차량'!C39,'가이드&amp;차량'!C23))</f>
        <v>630</v>
      </c>
      <c r="L28" s="90">
        <f>L10</f>
        <v>1</v>
      </c>
      <c r="M28" s="128">
        <f>'가이드&amp;차량'!C6+'가이드&amp;차량'!C3</f>
        <v>525</v>
      </c>
      <c r="N28" s="90">
        <f>N10</f>
        <v>1</v>
      </c>
      <c r="O28" s="143">
        <f t="shared" si="0"/>
        <v>1155</v>
      </c>
      <c r="Q28" s="159" t="s">
        <v>278</v>
      </c>
    </row>
    <row r="29" spans="2:30">
      <c r="B29" s="888"/>
      <c r="C29" s="902" t="s">
        <v>559</v>
      </c>
      <c r="D29" s="903"/>
      <c r="E29" s="904"/>
      <c r="F29" s="72"/>
      <c r="G29" s="123"/>
      <c r="H29" s="110"/>
      <c r="I29" s="122">
        <f>식사!E19</f>
        <v>17</v>
      </c>
      <c r="J29" s="115">
        <f>$C$4+$E$4</f>
        <v>16</v>
      </c>
      <c r="K29" s="120"/>
      <c r="L29" s="91"/>
      <c r="M29" s="120"/>
      <c r="N29" s="91"/>
      <c r="O29" s="144">
        <f t="shared" si="0"/>
        <v>272</v>
      </c>
    </row>
    <row r="30" spans="2:30">
      <c r="B30" s="888"/>
      <c r="C30" s="882" t="s">
        <v>813</v>
      </c>
      <c r="D30" s="883"/>
      <c r="E30" s="884"/>
      <c r="F30" s="72"/>
      <c r="G30" s="101">
        <f>일정!E10+일정!E19+일정!E20</f>
        <v>76.3</v>
      </c>
      <c r="H30" s="115">
        <f>$C$4+$E$4</f>
        <v>16</v>
      </c>
      <c r="I30" s="123"/>
      <c r="J30" s="110"/>
      <c r="K30" s="123"/>
      <c r="L30" s="91"/>
      <c r="M30" s="123"/>
      <c r="N30" s="91"/>
      <c r="O30" s="144">
        <f t="shared" si="0"/>
        <v>1220.8</v>
      </c>
    </row>
    <row r="31" spans="2:30">
      <c r="B31" s="888"/>
      <c r="C31" s="1013" t="s">
        <v>333</v>
      </c>
      <c r="D31" s="1014"/>
      <c r="E31" s="1015"/>
      <c r="F31" s="72"/>
      <c r="G31" s="206"/>
      <c r="H31" s="164"/>
      <c r="I31" s="122">
        <f>식사!E33</f>
        <v>10</v>
      </c>
      <c r="J31" s="115">
        <f>$C$4+$E$4</f>
        <v>16</v>
      </c>
      <c r="K31" s="161"/>
      <c r="L31" s="138"/>
      <c r="M31" s="161"/>
      <c r="N31" s="138"/>
      <c r="O31" s="148">
        <f t="shared" si="0"/>
        <v>160</v>
      </c>
    </row>
    <row r="32" spans="2:30">
      <c r="B32" s="888"/>
      <c r="C32" s="907" t="s">
        <v>786</v>
      </c>
      <c r="D32" s="908"/>
      <c r="E32" s="909"/>
      <c r="F32" s="72"/>
      <c r="G32" s="206"/>
      <c r="H32" s="164"/>
      <c r="I32" s="123"/>
      <c r="J32" s="110"/>
      <c r="K32" s="161"/>
      <c r="L32" s="138"/>
      <c r="M32" s="161"/>
      <c r="N32" s="138"/>
      <c r="O32" s="148">
        <f t="shared" si="0"/>
        <v>0</v>
      </c>
    </row>
    <row r="33" spans="2:21">
      <c r="B33" s="888"/>
      <c r="C33" s="902" t="s">
        <v>298</v>
      </c>
      <c r="D33" s="903"/>
      <c r="E33" s="904"/>
      <c r="F33" s="72"/>
      <c r="G33" s="104"/>
      <c r="H33" s="116"/>
      <c r="I33" s="122">
        <f>식사!E3</f>
        <v>25</v>
      </c>
      <c r="J33" s="115">
        <f>$C$4+$E$4</f>
        <v>16</v>
      </c>
      <c r="K33" s="130"/>
      <c r="L33" s="138"/>
      <c r="M33" s="130"/>
      <c r="N33" s="138"/>
      <c r="O33" s="148">
        <f t="shared" si="0"/>
        <v>400</v>
      </c>
    </row>
    <row r="34" spans="2:21" ht="18" thickBot="1">
      <c r="B34" s="866"/>
      <c r="C34" s="870" t="s">
        <v>596</v>
      </c>
      <c r="D34" s="871"/>
      <c r="E34" s="500">
        <f>상품리스트!I28</f>
        <v>4.8611111111111112E-2</v>
      </c>
      <c r="F34" s="34"/>
      <c r="G34" s="105"/>
      <c r="H34" s="117"/>
      <c r="I34" s="124"/>
      <c r="J34" s="126"/>
      <c r="K34" s="131"/>
      <c r="L34" s="139"/>
      <c r="M34" s="131"/>
      <c r="N34" s="139"/>
      <c r="O34" s="149">
        <f t="shared" si="0"/>
        <v>0</v>
      </c>
      <c r="P34" s="34"/>
      <c r="Q34" s="34"/>
      <c r="R34" s="34"/>
      <c r="S34" s="34"/>
      <c r="T34" s="34"/>
      <c r="U34" s="34"/>
    </row>
    <row r="35" spans="2:21">
      <c r="B35" s="72"/>
      <c r="C35" s="72"/>
      <c r="D35" s="72"/>
      <c r="E35" s="72"/>
      <c r="F35" s="72"/>
      <c r="G35" s="72"/>
      <c r="H35" s="72"/>
      <c r="K35" s="132">
        <f>SUM(K10:K34)</f>
        <v>2170</v>
      </c>
      <c r="L35" s="72"/>
      <c r="M35" s="132">
        <f>SUM(M10:M34)</f>
        <v>1425</v>
      </c>
      <c r="N35" s="72"/>
      <c r="O35" s="150"/>
      <c r="P35" s="156"/>
    </row>
    <row r="36" spans="2:21" ht="18" thickBot="1">
      <c r="O36" s="150"/>
    </row>
    <row r="37" spans="2:21">
      <c r="B37" s="993" t="s">
        <v>246</v>
      </c>
      <c r="C37" s="995" t="s">
        <v>288</v>
      </c>
      <c r="D37" s="996"/>
      <c r="E37" s="997"/>
      <c r="F37" s="34"/>
      <c r="G37" s="998">
        <f>$C$4+$E$4</f>
        <v>16</v>
      </c>
      <c r="H37" s="999"/>
      <c r="I37" s="1000">
        <v>3</v>
      </c>
      <c r="J37" s="1001"/>
      <c r="K37" s="1002">
        <v>1</v>
      </c>
      <c r="L37" s="1003"/>
      <c r="M37" s="1003"/>
      <c r="N37" s="830"/>
      <c r="O37" s="151">
        <f>G37*I37*K37</f>
        <v>48</v>
      </c>
    </row>
    <row r="38" spans="2:21" ht="18" thickBot="1">
      <c r="B38" s="994"/>
      <c r="C38" s="1004" t="s">
        <v>451</v>
      </c>
      <c r="D38" s="1005"/>
      <c r="E38" s="1006"/>
      <c r="F38" s="34"/>
      <c r="G38" s="1007">
        <v>50</v>
      </c>
      <c r="H38" s="1008"/>
      <c r="I38" s="1008"/>
      <c r="J38" s="1009"/>
      <c r="K38" s="1010">
        <f>C4</f>
        <v>16</v>
      </c>
      <c r="L38" s="1011"/>
      <c r="M38" s="1011"/>
      <c r="N38" s="1012"/>
      <c r="O38" s="152">
        <f>G38*K38</f>
        <v>800</v>
      </c>
    </row>
    <row r="39" spans="2:21" ht="18" thickBot="1">
      <c r="O39" s="150"/>
    </row>
    <row r="40" spans="2:21">
      <c r="B40" s="961" t="s">
        <v>337</v>
      </c>
      <c r="C40" s="1021" t="s">
        <v>251</v>
      </c>
      <c r="D40" s="1022"/>
      <c r="E40" s="1023"/>
      <c r="F40" s="165"/>
      <c r="G40" s="967"/>
      <c r="H40" s="1024"/>
      <c r="I40" s="969">
        <f>일정!G24</f>
        <v>30</v>
      </c>
      <c r="J40" s="970"/>
      <c r="K40" s="972">
        <f>C4</f>
        <v>16</v>
      </c>
      <c r="L40" s="972"/>
      <c r="M40" s="972"/>
      <c r="N40" s="973"/>
      <c r="O40" s="153">
        <f>G40*I40*K40</f>
        <v>0</v>
      </c>
    </row>
    <row r="41" spans="2:21">
      <c r="B41" s="1019"/>
      <c r="C41" s="1025" t="s">
        <v>250</v>
      </c>
      <c r="D41" s="1026"/>
      <c r="E41" s="1027"/>
      <c r="F41" s="165"/>
      <c r="G41" s="977">
        <v>0</v>
      </c>
      <c r="H41" s="1028"/>
      <c r="I41" s="979">
        <f>일정!G30</f>
        <v>28</v>
      </c>
      <c r="J41" s="980"/>
      <c r="K41" s="982">
        <f>C4</f>
        <v>16</v>
      </c>
      <c r="L41" s="982"/>
      <c r="M41" s="982"/>
      <c r="N41" s="983"/>
      <c r="O41" s="154">
        <f>G41*I41*K41</f>
        <v>0</v>
      </c>
    </row>
    <row r="42" spans="2:21">
      <c r="B42" s="1019"/>
      <c r="C42" s="1025" t="s">
        <v>249</v>
      </c>
      <c r="D42" s="1026"/>
      <c r="E42" s="1027"/>
      <c r="F42" s="165"/>
      <c r="G42" s="984">
        <v>0</v>
      </c>
      <c r="H42" s="1029"/>
      <c r="I42" s="979">
        <f>일정!G35</f>
        <v>36</v>
      </c>
      <c r="J42" s="980"/>
      <c r="K42" s="982">
        <f>C4</f>
        <v>16</v>
      </c>
      <c r="L42" s="982"/>
      <c r="M42" s="982"/>
      <c r="N42" s="983"/>
      <c r="O42" s="154">
        <f>G42*I42*K42</f>
        <v>0</v>
      </c>
    </row>
    <row r="43" spans="2:21" ht="18" thickBot="1">
      <c r="B43" s="1020"/>
      <c r="C43" s="1030" t="s">
        <v>252</v>
      </c>
      <c r="D43" s="1031"/>
      <c r="E43" s="1032"/>
      <c r="F43" s="165"/>
      <c r="G43" s="989"/>
      <c r="H43" s="1033"/>
      <c r="I43" s="991">
        <f>일정!G29</f>
        <v>40</v>
      </c>
      <c r="J43" s="992"/>
      <c r="K43" s="959">
        <f>C4</f>
        <v>16</v>
      </c>
      <c r="L43" s="959"/>
      <c r="M43" s="959"/>
      <c r="N43" s="960"/>
      <c r="O43" s="215">
        <f>G43*I43*K43</f>
        <v>0</v>
      </c>
    </row>
  </sheetData>
  <mergeCells count="74">
    <mergeCell ref="K43:N43"/>
    <mergeCell ref="B40:B43"/>
    <mergeCell ref="C40:E40"/>
    <mergeCell ref="G40:H40"/>
    <mergeCell ref="I40:J40"/>
    <mergeCell ref="K40:N40"/>
    <mergeCell ref="C41:E41"/>
    <mergeCell ref="G41:H41"/>
    <mergeCell ref="I41:J41"/>
    <mergeCell ref="K41:N41"/>
    <mergeCell ref="C42:E42"/>
    <mergeCell ref="G42:H42"/>
    <mergeCell ref="I42:J42"/>
    <mergeCell ref="K42:N42"/>
    <mergeCell ref="C43:E43"/>
    <mergeCell ref="G43:H43"/>
    <mergeCell ref="I43:J43"/>
    <mergeCell ref="B37:B38"/>
    <mergeCell ref="C37:E37"/>
    <mergeCell ref="G37:H37"/>
    <mergeCell ref="I37:J37"/>
    <mergeCell ref="K37:N37"/>
    <mergeCell ref="C38:E38"/>
    <mergeCell ref="G38:J38"/>
    <mergeCell ref="K38:N38"/>
    <mergeCell ref="B28:B34"/>
    <mergeCell ref="C28:E28"/>
    <mergeCell ref="C29:E29"/>
    <mergeCell ref="C30:E30"/>
    <mergeCell ref="C31:E31"/>
    <mergeCell ref="C32:E32"/>
    <mergeCell ref="C33:E33"/>
    <mergeCell ref="C34:D34"/>
    <mergeCell ref="B22:B27"/>
    <mergeCell ref="C22:E22"/>
    <mergeCell ref="C23:E23"/>
    <mergeCell ref="C24:E24"/>
    <mergeCell ref="C25:E25"/>
    <mergeCell ref="C26:E26"/>
    <mergeCell ref="C27:E27"/>
    <mergeCell ref="B13:B21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H7:K7"/>
    <mergeCell ref="M8:N8"/>
    <mergeCell ref="O8:O9"/>
    <mergeCell ref="B10:B12"/>
    <mergeCell ref="C11:E11"/>
    <mergeCell ref="C12:E12"/>
    <mergeCell ref="G8:H8"/>
    <mergeCell ref="I8:J8"/>
    <mergeCell ref="K8:L8"/>
    <mergeCell ref="C10:D10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9658E5C6-A86A-4C9C-ABC9-E7E4796A4023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37757-9E92-4A38-BAD6-39F6E35112FB}">
  <dimension ref="A1:Y38"/>
  <sheetViews>
    <sheetView workbookViewId="0">
      <selection activeCell="I22" sqref="I22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</cols>
  <sheetData>
    <row r="1" spans="1:25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3.5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</row>
    <row r="2" spans="1:25">
      <c r="B2" s="73" t="s">
        <v>238</v>
      </c>
      <c r="C2" s="923" t="s">
        <v>593</v>
      </c>
      <c r="D2" s="923"/>
      <c r="E2" s="924"/>
      <c r="F2" s="72"/>
      <c r="G2" s="921"/>
      <c r="H2" s="1083" t="str">
        <f>TEXT(C5,"m월 d일 aaaa")</f>
        <v>3월 16일 일요일</v>
      </c>
      <c r="I2" s="1084"/>
      <c r="J2" s="927" t="s">
        <v>271</v>
      </c>
      <c r="K2" s="928"/>
      <c r="L2" s="134">
        <f>호텔!J41</f>
        <v>200</v>
      </c>
      <c r="M2" s="140">
        <f>$I$1+$K$1</f>
        <v>3.5</v>
      </c>
      <c r="N2" s="106">
        <f>L2*M2</f>
        <v>700</v>
      </c>
      <c r="O2" s="929">
        <f>SUM(N2:N6)</f>
        <v>2100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</row>
    <row r="3" spans="1:25" ht="28">
      <c r="B3" s="74" t="s">
        <v>239</v>
      </c>
      <c r="C3" s="938" t="s">
        <v>532</v>
      </c>
      <c r="D3" s="938"/>
      <c r="E3" s="770"/>
      <c r="F3" s="72"/>
      <c r="G3" s="921"/>
      <c r="H3" s="1083" t="str">
        <f>TEXT(C5+1,"m월 d일 aaaa")</f>
        <v>3월 17일 월요일</v>
      </c>
      <c r="I3" s="1083"/>
      <c r="J3" s="927" t="s">
        <v>271</v>
      </c>
      <c r="K3" s="928"/>
      <c r="L3" s="134">
        <f>L2</f>
        <v>200</v>
      </c>
      <c r="M3" s="140">
        <f>$I$1+$K$1</f>
        <v>3.5</v>
      </c>
      <c r="N3" s="106">
        <f>L3*M3</f>
        <v>700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</row>
    <row r="4" spans="1:25" ht="18" thickBot="1">
      <c r="B4" s="75" t="s">
        <v>241</v>
      </c>
      <c r="C4" s="81">
        <v>7</v>
      </c>
      <c r="D4" s="84" t="s">
        <v>253</v>
      </c>
      <c r="E4" s="92">
        <v>0</v>
      </c>
      <c r="F4" s="72"/>
      <c r="G4" s="921"/>
      <c r="H4" s="1083" t="str">
        <f>TEXT(C5+2,"m월 d일 aaaa")</f>
        <v>3월 18일 화요일</v>
      </c>
      <c r="I4" s="1084"/>
      <c r="J4" s="927" t="s">
        <v>271</v>
      </c>
      <c r="K4" s="928"/>
      <c r="L4" s="134">
        <f>L3</f>
        <v>200</v>
      </c>
      <c r="M4" s="141">
        <f>$I$1+$K$1</f>
        <v>3.5</v>
      </c>
      <c r="N4" s="106">
        <f>L4*M4</f>
        <v>700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</row>
    <row r="5" spans="1:25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1083" t="str">
        <f>TEXT(C5+3,"m월 d일 aaaa")</f>
        <v>3월 19일 수요일</v>
      </c>
      <c r="I5" s="1083"/>
      <c r="J5" s="939"/>
      <c r="K5" s="940"/>
      <c r="L5" s="135">
        <v>0</v>
      </c>
      <c r="M5" s="140">
        <f>$I$1+$K$1</f>
        <v>3.5</v>
      </c>
      <c r="N5" s="106">
        <f>L5*M5</f>
        <v>0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</row>
    <row r="6" spans="1:25" ht="17.25" customHeight="1" thickBot="1">
      <c r="B6" s="77" t="s">
        <v>243</v>
      </c>
      <c r="C6" s="83">
        <f>(SUM(O10:O38)+O2)/C4+R3+T5</f>
        <v>889.51428571428573</v>
      </c>
      <c r="D6" s="86" t="s">
        <v>254</v>
      </c>
      <c r="E6" s="94">
        <f>C6*$E$1</f>
        <v>978465.71428571432</v>
      </c>
      <c r="F6" s="72"/>
      <c r="G6" s="922"/>
      <c r="H6" s="1085" t="str">
        <f>TEXT(C5+4,"m월 d일 aaaa")</f>
        <v>3월 20일 목요일</v>
      </c>
      <c r="I6" s="1086"/>
      <c r="J6" s="935"/>
      <c r="K6" s="935"/>
      <c r="L6" s="136">
        <v>0</v>
      </c>
      <c r="M6" s="89">
        <f>$I$1+$K$1</f>
        <v>3.5</v>
      </c>
      <c r="N6" s="107">
        <f>L6*M6</f>
        <v>0</v>
      </c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</row>
    <row r="7" spans="1:25" ht="18" thickBot="1">
      <c r="B7" s="78" t="s">
        <v>244</v>
      </c>
      <c r="C7" s="183">
        <v>3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</row>
    <row r="8" spans="1:25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</row>
    <row r="9" spans="1:25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</row>
    <row r="10" spans="1:25">
      <c r="B10" s="905" t="str">
        <f>TEXT(C5,"m월 d일 aaaa")</f>
        <v>3월 16일 일요일</v>
      </c>
      <c r="C10" s="896" t="s">
        <v>540</v>
      </c>
      <c r="D10" s="897"/>
      <c r="E10" s="898"/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120</v>
      </c>
      <c r="L10" s="90">
        <v>1</v>
      </c>
      <c r="M10" s="128">
        <f>'가이드&amp;차량'!C6</f>
        <v>375</v>
      </c>
      <c r="N10" s="90">
        <v>1</v>
      </c>
      <c r="O10" s="143">
        <f>(G10*H10)+(I10*J10)+(K10*L10)+(M10*N10)</f>
        <v>495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</row>
    <row r="11" spans="1:25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28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</row>
    <row r="12" spans="1:25">
      <c r="B12" s="865"/>
      <c r="C12" s="948" t="s">
        <v>594</v>
      </c>
      <c r="D12" s="946"/>
      <c r="E12" s="947"/>
      <c r="F12" s="72"/>
      <c r="G12" s="104"/>
      <c r="H12" s="314"/>
      <c r="I12" s="130"/>
      <c r="J12" s="314"/>
      <c r="K12" s="130"/>
      <c r="L12" s="138"/>
      <c r="M12" s="130"/>
      <c r="N12" s="138"/>
      <c r="O12" s="148">
        <f t="shared" si="0"/>
        <v>0</v>
      </c>
      <c r="R12" s="72"/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</row>
    <row r="13" spans="1:25">
      <c r="B13" s="865"/>
      <c r="C13" s="876" t="s">
        <v>651</v>
      </c>
      <c r="D13" s="877"/>
      <c r="E13" s="878"/>
      <c r="F13" s="72"/>
      <c r="G13" s="99"/>
      <c r="H13" s="110"/>
      <c r="I13" s="122">
        <f>식사!E22</f>
        <v>22</v>
      </c>
      <c r="J13" s="115">
        <f>$C$4+$E$4</f>
        <v>7</v>
      </c>
      <c r="K13" s="120"/>
      <c r="L13" s="91"/>
      <c r="M13" s="120"/>
      <c r="N13" s="91"/>
      <c r="O13" s="144">
        <f t="shared" si="0"/>
        <v>154</v>
      </c>
      <c r="Q13" s="7"/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</row>
    <row r="14" spans="1:25">
      <c r="B14" s="865"/>
      <c r="C14" s="941" t="s">
        <v>325</v>
      </c>
      <c r="D14" s="911"/>
      <c r="E14" s="912"/>
      <c r="F14" s="72"/>
      <c r="G14" s="205"/>
      <c r="H14" s="115"/>
      <c r="I14" s="102"/>
      <c r="J14" s="115"/>
      <c r="K14" s="120"/>
      <c r="L14" s="91"/>
      <c r="M14" s="120"/>
      <c r="N14" s="91"/>
      <c r="O14" s="144">
        <f t="shared" si="0"/>
        <v>0</v>
      </c>
      <c r="Q14" s="7"/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</row>
    <row r="15" spans="1:25" ht="18" thickBot="1">
      <c r="B15" s="906"/>
      <c r="C15" s="917" t="s">
        <v>248</v>
      </c>
      <c r="D15" s="918"/>
      <c r="E15" s="919"/>
      <c r="F15" s="72"/>
      <c r="G15" s="205"/>
      <c r="H15" s="115"/>
      <c r="I15" s="102"/>
      <c r="J15" s="115"/>
      <c r="K15" s="120"/>
      <c r="L15" s="91"/>
      <c r="M15" s="120"/>
      <c r="N15" s="91"/>
      <c r="O15" s="144">
        <f t="shared" si="0"/>
        <v>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</row>
    <row r="16" spans="1:25">
      <c r="B16" s="905" t="str">
        <f>TEXT(C5+1,"m월 d일 aaaa")</f>
        <v>3월 17일 월요일</v>
      </c>
      <c r="C16" s="896" t="s">
        <v>282</v>
      </c>
      <c r="D16" s="897"/>
      <c r="E16" s="898"/>
      <c r="F16" s="72"/>
      <c r="G16" s="98"/>
      <c r="H16" s="112"/>
      <c r="I16" s="119"/>
      <c r="J16" s="109"/>
      <c r="K16" s="128">
        <f>IF(C4+E4&lt;8,'가이드&amp;차량'!C47, IF(C4+E4&lt;=14,'가이드&amp;차량'!C39,'가이드&amp;차량'!C23))</f>
        <v>430</v>
      </c>
      <c r="L16" s="90">
        <f>L10</f>
        <v>1</v>
      </c>
      <c r="M16" s="128">
        <f>'가이드&amp;차량'!C6</f>
        <v>375</v>
      </c>
      <c r="N16" s="90">
        <f>N10</f>
        <v>1</v>
      </c>
      <c r="O16" s="143">
        <f t="shared" si="0"/>
        <v>805</v>
      </c>
      <c r="Q16" s="159" t="s">
        <v>277</v>
      </c>
    </row>
    <row r="17" spans="2:17">
      <c r="B17" s="865"/>
      <c r="C17" s="882" t="s">
        <v>283</v>
      </c>
      <c r="D17" s="883"/>
      <c r="E17" s="884"/>
      <c r="F17" s="72"/>
      <c r="G17" s="102"/>
      <c r="H17" s="115"/>
      <c r="I17" s="120"/>
      <c r="J17" s="110"/>
      <c r="K17" s="123"/>
      <c r="L17" s="91"/>
      <c r="M17" s="123"/>
      <c r="N17" s="91"/>
      <c r="O17" s="144">
        <f t="shared" si="0"/>
        <v>0</v>
      </c>
      <c r="Q17" s="7"/>
    </row>
    <row r="18" spans="2:17">
      <c r="B18" s="865"/>
      <c r="C18" s="876" t="s">
        <v>332</v>
      </c>
      <c r="D18" s="877"/>
      <c r="E18" s="878"/>
      <c r="F18" s="72"/>
      <c r="G18" s="99"/>
      <c r="H18" s="110"/>
      <c r="I18" s="122">
        <f>식사!E19</f>
        <v>17</v>
      </c>
      <c r="J18" s="115">
        <f>$C$4+$E$4</f>
        <v>7</v>
      </c>
      <c r="K18" s="120"/>
      <c r="L18" s="91"/>
      <c r="M18" s="120"/>
      <c r="N18" s="91"/>
      <c r="O18" s="144">
        <f t="shared" si="0"/>
        <v>119</v>
      </c>
    </row>
    <row r="19" spans="2:17">
      <c r="B19" s="865"/>
      <c r="C19" s="882" t="s">
        <v>597</v>
      </c>
      <c r="D19" s="883"/>
      <c r="E19" s="884"/>
      <c r="F19" s="72"/>
      <c r="G19" s="103">
        <f>일정!E10+일정!E20</f>
        <v>53.5</v>
      </c>
      <c r="H19" s="115">
        <f>$C$4+$E$4</f>
        <v>7</v>
      </c>
      <c r="I19" s="123"/>
      <c r="J19" s="110"/>
      <c r="K19" s="123"/>
      <c r="L19" s="91"/>
      <c r="M19" s="123"/>
      <c r="N19" s="91"/>
      <c r="O19" s="144">
        <f>(G19*H19)+(I19*J19)+(K19*L19)+(M19*N19)</f>
        <v>374.5</v>
      </c>
    </row>
    <row r="20" spans="2:17">
      <c r="B20" s="865"/>
      <c r="C20" s="907" t="s">
        <v>546</v>
      </c>
      <c r="D20" s="908"/>
      <c r="E20" s="909"/>
      <c r="F20" s="72"/>
      <c r="G20" s="102"/>
      <c r="H20" s="115"/>
      <c r="I20" s="123"/>
      <c r="J20" s="110"/>
      <c r="K20" s="123"/>
      <c r="L20" s="91"/>
      <c r="M20" s="123"/>
      <c r="N20" s="91"/>
      <c r="O20" s="144">
        <f t="shared" si="0"/>
        <v>0</v>
      </c>
      <c r="Q20" s="7"/>
    </row>
    <row r="21" spans="2:17">
      <c r="B21" s="865"/>
      <c r="C21" s="902" t="s">
        <v>508</v>
      </c>
      <c r="D21" s="903"/>
      <c r="E21" s="904"/>
      <c r="F21" s="72"/>
      <c r="G21" s="99"/>
      <c r="H21" s="110"/>
      <c r="I21" s="122">
        <f>식사!E15</f>
        <v>18</v>
      </c>
      <c r="J21" s="115">
        <f>$C$4+$E$4</f>
        <v>7</v>
      </c>
      <c r="K21" s="120"/>
      <c r="L21" s="91"/>
      <c r="M21" s="120"/>
      <c r="N21" s="91"/>
      <c r="O21" s="144">
        <f t="shared" si="0"/>
        <v>126</v>
      </c>
      <c r="Q21" s="7"/>
    </row>
    <row r="22" spans="2:17" ht="18" thickBot="1">
      <c r="B22" s="906"/>
      <c r="C22" s="893" t="s">
        <v>648</v>
      </c>
      <c r="D22" s="894"/>
      <c r="E22" s="895"/>
      <c r="F22" s="72"/>
      <c r="G22" s="102"/>
      <c r="H22" s="115"/>
      <c r="I22" s="123"/>
      <c r="J22" s="110"/>
      <c r="K22" s="123"/>
      <c r="L22" s="91"/>
      <c r="M22" s="123"/>
      <c r="N22" s="91"/>
      <c r="O22" s="144">
        <f t="shared" si="0"/>
        <v>0</v>
      </c>
      <c r="Q22" s="7"/>
    </row>
    <row r="23" spans="2:17">
      <c r="B23" s="864" t="str">
        <f>TEXT(C5+2,"m월 d일 aaaa")</f>
        <v>3월 18일 화요일</v>
      </c>
      <c r="C23" s="896" t="s">
        <v>240</v>
      </c>
      <c r="D23" s="897"/>
      <c r="E23" s="898"/>
      <c r="F23" s="72"/>
      <c r="G23" s="98"/>
      <c r="H23" s="109"/>
      <c r="I23" s="119"/>
      <c r="J23" s="109"/>
      <c r="K23" s="128">
        <f>IF(C4+E4&lt;8,'가이드&amp;차량'!C47, IF(C4+E4&lt;=14,'가이드&amp;차량'!C39,'가이드&amp;차량'!C23))</f>
        <v>430</v>
      </c>
      <c r="L23" s="90">
        <f>L10</f>
        <v>1</v>
      </c>
      <c r="M23" s="128">
        <f>'가이드&amp;차량'!C6</f>
        <v>375</v>
      </c>
      <c r="N23" s="90">
        <f>N10</f>
        <v>1</v>
      </c>
      <c r="O23" s="143">
        <f t="shared" si="0"/>
        <v>805</v>
      </c>
      <c r="Q23" s="159" t="s">
        <v>277</v>
      </c>
    </row>
    <row r="24" spans="2:17">
      <c r="B24" s="888"/>
      <c r="C24" s="876" t="s">
        <v>549</v>
      </c>
      <c r="D24" s="877"/>
      <c r="E24" s="878"/>
      <c r="F24" s="72"/>
      <c r="G24" s="99"/>
      <c r="H24" s="110"/>
      <c r="I24" s="122">
        <f>식사!E7</f>
        <v>18</v>
      </c>
      <c r="J24" s="115">
        <f>$C$4+$E$4</f>
        <v>7</v>
      </c>
      <c r="K24" s="123"/>
      <c r="L24" s="91"/>
      <c r="M24" s="102"/>
      <c r="N24" s="91"/>
      <c r="O24" s="146">
        <f t="shared" si="0"/>
        <v>126</v>
      </c>
      <c r="Q24" s="7"/>
    </row>
    <row r="25" spans="2:17">
      <c r="B25" s="888"/>
      <c r="C25" s="879" t="str">
        <f>일정!C27</f>
        <v>가든스바이더베이 2돔 ( 쥬랴기 )</v>
      </c>
      <c r="D25" s="891"/>
      <c r="E25" s="892"/>
      <c r="F25" s="72"/>
      <c r="G25" s="101">
        <f>일정!E27</f>
        <v>28.3</v>
      </c>
      <c r="H25" s="115">
        <f>$C$4+$E$4</f>
        <v>7</v>
      </c>
      <c r="I25" s="102"/>
      <c r="J25" s="115"/>
      <c r="K25" s="123"/>
      <c r="L25" s="91"/>
      <c r="M25" s="102"/>
      <c r="N25" s="91"/>
      <c r="O25" s="146">
        <f t="shared" si="0"/>
        <v>198.1</v>
      </c>
      <c r="Q25" s="7"/>
    </row>
    <row r="26" spans="2:17">
      <c r="B26" s="888"/>
      <c r="C26" s="907" t="s">
        <v>595</v>
      </c>
      <c r="D26" s="908"/>
      <c r="E26" s="909"/>
      <c r="F26" s="72"/>
      <c r="G26" s="99"/>
      <c r="H26" s="110"/>
      <c r="I26" s="102"/>
      <c r="J26" s="115"/>
      <c r="K26" s="123"/>
      <c r="L26" s="91"/>
      <c r="M26" s="102"/>
      <c r="N26" s="91"/>
      <c r="O26" s="146">
        <f t="shared" si="0"/>
        <v>0</v>
      </c>
      <c r="Q26" s="7"/>
    </row>
    <row r="27" spans="2:17">
      <c r="B27" s="888"/>
      <c r="C27" s="902" t="s">
        <v>598</v>
      </c>
      <c r="D27" s="903"/>
      <c r="E27" s="904"/>
      <c r="F27" s="72"/>
      <c r="G27" s="99"/>
      <c r="H27" s="110"/>
      <c r="I27" s="122">
        <f>IF(C4+E4&lt;10,식사!E27,식사!E28)</f>
        <v>45</v>
      </c>
      <c r="J27" s="115">
        <f>$C$4+$E$4</f>
        <v>7</v>
      </c>
      <c r="K27" s="123"/>
      <c r="L27" s="91"/>
      <c r="M27" s="123"/>
      <c r="N27" s="91"/>
      <c r="O27" s="146">
        <f t="shared" si="0"/>
        <v>315</v>
      </c>
      <c r="Q27" s="7"/>
    </row>
    <row r="28" spans="2:17" ht="18" thickBot="1">
      <c r="B28" s="866"/>
      <c r="C28" s="1067" t="s">
        <v>596</v>
      </c>
      <c r="D28" s="935"/>
      <c r="E28" s="1068"/>
      <c r="F28" s="72"/>
      <c r="G28" s="100"/>
      <c r="H28" s="111"/>
      <c r="I28" s="124"/>
      <c r="J28" s="126"/>
      <c r="K28" s="129"/>
      <c r="L28" s="137"/>
      <c r="M28" s="124"/>
      <c r="N28" s="137"/>
      <c r="O28" s="147">
        <f t="shared" si="0"/>
        <v>0</v>
      </c>
      <c r="Q28" s="7"/>
    </row>
    <row r="29" spans="2:17">
      <c r="B29" s="72"/>
      <c r="C29" s="72"/>
      <c r="D29" s="72"/>
      <c r="E29" s="72"/>
      <c r="F29" s="72"/>
      <c r="G29" s="72"/>
      <c r="H29" s="72"/>
      <c r="K29" s="132">
        <f>SUM(K10:K28)</f>
        <v>980</v>
      </c>
      <c r="L29" s="72"/>
      <c r="M29" s="132">
        <f>SUM(M10:M28)</f>
        <v>1125</v>
      </c>
      <c r="N29" s="72"/>
      <c r="O29" s="150"/>
      <c r="P29" s="156"/>
    </row>
    <row r="30" spans="2:17" ht="18" thickBot="1">
      <c r="O30" s="150"/>
    </row>
    <row r="31" spans="2:17">
      <c r="B31" s="872" t="s">
        <v>246</v>
      </c>
      <c r="C31" s="873" t="s">
        <v>288</v>
      </c>
      <c r="D31" s="874"/>
      <c r="E31" s="875"/>
      <c r="F31" s="34"/>
      <c r="G31" s="862">
        <f>$C$4+$E$4</f>
        <v>7</v>
      </c>
      <c r="H31" s="863"/>
      <c r="I31" s="854">
        <v>3</v>
      </c>
      <c r="J31" s="854"/>
      <c r="K31" s="855">
        <v>1</v>
      </c>
      <c r="L31" s="855"/>
      <c r="M31" s="855"/>
      <c r="N31" s="855"/>
      <c r="O31" s="151">
        <f>G31*I31*K31</f>
        <v>21</v>
      </c>
    </row>
    <row r="32" spans="2:17">
      <c r="B32" s="827"/>
      <c r="C32" s="856" t="s">
        <v>451</v>
      </c>
      <c r="D32" s="857"/>
      <c r="E32" s="858"/>
      <c r="F32" s="34"/>
      <c r="G32" s="859">
        <v>50</v>
      </c>
      <c r="H32" s="860"/>
      <c r="I32" s="860"/>
      <c r="J32" s="860"/>
      <c r="K32" s="861">
        <f>C4</f>
        <v>7</v>
      </c>
      <c r="L32" s="861"/>
      <c r="M32" s="861"/>
      <c r="N32" s="861"/>
      <c r="O32" s="152">
        <f>G32*K32</f>
        <v>350</v>
      </c>
    </row>
    <row r="33" spans="2:15" ht="18" thickBot="1">
      <c r="O33" s="150"/>
    </row>
    <row r="34" spans="2:15" ht="16.5" customHeight="1">
      <c r="B34" s="961" t="s">
        <v>337</v>
      </c>
      <c r="C34" s="1021" t="s">
        <v>251</v>
      </c>
      <c r="D34" s="1022"/>
      <c r="E34" s="1023"/>
      <c r="F34" s="165"/>
      <c r="G34" s="967"/>
      <c r="H34" s="1024"/>
      <c r="I34" s="969">
        <f>일정!G24</f>
        <v>30</v>
      </c>
      <c r="J34" s="970"/>
      <c r="K34" s="1044">
        <f>C4</f>
        <v>7</v>
      </c>
      <c r="L34" s="1044"/>
      <c r="M34" s="1044"/>
      <c r="N34" s="1045"/>
      <c r="O34" s="153">
        <f>G34*I34*K34</f>
        <v>0</v>
      </c>
    </row>
    <row r="35" spans="2:15">
      <c r="B35" s="1019"/>
      <c r="C35" s="1025" t="s">
        <v>250</v>
      </c>
      <c r="D35" s="1026"/>
      <c r="E35" s="1027"/>
      <c r="F35" s="165"/>
      <c r="G35" s="977">
        <v>1</v>
      </c>
      <c r="H35" s="1028"/>
      <c r="I35" s="979">
        <f>일정!G30</f>
        <v>28</v>
      </c>
      <c r="J35" s="980"/>
      <c r="K35" s="1046">
        <f>C4</f>
        <v>7</v>
      </c>
      <c r="L35" s="1047"/>
      <c r="M35" s="1047"/>
      <c r="N35" s="1048"/>
      <c r="O35" s="154">
        <f>G35*I35*K35</f>
        <v>196</v>
      </c>
    </row>
    <row r="36" spans="2:15">
      <c r="B36" s="1019"/>
      <c r="C36" s="1025" t="s">
        <v>249</v>
      </c>
      <c r="D36" s="1026"/>
      <c r="E36" s="1027"/>
      <c r="F36" s="165"/>
      <c r="G36" s="977">
        <v>1</v>
      </c>
      <c r="H36" s="1028"/>
      <c r="I36" s="979">
        <f>일정!G35</f>
        <v>36</v>
      </c>
      <c r="J36" s="980"/>
      <c r="K36" s="1046">
        <f>C4</f>
        <v>7</v>
      </c>
      <c r="L36" s="1047"/>
      <c r="M36" s="1047"/>
      <c r="N36" s="1048"/>
      <c r="O36" s="154">
        <f>G36*I36*K36</f>
        <v>252</v>
      </c>
    </row>
    <row r="37" spans="2:15">
      <c r="B37" s="1019"/>
      <c r="C37" s="1025" t="s">
        <v>336</v>
      </c>
      <c r="D37" s="1026"/>
      <c r="E37" s="1027"/>
      <c r="F37" s="165"/>
      <c r="G37" s="977"/>
      <c r="H37" s="1028"/>
      <c r="I37" s="979">
        <f>일정!G13</f>
        <v>19</v>
      </c>
      <c r="J37" s="980"/>
      <c r="K37" s="1046">
        <f>C4</f>
        <v>7</v>
      </c>
      <c r="L37" s="1047"/>
      <c r="M37" s="1047"/>
      <c r="N37" s="1048"/>
      <c r="O37" s="154">
        <f>G37*I37*K37</f>
        <v>0</v>
      </c>
    </row>
    <row r="38" spans="2:15" ht="18" thickBot="1">
      <c r="B38" s="1020"/>
      <c r="C38" s="1030" t="s">
        <v>252</v>
      </c>
      <c r="D38" s="1031"/>
      <c r="E38" s="1032"/>
      <c r="F38" s="165"/>
      <c r="G38" s="989"/>
      <c r="H38" s="1033"/>
      <c r="I38" s="991">
        <f>일정!G29</f>
        <v>40</v>
      </c>
      <c r="J38" s="992"/>
      <c r="K38" s="1049">
        <f>C4</f>
        <v>7</v>
      </c>
      <c r="L38" s="1050"/>
      <c r="M38" s="1050"/>
      <c r="N38" s="1051"/>
      <c r="O38" s="215">
        <f>G38*I38*K38</f>
        <v>0</v>
      </c>
    </row>
  </sheetData>
  <mergeCells count="71">
    <mergeCell ref="K36:N36"/>
    <mergeCell ref="C37:E37"/>
    <mergeCell ref="G37:H37"/>
    <mergeCell ref="I37:J37"/>
    <mergeCell ref="K37:N37"/>
    <mergeCell ref="B34:B38"/>
    <mergeCell ref="C34:E34"/>
    <mergeCell ref="G34:H34"/>
    <mergeCell ref="I34:J34"/>
    <mergeCell ref="K34:N34"/>
    <mergeCell ref="C35:E35"/>
    <mergeCell ref="G35:H35"/>
    <mergeCell ref="I35:J35"/>
    <mergeCell ref="K35:N35"/>
    <mergeCell ref="C36:E36"/>
    <mergeCell ref="C38:E38"/>
    <mergeCell ref="G38:H38"/>
    <mergeCell ref="I38:J38"/>
    <mergeCell ref="K38:N38"/>
    <mergeCell ref="G36:H36"/>
    <mergeCell ref="I36:J36"/>
    <mergeCell ref="B31:B32"/>
    <mergeCell ref="C31:E31"/>
    <mergeCell ref="G31:H31"/>
    <mergeCell ref="I31:J31"/>
    <mergeCell ref="K31:N31"/>
    <mergeCell ref="C32:E32"/>
    <mergeCell ref="G32:J32"/>
    <mergeCell ref="K32:N32"/>
    <mergeCell ref="B23:B28"/>
    <mergeCell ref="C23:E23"/>
    <mergeCell ref="C24:E24"/>
    <mergeCell ref="C25:E25"/>
    <mergeCell ref="C26:E26"/>
    <mergeCell ref="C27:E27"/>
    <mergeCell ref="C28:E28"/>
    <mergeCell ref="B16:B22"/>
    <mergeCell ref="C16:E16"/>
    <mergeCell ref="C17:E17"/>
    <mergeCell ref="C18:E18"/>
    <mergeCell ref="C20:E20"/>
    <mergeCell ref="C21:E21"/>
    <mergeCell ref="C22:E22"/>
    <mergeCell ref="C19:E19"/>
    <mergeCell ref="H7:K7"/>
    <mergeCell ref="M8:N8"/>
    <mergeCell ref="O8:O9"/>
    <mergeCell ref="B10:B15"/>
    <mergeCell ref="C10:E10"/>
    <mergeCell ref="C11:E11"/>
    <mergeCell ref="C12:E12"/>
    <mergeCell ref="C13:E13"/>
    <mergeCell ref="C14:E14"/>
    <mergeCell ref="C15:E15"/>
    <mergeCell ref="G8:H8"/>
    <mergeCell ref="I8:J8"/>
    <mergeCell ref="K8:L8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EAAD4FDC-9542-423C-A2B8-63F4F511BC15}"/>
  </hyperlink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43CC-E7D0-47F9-89D5-C0B9B65698FD}">
  <dimension ref="A1:AD44"/>
  <sheetViews>
    <sheetView topLeftCell="A3" workbookViewId="0">
      <selection activeCell="C31" sqref="C31:G31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7" max="27" width="2.83203125" customWidth="1"/>
    <col min="28" max="28" width="19.33203125" bestFit="1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10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943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Aloft Novena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180</v>
      </c>
      <c r="M2" s="140">
        <f>$I$1+$K$1</f>
        <v>10</v>
      </c>
      <c r="N2" s="106">
        <f>L2*M2</f>
        <v>1800</v>
      </c>
      <c r="O2" s="929">
        <f>SUM(N2:N6)</f>
        <v>5400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918</v>
      </c>
      <c r="AC2" s="10">
        <v>180</v>
      </c>
      <c r="AD2" s="10">
        <v>180</v>
      </c>
    </row>
    <row r="3" spans="1:30" ht="28">
      <c r="B3" s="74" t="s">
        <v>239</v>
      </c>
      <c r="C3" s="938" t="s">
        <v>944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Aloft Novena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180</v>
      </c>
      <c r="M3" s="140">
        <f>$I$1+$K$1</f>
        <v>10</v>
      </c>
      <c r="N3" s="106">
        <f>L3*M3</f>
        <v>1800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20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927" t="str">
        <f>J2</f>
        <v>Aloft Novena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180</v>
      </c>
      <c r="M4" s="141">
        <f>$I$1+$K$1</f>
        <v>10</v>
      </c>
      <c r="N4" s="106">
        <f>L4*M4</f>
        <v>1800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>
        <f>H4+1</f>
        <v>45735</v>
      </c>
      <c r="I5" s="926"/>
      <c r="J5" s="939"/>
      <c r="K5" s="940"/>
      <c r="L5" s="135"/>
      <c r="M5" s="140"/>
      <c r="N5" s="106">
        <f>L5*M5</f>
        <v>0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(SUM(O10:O44)+O2)/C4+R3+T5</f>
        <v>586.29999999999995</v>
      </c>
      <c r="D6" s="86" t="s">
        <v>254</v>
      </c>
      <c r="E6" s="94">
        <f>C6*$E$1</f>
        <v>644930</v>
      </c>
      <c r="F6" s="72"/>
      <c r="G6" s="922"/>
      <c r="H6" s="925">
        <f>H5+1</f>
        <v>45736</v>
      </c>
      <c r="I6" s="926"/>
      <c r="J6" s="935"/>
      <c r="K6" s="935"/>
      <c r="L6" s="136"/>
      <c r="M6" s="89"/>
      <c r="N6" s="107">
        <f>L6*M6</f>
        <v>0</v>
      </c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3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67" t="s">
        <v>947</v>
      </c>
      <c r="D10" s="916"/>
      <c r="E10" s="499">
        <f>상품리스트!F32</f>
        <v>0.97569444444444442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280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430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4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8" thickBot="1">
      <c r="B12" s="865"/>
      <c r="C12" s="917" t="s">
        <v>247</v>
      </c>
      <c r="D12" s="918"/>
      <c r="E12" s="919"/>
      <c r="F12" s="72"/>
      <c r="G12" s="104"/>
      <c r="H12" s="314"/>
      <c r="I12" s="130"/>
      <c r="J12" s="314"/>
      <c r="K12" s="130"/>
      <c r="L12" s="138"/>
      <c r="M12" s="130"/>
      <c r="N12" s="138"/>
      <c r="O12" s="148">
        <f t="shared" si="0"/>
        <v>0</v>
      </c>
      <c r="R12" s="72"/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630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1005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865"/>
      <c r="C14" s="882" t="s">
        <v>631</v>
      </c>
      <c r="D14" s="883"/>
      <c r="E14" s="884"/>
      <c r="F14" s="72"/>
      <c r="G14" s="166"/>
      <c r="H14" s="115"/>
      <c r="I14" s="123"/>
      <c r="J14" s="110"/>
      <c r="K14" s="123"/>
      <c r="L14" s="91"/>
      <c r="M14" s="123"/>
      <c r="N14" s="91"/>
      <c r="O14" s="144">
        <f t="shared" ref="O14:O19" si="1">(G14*H14)+(I14*J14)+(K14*L14)+(M14*N14)</f>
        <v>0</v>
      </c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865"/>
      <c r="C15" s="902" t="s">
        <v>629</v>
      </c>
      <c r="D15" s="903"/>
      <c r="E15" s="904"/>
      <c r="F15" s="72"/>
      <c r="G15" s="99"/>
      <c r="H15" s="110"/>
      <c r="I15" s="122">
        <f>식사!E19</f>
        <v>17</v>
      </c>
      <c r="J15" s="115">
        <f>$C$4+$E$4</f>
        <v>20</v>
      </c>
      <c r="K15" s="123"/>
      <c r="L15" s="91"/>
      <c r="M15" s="102"/>
      <c r="N15" s="91"/>
      <c r="O15" s="146">
        <f t="shared" si="1"/>
        <v>340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922</v>
      </c>
      <c r="AC15" s="10">
        <v>185</v>
      </c>
      <c r="AD15" s="10">
        <v>185</v>
      </c>
    </row>
    <row r="16" spans="1:30">
      <c r="B16" s="865"/>
      <c r="C16" s="882" t="s">
        <v>597</v>
      </c>
      <c r="D16" s="883"/>
      <c r="E16" s="884"/>
      <c r="F16" s="72"/>
      <c r="G16" s="101">
        <f>일정!E10+일정!E20</f>
        <v>53.5</v>
      </c>
      <c r="H16" s="115">
        <f>$C$4+$E$4</f>
        <v>20</v>
      </c>
      <c r="I16" s="102"/>
      <c r="J16" s="115"/>
      <c r="K16" s="123"/>
      <c r="L16" s="91"/>
      <c r="M16" s="102"/>
      <c r="N16" s="91"/>
      <c r="O16" s="146">
        <f t="shared" si="1"/>
        <v>1070</v>
      </c>
      <c r="Q16" s="7"/>
      <c r="AB16" s="496" t="s">
        <v>726</v>
      </c>
      <c r="AC16" s="10">
        <v>185</v>
      </c>
      <c r="AD16" s="10">
        <v>185</v>
      </c>
    </row>
    <row r="17" spans="2:30">
      <c r="B17" s="865"/>
      <c r="C17" s="907" t="s">
        <v>505</v>
      </c>
      <c r="D17" s="908"/>
      <c r="E17" s="909"/>
      <c r="F17" s="72"/>
      <c r="G17" s="102"/>
      <c r="H17" s="115"/>
      <c r="I17" s="123"/>
      <c r="J17" s="110"/>
      <c r="K17" s="123"/>
      <c r="L17" s="91"/>
      <c r="M17" s="123"/>
      <c r="N17" s="91"/>
      <c r="O17" s="144">
        <f t="shared" si="1"/>
        <v>0</v>
      </c>
      <c r="Q17" s="7"/>
      <c r="AB17" s="496" t="s">
        <v>931</v>
      </c>
      <c r="AC17" s="10">
        <v>155</v>
      </c>
      <c r="AD17" s="10">
        <v>155</v>
      </c>
    </row>
    <row r="18" spans="2:30">
      <c r="B18" s="865"/>
      <c r="C18" s="876" t="s">
        <v>651</v>
      </c>
      <c r="D18" s="877"/>
      <c r="E18" s="878"/>
      <c r="F18" s="72"/>
      <c r="G18" s="99"/>
      <c r="H18" s="110"/>
      <c r="I18" s="122">
        <f>식사!E22</f>
        <v>22</v>
      </c>
      <c r="J18" s="115">
        <f>$C$4+$E$4</f>
        <v>20</v>
      </c>
      <c r="K18" s="120"/>
      <c r="L18" s="91"/>
      <c r="M18" s="120"/>
      <c r="N18" s="91"/>
      <c r="O18" s="144">
        <f t="shared" si="1"/>
        <v>440</v>
      </c>
      <c r="AB18" s="496" t="s">
        <v>923</v>
      </c>
      <c r="AC18" s="10">
        <v>185</v>
      </c>
      <c r="AD18" s="10">
        <v>185</v>
      </c>
    </row>
    <row r="19" spans="2:30">
      <c r="B19" s="865"/>
      <c r="C19" s="890" t="s">
        <v>628</v>
      </c>
      <c r="D19" s="891"/>
      <c r="E19" s="892"/>
      <c r="F19" s="72"/>
      <c r="G19" s="99"/>
      <c r="H19" s="110"/>
      <c r="I19" s="102"/>
      <c r="J19" s="115"/>
      <c r="K19" s="120"/>
      <c r="L19" s="91"/>
      <c r="M19" s="120"/>
      <c r="N19" s="91"/>
      <c r="O19" s="144">
        <f t="shared" si="1"/>
        <v>0</v>
      </c>
      <c r="Q19" s="7"/>
      <c r="AB19" s="497" t="s">
        <v>928</v>
      </c>
      <c r="AC19" s="10">
        <v>280</v>
      </c>
      <c r="AD19" s="10">
        <v>280</v>
      </c>
    </row>
    <row r="20" spans="2:30" ht="18" thickBot="1">
      <c r="B20" s="906"/>
      <c r="C20" s="893" t="s">
        <v>1005</v>
      </c>
      <c r="D20" s="894"/>
      <c r="E20" s="895"/>
      <c r="F20" s="72"/>
      <c r="G20" s="102"/>
      <c r="H20" s="115"/>
      <c r="I20" s="123"/>
      <c r="J20" s="110"/>
      <c r="K20" s="123"/>
      <c r="L20" s="91"/>
      <c r="M20" s="123"/>
      <c r="N20" s="91"/>
      <c r="O20" s="144">
        <f t="shared" si="0"/>
        <v>0</v>
      </c>
      <c r="Q20" s="7"/>
      <c r="AB20" s="497" t="s">
        <v>442</v>
      </c>
      <c r="AC20" s="10">
        <v>366</v>
      </c>
      <c r="AD20" s="10">
        <v>366</v>
      </c>
    </row>
    <row r="21" spans="2:30">
      <c r="B21" s="864" t="str">
        <f>TEXT(C5+2,"m월 d일 aaaa")</f>
        <v>3월 18일 화요일</v>
      </c>
      <c r="C21" s="905" t="s">
        <v>562</v>
      </c>
      <c r="D21" s="1038"/>
      <c r="E21" s="1039"/>
      <c r="F21" s="72"/>
      <c r="G21" s="98"/>
      <c r="H21" s="109"/>
      <c r="I21" s="119"/>
      <c r="J21" s="109"/>
      <c r="K21" s="128"/>
      <c r="L21" s="90"/>
      <c r="M21" s="128"/>
      <c r="N21" s="90"/>
      <c r="O21" s="143">
        <f t="shared" si="0"/>
        <v>0</v>
      </c>
      <c r="Q21" s="159" t="s">
        <v>277</v>
      </c>
    </row>
    <row r="22" spans="2:30">
      <c r="B22" s="888"/>
      <c r="C22" s="865"/>
      <c r="D22" s="1040"/>
      <c r="E22" s="1041"/>
      <c r="F22" s="72"/>
      <c r="G22" s="102"/>
      <c r="H22" s="115"/>
      <c r="I22" s="123"/>
      <c r="J22" s="110"/>
      <c r="K22" s="123"/>
      <c r="L22" s="91"/>
      <c r="M22" s="123"/>
      <c r="N22" s="91"/>
      <c r="O22" s="144">
        <f t="shared" si="0"/>
        <v>0</v>
      </c>
      <c r="Q22" s="7"/>
    </row>
    <row r="23" spans="2:30">
      <c r="B23" s="888"/>
      <c r="C23" s="865"/>
      <c r="D23" s="1040"/>
      <c r="E23" s="1041"/>
      <c r="F23" s="72"/>
      <c r="G23" s="99"/>
      <c r="H23" s="110"/>
      <c r="I23" s="122"/>
      <c r="J23" s="115"/>
      <c r="K23" s="123"/>
      <c r="L23" s="91"/>
      <c r="M23" s="102"/>
      <c r="N23" s="91"/>
      <c r="O23" s="146">
        <f t="shared" si="0"/>
        <v>0</v>
      </c>
      <c r="Q23" s="7"/>
    </row>
    <row r="24" spans="2:30">
      <c r="B24" s="888"/>
      <c r="C24" s="865"/>
      <c r="D24" s="1040"/>
      <c r="E24" s="1041"/>
      <c r="F24" s="72"/>
      <c r="G24" s="102"/>
      <c r="H24" s="115"/>
      <c r="I24" s="102"/>
      <c r="J24" s="115"/>
      <c r="K24" s="123"/>
      <c r="L24" s="91"/>
      <c r="M24" s="102"/>
      <c r="N24" s="91"/>
      <c r="O24" s="146">
        <f t="shared" si="0"/>
        <v>0</v>
      </c>
      <c r="Q24" s="7"/>
    </row>
    <row r="25" spans="2:30">
      <c r="B25" s="888"/>
      <c r="C25" s="865"/>
      <c r="D25" s="1040"/>
      <c r="E25" s="1041"/>
      <c r="F25" s="72"/>
      <c r="G25" s="99"/>
      <c r="H25" s="110"/>
      <c r="I25" s="102"/>
      <c r="J25" s="115"/>
      <c r="K25" s="123"/>
      <c r="L25" s="91"/>
      <c r="M25" s="102"/>
      <c r="N25" s="91"/>
      <c r="O25" s="146">
        <f t="shared" si="0"/>
        <v>0</v>
      </c>
      <c r="Q25" s="7"/>
    </row>
    <row r="26" spans="2:30">
      <c r="B26" s="888"/>
      <c r="C26" s="865"/>
      <c r="D26" s="1040"/>
      <c r="E26" s="1041"/>
      <c r="F26" s="72"/>
      <c r="G26" s="99"/>
      <c r="H26" s="110"/>
      <c r="I26" s="122"/>
      <c r="J26" s="115"/>
      <c r="K26" s="123"/>
      <c r="L26" s="91"/>
      <c r="M26" s="123"/>
      <c r="N26" s="91"/>
      <c r="O26" s="146">
        <f t="shared" si="0"/>
        <v>0</v>
      </c>
      <c r="Q26" s="7"/>
    </row>
    <row r="27" spans="2:30" ht="18" thickBot="1">
      <c r="B27" s="866"/>
      <c r="C27" s="906"/>
      <c r="D27" s="1042"/>
      <c r="E27" s="1043"/>
      <c r="F27" s="72"/>
      <c r="G27" s="100"/>
      <c r="H27" s="111"/>
      <c r="I27" s="124"/>
      <c r="J27" s="126"/>
      <c r="K27" s="129"/>
      <c r="L27" s="137"/>
      <c r="M27" s="124"/>
      <c r="N27" s="137"/>
      <c r="O27" s="147">
        <f t="shared" si="0"/>
        <v>0</v>
      </c>
      <c r="Q27" s="7"/>
    </row>
    <row r="28" spans="2:30">
      <c r="B28" s="864" t="str">
        <f>TEXT(C5+3,"m월 d일 aaaa")</f>
        <v>3월 19일 수요일</v>
      </c>
      <c r="C28" s="896" t="s">
        <v>330</v>
      </c>
      <c r="D28" s="897"/>
      <c r="E28" s="898"/>
      <c r="F28" s="72"/>
      <c r="G28" s="98"/>
      <c r="H28" s="109"/>
      <c r="I28" s="119"/>
      <c r="J28" s="109"/>
      <c r="K28" s="128">
        <f>IF(C4+E4&lt;8,'가이드&amp;차량'!C47, IF(C4+E4&lt;=14,'가이드&amp;차량'!C39,'가이드&amp;차량'!C23))</f>
        <v>630</v>
      </c>
      <c r="L28" s="90">
        <f>L10</f>
        <v>1</v>
      </c>
      <c r="M28" s="128">
        <f>'가이드&amp;차량'!C6+'가이드&amp;차량'!C3</f>
        <v>525</v>
      </c>
      <c r="N28" s="90">
        <f>N10</f>
        <v>1</v>
      </c>
      <c r="O28" s="143">
        <f t="shared" si="0"/>
        <v>1155</v>
      </c>
      <c r="Q28" s="159" t="s">
        <v>278</v>
      </c>
    </row>
    <row r="29" spans="2:30">
      <c r="B29" s="888"/>
      <c r="C29" s="882" t="s">
        <v>636</v>
      </c>
      <c r="D29" s="883"/>
      <c r="E29" s="884"/>
      <c r="F29" s="72"/>
      <c r="G29" s="166"/>
      <c r="H29" s="115"/>
      <c r="I29" s="123"/>
      <c r="J29" s="110"/>
      <c r="K29" s="123"/>
      <c r="L29" s="91"/>
      <c r="M29" s="123"/>
      <c r="N29" s="91"/>
      <c r="O29" s="144">
        <f t="shared" si="0"/>
        <v>0</v>
      </c>
    </row>
    <row r="30" spans="2:30">
      <c r="B30" s="888"/>
      <c r="C30" s="876" t="s">
        <v>637</v>
      </c>
      <c r="D30" s="877"/>
      <c r="E30" s="878"/>
      <c r="F30" s="72"/>
      <c r="G30" s="99"/>
      <c r="H30" s="110"/>
      <c r="I30" s="122">
        <f>식사!E7</f>
        <v>18</v>
      </c>
      <c r="J30" s="115">
        <f>$C$4+$E$4</f>
        <v>20</v>
      </c>
      <c r="K30" s="120"/>
      <c r="L30" s="91"/>
      <c r="M30" s="120"/>
      <c r="N30" s="91"/>
      <c r="O30" s="144">
        <f t="shared" si="0"/>
        <v>360</v>
      </c>
    </row>
    <row r="31" spans="2:30">
      <c r="B31" s="888"/>
      <c r="C31" s="879" t="str">
        <f>일정!$C$27</f>
        <v>가든스바이더베이 2돔 ( 쥬랴기 )</v>
      </c>
      <c r="D31" s="891"/>
      <c r="E31" s="892"/>
      <c r="F31" s="72"/>
      <c r="G31" s="103">
        <f>일정!$E$27</f>
        <v>28.3</v>
      </c>
      <c r="H31" s="115">
        <f>$C$4+$E$4</f>
        <v>20</v>
      </c>
      <c r="I31" s="102"/>
      <c r="J31" s="115"/>
      <c r="K31" s="123"/>
      <c r="L31" s="91"/>
      <c r="M31" s="123"/>
      <c r="N31" s="91"/>
      <c r="O31" s="144">
        <f t="shared" si="0"/>
        <v>566</v>
      </c>
    </row>
    <row r="32" spans="2:30">
      <c r="B32" s="888"/>
      <c r="C32" s="907" t="s">
        <v>658</v>
      </c>
      <c r="D32" s="908"/>
      <c r="E32" s="909"/>
      <c r="F32" s="72"/>
      <c r="G32" s="206"/>
      <c r="H32" s="164"/>
      <c r="I32" s="123"/>
      <c r="J32" s="110"/>
      <c r="K32" s="161"/>
      <c r="L32" s="138"/>
      <c r="M32" s="161"/>
      <c r="N32" s="138"/>
      <c r="O32" s="148">
        <f t="shared" si="0"/>
        <v>0</v>
      </c>
    </row>
    <row r="33" spans="2:21">
      <c r="B33" s="888"/>
      <c r="C33" s="902" t="s">
        <v>840</v>
      </c>
      <c r="D33" s="903"/>
      <c r="E33" s="904"/>
      <c r="F33" s="72"/>
      <c r="G33" s="104"/>
      <c r="H33" s="116"/>
      <c r="I33" s="122">
        <f>식사!E3</f>
        <v>25</v>
      </c>
      <c r="J33" s="115">
        <f>$C$4+$E$4</f>
        <v>20</v>
      </c>
      <c r="K33" s="130"/>
      <c r="L33" s="138"/>
      <c r="M33" s="130"/>
      <c r="N33" s="138"/>
      <c r="O33" s="148">
        <f t="shared" si="0"/>
        <v>500</v>
      </c>
    </row>
    <row r="34" spans="2:21" ht="18" thickBot="1">
      <c r="B34" s="866"/>
      <c r="C34" s="870" t="s">
        <v>596</v>
      </c>
      <c r="D34" s="871"/>
      <c r="E34" s="500">
        <f>상품리스트!I32</f>
        <v>1.7361111111111112E-2</v>
      </c>
      <c r="F34" s="34"/>
      <c r="G34" s="105"/>
      <c r="H34" s="117"/>
      <c r="I34" s="124"/>
      <c r="J34" s="126"/>
      <c r="K34" s="131"/>
      <c r="L34" s="139"/>
      <c r="M34" s="131"/>
      <c r="N34" s="139"/>
      <c r="O34" s="149">
        <f t="shared" si="0"/>
        <v>0</v>
      </c>
      <c r="P34" s="34"/>
      <c r="Q34" s="34"/>
      <c r="R34" s="34"/>
      <c r="S34" s="34"/>
      <c r="T34" s="34"/>
      <c r="U34" s="34"/>
    </row>
    <row r="35" spans="2:21">
      <c r="B35" s="72"/>
      <c r="C35" s="72"/>
      <c r="D35" s="72"/>
      <c r="E35" s="72"/>
      <c r="F35" s="72"/>
      <c r="G35" s="72"/>
      <c r="H35" s="72"/>
      <c r="K35" s="132">
        <f>SUM(K10:K34)</f>
        <v>1540</v>
      </c>
      <c r="L35" s="72"/>
      <c r="M35" s="132">
        <f>SUM(M10:M34)</f>
        <v>1050</v>
      </c>
      <c r="N35" s="72"/>
      <c r="O35" s="150"/>
      <c r="P35" s="156"/>
    </row>
    <row r="36" spans="2:21" ht="18" thickBot="1">
      <c r="O36" s="150"/>
    </row>
    <row r="37" spans="2:21">
      <c r="B37" s="872" t="s">
        <v>246</v>
      </c>
      <c r="C37" s="873" t="s">
        <v>288</v>
      </c>
      <c r="D37" s="874"/>
      <c r="E37" s="875"/>
      <c r="F37" s="34"/>
      <c r="G37" s="862">
        <f>$C$4+$E$4</f>
        <v>20</v>
      </c>
      <c r="H37" s="863"/>
      <c r="I37" s="854">
        <v>3</v>
      </c>
      <c r="J37" s="854"/>
      <c r="K37" s="855">
        <v>1</v>
      </c>
      <c r="L37" s="855"/>
      <c r="M37" s="855"/>
      <c r="N37" s="855"/>
      <c r="O37" s="151">
        <f>G37*I37*K37</f>
        <v>60</v>
      </c>
    </row>
    <row r="38" spans="2:21" ht="18" thickBot="1">
      <c r="B38" s="827"/>
      <c r="C38" s="856" t="s">
        <v>451</v>
      </c>
      <c r="D38" s="857"/>
      <c r="E38" s="858"/>
      <c r="F38" s="34"/>
      <c r="G38" s="859">
        <v>50</v>
      </c>
      <c r="H38" s="860"/>
      <c r="I38" s="860"/>
      <c r="J38" s="860"/>
      <c r="K38" s="861">
        <f>C4</f>
        <v>20</v>
      </c>
      <c r="L38" s="861"/>
      <c r="M38" s="861"/>
      <c r="N38" s="861"/>
      <c r="O38" s="152">
        <f>G38*K38</f>
        <v>1000</v>
      </c>
    </row>
    <row r="39" spans="2:21" ht="18" thickBot="1">
      <c r="O39" s="150"/>
    </row>
    <row r="40" spans="2:21" ht="16.5" customHeight="1">
      <c r="B40" s="961" t="s">
        <v>337</v>
      </c>
      <c r="C40" s="1021" t="s">
        <v>251</v>
      </c>
      <c r="D40" s="1022"/>
      <c r="E40" s="1023"/>
      <c r="F40" s="165"/>
      <c r="G40" s="967"/>
      <c r="H40" s="1024"/>
      <c r="I40" s="969">
        <f>일정!G24</f>
        <v>30</v>
      </c>
      <c r="J40" s="970"/>
      <c r="K40" s="1044">
        <f>C4</f>
        <v>20</v>
      </c>
      <c r="L40" s="1044"/>
      <c r="M40" s="1044"/>
      <c r="N40" s="1045"/>
      <c r="O40" s="153">
        <f>G40*I40*K40</f>
        <v>0</v>
      </c>
    </row>
    <row r="41" spans="2:21">
      <c r="B41" s="1019"/>
      <c r="C41" s="1025" t="s">
        <v>250</v>
      </c>
      <c r="D41" s="1026"/>
      <c r="E41" s="1027"/>
      <c r="F41" s="165"/>
      <c r="G41" s="977"/>
      <c r="H41" s="1028"/>
      <c r="I41" s="979">
        <f>일정!G30</f>
        <v>28</v>
      </c>
      <c r="J41" s="980"/>
      <c r="K41" s="1046">
        <f>C4</f>
        <v>20</v>
      </c>
      <c r="L41" s="1047"/>
      <c r="M41" s="1047"/>
      <c r="N41" s="1048"/>
      <c r="O41" s="154">
        <f>G41*I41*K41</f>
        <v>0</v>
      </c>
    </row>
    <row r="42" spans="2:21">
      <c r="B42" s="1019"/>
      <c r="C42" s="1025" t="s">
        <v>249</v>
      </c>
      <c r="D42" s="1026"/>
      <c r="E42" s="1027"/>
      <c r="F42" s="165"/>
      <c r="G42" s="977"/>
      <c r="H42" s="1028"/>
      <c r="I42" s="979">
        <f>일정!G35</f>
        <v>36</v>
      </c>
      <c r="J42" s="980"/>
      <c r="K42" s="1046">
        <f>C4</f>
        <v>20</v>
      </c>
      <c r="L42" s="1047"/>
      <c r="M42" s="1047"/>
      <c r="N42" s="1048"/>
      <c r="O42" s="154">
        <f>G42*I42*K42</f>
        <v>0</v>
      </c>
    </row>
    <row r="43" spans="2:21">
      <c r="B43" s="1019"/>
      <c r="C43" s="1025" t="s">
        <v>336</v>
      </c>
      <c r="D43" s="1026"/>
      <c r="E43" s="1027"/>
      <c r="F43" s="165"/>
      <c r="G43" s="977"/>
      <c r="H43" s="1028"/>
      <c r="I43" s="979">
        <f>일정!G13</f>
        <v>19</v>
      </c>
      <c r="J43" s="980"/>
      <c r="K43" s="1046">
        <f>C4</f>
        <v>20</v>
      </c>
      <c r="L43" s="1047"/>
      <c r="M43" s="1047"/>
      <c r="N43" s="1048"/>
      <c r="O43" s="154">
        <f>G43*I43*K43</f>
        <v>0</v>
      </c>
    </row>
    <row r="44" spans="2:21" ht="18" thickBot="1">
      <c r="B44" s="1020"/>
      <c r="C44" s="1030" t="s">
        <v>252</v>
      </c>
      <c r="D44" s="1031"/>
      <c r="E44" s="1032"/>
      <c r="F44" s="165"/>
      <c r="G44" s="989"/>
      <c r="H44" s="1033"/>
      <c r="I44" s="991">
        <f>일정!G29</f>
        <v>40</v>
      </c>
      <c r="J44" s="992"/>
      <c r="K44" s="1049">
        <f>C4</f>
        <v>20</v>
      </c>
      <c r="L44" s="1050"/>
      <c r="M44" s="1050"/>
      <c r="N44" s="1051"/>
      <c r="O44" s="215">
        <f>G44*I44*K44</f>
        <v>0</v>
      </c>
    </row>
  </sheetData>
  <mergeCells count="72">
    <mergeCell ref="K42:N42"/>
    <mergeCell ref="C43:E43"/>
    <mergeCell ref="G43:H43"/>
    <mergeCell ref="I43:J43"/>
    <mergeCell ref="K43:N43"/>
    <mergeCell ref="B40:B44"/>
    <mergeCell ref="C40:E40"/>
    <mergeCell ref="G40:H40"/>
    <mergeCell ref="I40:J40"/>
    <mergeCell ref="K40:N40"/>
    <mergeCell ref="C41:E41"/>
    <mergeCell ref="G41:H41"/>
    <mergeCell ref="I41:J41"/>
    <mergeCell ref="K41:N41"/>
    <mergeCell ref="C42:E42"/>
    <mergeCell ref="C44:E44"/>
    <mergeCell ref="G44:H44"/>
    <mergeCell ref="I44:J44"/>
    <mergeCell ref="K44:N44"/>
    <mergeCell ref="G42:H42"/>
    <mergeCell ref="I42:J42"/>
    <mergeCell ref="B37:B38"/>
    <mergeCell ref="C37:E37"/>
    <mergeCell ref="G37:H37"/>
    <mergeCell ref="I37:J37"/>
    <mergeCell ref="K37:N37"/>
    <mergeCell ref="C38:E38"/>
    <mergeCell ref="G38:J38"/>
    <mergeCell ref="K38:N38"/>
    <mergeCell ref="B28:B34"/>
    <mergeCell ref="C28:E28"/>
    <mergeCell ref="C29:E29"/>
    <mergeCell ref="C30:E30"/>
    <mergeCell ref="C31:E31"/>
    <mergeCell ref="C32:E32"/>
    <mergeCell ref="C33:E33"/>
    <mergeCell ref="C34:D34"/>
    <mergeCell ref="B21:B27"/>
    <mergeCell ref="C21:E27"/>
    <mergeCell ref="B13:B20"/>
    <mergeCell ref="C13:E13"/>
    <mergeCell ref="C20:E20"/>
    <mergeCell ref="C14:E14"/>
    <mergeCell ref="C15:E15"/>
    <mergeCell ref="C16:E16"/>
    <mergeCell ref="C17:E17"/>
    <mergeCell ref="C18:E18"/>
    <mergeCell ref="C19:E19"/>
    <mergeCell ref="H7:K7"/>
    <mergeCell ref="M8:N8"/>
    <mergeCell ref="O8:O9"/>
    <mergeCell ref="B10:B12"/>
    <mergeCell ref="C11:E11"/>
    <mergeCell ref="C12:E12"/>
    <mergeCell ref="G8:H8"/>
    <mergeCell ref="I8:J8"/>
    <mergeCell ref="K8:L8"/>
    <mergeCell ref="C10:D10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6736424A-3F95-433B-A410-BFCA67CE1E64}"/>
  </hyperlink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9FDB3-8E8A-4856-96DE-72EBA52E08D1}">
  <sheetPr>
    <tabColor rgb="FFFFFF00"/>
  </sheetPr>
  <dimension ref="A1:AD44"/>
  <sheetViews>
    <sheetView workbookViewId="0">
      <selection activeCell="C5" sqref="C5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6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943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Aloft Novena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180</v>
      </c>
      <c r="M2" s="140">
        <f>$I$1+$K$1</f>
        <v>6</v>
      </c>
      <c r="N2" s="106">
        <f>L2*M2</f>
        <v>1080</v>
      </c>
      <c r="O2" s="929">
        <f>SUM(N2:N6)</f>
        <v>3240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918</v>
      </c>
      <c r="AC2" s="10">
        <v>180</v>
      </c>
      <c r="AD2" s="10">
        <v>180</v>
      </c>
    </row>
    <row r="3" spans="1:30" ht="28">
      <c r="B3" s="74" t="s">
        <v>239</v>
      </c>
      <c r="C3" s="938" t="s">
        <v>635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Aloft Novena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180</v>
      </c>
      <c r="M3" s="140">
        <f>$I$1+$K$1</f>
        <v>6</v>
      </c>
      <c r="N3" s="106">
        <f>L3*M3</f>
        <v>1080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12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927" t="str">
        <f>J2</f>
        <v>Aloft Novena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180</v>
      </c>
      <c r="M4" s="141">
        <f>$I$1+$K$1</f>
        <v>6</v>
      </c>
      <c r="N4" s="106">
        <f>L4*M4</f>
        <v>1080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>
        <f>H4+1</f>
        <v>45735</v>
      </c>
      <c r="I5" s="926"/>
      <c r="J5" s="939"/>
      <c r="K5" s="940"/>
      <c r="L5" s="135"/>
      <c r="M5" s="140"/>
      <c r="N5" s="106">
        <f>L5*M5</f>
        <v>0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 t="e">
        <f>(SUM(O10:O44)+O2)/C4+R6+T6</f>
        <v>#REF!</v>
      </c>
      <c r="D6" s="86" t="s">
        <v>254</v>
      </c>
      <c r="E6" s="94" t="e">
        <f>C6*$E$1</f>
        <v>#REF!</v>
      </c>
      <c r="F6" s="72"/>
      <c r="G6" s="922"/>
      <c r="H6" s="925">
        <f>H5+1</f>
        <v>45736</v>
      </c>
      <c r="I6" s="926"/>
      <c r="J6" s="935"/>
      <c r="K6" s="935"/>
      <c r="L6" s="136"/>
      <c r="M6" s="89"/>
      <c r="N6" s="107">
        <f>L6*M6</f>
        <v>0</v>
      </c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0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67" t="s">
        <v>947</v>
      </c>
      <c r="D10" s="916"/>
      <c r="E10" s="499"/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200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350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4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8" thickBot="1">
      <c r="B12" s="865"/>
      <c r="C12" s="917" t="s">
        <v>247</v>
      </c>
      <c r="D12" s="918"/>
      <c r="E12" s="919"/>
      <c r="F12" s="72"/>
      <c r="G12" s="104"/>
      <c r="H12" s="314"/>
      <c r="I12" s="130"/>
      <c r="J12" s="314"/>
      <c r="K12" s="130"/>
      <c r="L12" s="138"/>
      <c r="M12" s="130"/>
      <c r="N12" s="138"/>
      <c r="O12" s="148">
        <f t="shared" si="0"/>
        <v>0</v>
      </c>
      <c r="R12" s="72"/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530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905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865"/>
      <c r="C14" s="882" t="s">
        <v>283</v>
      </c>
      <c r="D14" s="883"/>
      <c r="E14" s="884"/>
      <c r="F14" s="72"/>
      <c r="G14" s="102"/>
      <c r="H14" s="115"/>
      <c r="I14" s="120"/>
      <c r="J14" s="110"/>
      <c r="K14" s="123"/>
      <c r="L14" s="91"/>
      <c r="M14" s="123"/>
      <c r="N14" s="91"/>
      <c r="O14" s="144">
        <f t="shared" si="0"/>
        <v>0</v>
      </c>
      <c r="Q14" s="7"/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865"/>
      <c r="C15" s="948" t="s">
        <v>803</v>
      </c>
      <c r="D15" s="946"/>
      <c r="E15" s="947"/>
      <c r="F15" s="72"/>
      <c r="G15" s="102"/>
      <c r="H15" s="115"/>
      <c r="I15" s="120"/>
      <c r="J15" s="110"/>
      <c r="K15" s="123"/>
      <c r="L15" s="91"/>
      <c r="M15" s="123"/>
      <c r="N15" s="91"/>
      <c r="O15" s="144">
        <f t="shared" si="0"/>
        <v>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922</v>
      </c>
      <c r="AC15" s="10">
        <v>185</v>
      </c>
      <c r="AD15" s="10">
        <v>185</v>
      </c>
    </row>
    <row r="16" spans="1:30">
      <c r="B16" s="865"/>
      <c r="C16" s="876" t="s">
        <v>632</v>
      </c>
      <c r="D16" s="877"/>
      <c r="E16" s="878"/>
      <c r="F16" s="72"/>
      <c r="G16" s="99"/>
      <c r="H16" s="110"/>
      <c r="I16" s="122">
        <f>식사!E28</f>
        <v>35</v>
      </c>
      <c r="J16" s="115">
        <f>$C$4+$E$4</f>
        <v>12</v>
      </c>
      <c r="K16" s="120"/>
      <c r="L16" s="91"/>
      <c r="M16" s="120"/>
      <c r="N16" s="91"/>
      <c r="O16" s="144">
        <f t="shared" si="0"/>
        <v>420</v>
      </c>
      <c r="AB16" s="496" t="s">
        <v>726</v>
      </c>
      <c r="AC16" s="10">
        <v>185</v>
      </c>
      <c r="AD16" s="10">
        <v>185</v>
      </c>
    </row>
    <row r="17" spans="2:30">
      <c r="B17" s="865"/>
      <c r="C17" s="882" t="s">
        <v>804</v>
      </c>
      <c r="D17" s="883"/>
      <c r="E17" s="884"/>
      <c r="F17" s="72"/>
      <c r="G17" s="102"/>
      <c r="H17" s="115"/>
      <c r="I17" s="161"/>
      <c r="J17" s="314"/>
      <c r="K17" s="161"/>
      <c r="L17" s="138"/>
      <c r="M17" s="161"/>
      <c r="N17" s="138"/>
      <c r="O17" s="144">
        <f t="shared" si="0"/>
        <v>0</v>
      </c>
      <c r="Q17" s="7"/>
      <c r="AB17" s="496" t="s">
        <v>931</v>
      </c>
      <c r="AC17" s="10">
        <v>155</v>
      </c>
      <c r="AD17" s="10">
        <v>155</v>
      </c>
    </row>
    <row r="18" spans="2:30">
      <c r="B18" s="865"/>
      <c r="C18" s="879" t="str">
        <f>일정!C27</f>
        <v>가든스바이더베이 2돔 ( 쥬랴기 )</v>
      </c>
      <c r="D18" s="891"/>
      <c r="E18" s="892"/>
      <c r="F18" s="72"/>
      <c r="G18" s="101">
        <f>일정!E27</f>
        <v>28.3</v>
      </c>
      <c r="H18" s="115">
        <f>$C$4+$E$4</f>
        <v>12</v>
      </c>
      <c r="I18" s="130"/>
      <c r="J18" s="314"/>
      <c r="K18" s="130"/>
      <c r="L18" s="138"/>
      <c r="M18" s="130"/>
      <c r="N18" s="138"/>
      <c r="O18" s="144">
        <f t="shared" si="0"/>
        <v>339.6</v>
      </c>
      <c r="R18" s="72"/>
      <c r="AB18" s="496" t="s">
        <v>923</v>
      </c>
      <c r="AC18" s="10">
        <v>185</v>
      </c>
      <c r="AD18" s="10">
        <v>185</v>
      </c>
    </row>
    <row r="19" spans="2:30">
      <c r="B19" s="865"/>
      <c r="C19" s="876" t="s">
        <v>806</v>
      </c>
      <c r="D19" s="877"/>
      <c r="E19" s="878"/>
      <c r="F19" s="72"/>
      <c r="G19" s="99"/>
      <c r="H19" s="110"/>
      <c r="I19" s="122">
        <f>식사!E16</f>
        <v>30</v>
      </c>
      <c r="J19" s="115">
        <f>$C$4+$E$4</f>
        <v>12</v>
      </c>
      <c r="K19" s="120"/>
      <c r="L19" s="91"/>
      <c r="M19" s="120"/>
      <c r="N19" s="91"/>
      <c r="O19" s="144">
        <f t="shared" si="0"/>
        <v>360</v>
      </c>
      <c r="Q19" s="7"/>
      <c r="AB19" s="497" t="s">
        <v>928</v>
      </c>
      <c r="AC19" s="10">
        <v>280</v>
      </c>
      <c r="AD19" s="10">
        <v>280</v>
      </c>
    </row>
    <row r="20" spans="2:30">
      <c r="B20" s="865"/>
      <c r="C20" s="890" t="s">
        <v>805</v>
      </c>
      <c r="D20" s="891"/>
      <c r="E20" s="892"/>
      <c r="F20" s="72"/>
      <c r="G20" s="99"/>
      <c r="H20" s="110"/>
      <c r="I20" s="102"/>
      <c r="J20" s="115"/>
      <c r="K20" s="120"/>
      <c r="L20" s="91"/>
      <c r="M20" s="120"/>
      <c r="N20" s="91"/>
      <c r="O20" s="144">
        <f t="shared" si="0"/>
        <v>0</v>
      </c>
      <c r="Q20" s="7"/>
      <c r="AB20" s="497" t="s">
        <v>442</v>
      </c>
      <c r="AC20" s="10">
        <v>366</v>
      </c>
      <c r="AD20" s="10">
        <v>366</v>
      </c>
    </row>
    <row r="21" spans="2:30" ht="18" thickBot="1">
      <c r="B21" s="906"/>
      <c r="C21" s="893" t="s">
        <v>1005</v>
      </c>
      <c r="D21" s="894"/>
      <c r="E21" s="895"/>
      <c r="F21" s="72"/>
      <c r="G21" s="102"/>
      <c r="H21" s="115"/>
      <c r="I21" s="123"/>
      <c r="J21" s="110"/>
      <c r="K21" s="123"/>
      <c r="L21" s="91"/>
      <c r="M21" s="123"/>
      <c r="N21" s="91"/>
      <c r="O21" s="144">
        <f t="shared" si="0"/>
        <v>0</v>
      </c>
      <c r="Q21" s="7"/>
    </row>
    <row r="22" spans="2:30">
      <c r="B22" s="864" t="str">
        <f>TEXT(C5+2,"m월 d일 aaaa")</f>
        <v>3월 18일 화요일</v>
      </c>
      <c r="C22" s="896" t="s">
        <v>240</v>
      </c>
      <c r="D22" s="897"/>
      <c r="E22" s="898"/>
      <c r="F22" s="72"/>
      <c r="G22" s="98"/>
      <c r="H22" s="109"/>
      <c r="I22" s="119"/>
      <c r="J22" s="109"/>
      <c r="K22" s="128">
        <f>IF(C4+E4&lt;8,'가이드&amp;차량'!C47, IF(C4+E4&lt;=14,'가이드&amp;차량'!C39,'가이드&amp;차량'!C23))</f>
        <v>530</v>
      </c>
      <c r="L22" s="90">
        <f>L10</f>
        <v>1</v>
      </c>
      <c r="M22" s="128">
        <f>'가이드&amp;차량'!C6</f>
        <v>375</v>
      </c>
      <c r="N22" s="90">
        <f>N10</f>
        <v>1</v>
      </c>
      <c r="O22" s="143">
        <f t="shared" si="0"/>
        <v>905</v>
      </c>
      <c r="Q22" s="159" t="s">
        <v>277</v>
      </c>
    </row>
    <row r="23" spans="2:30">
      <c r="B23" s="888"/>
      <c r="C23" s="907" t="s">
        <v>505</v>
      </c>
      <c r="D23" s="908"/>
      <c r="E23" s="909"/>
      <c r="F23" s="72"/>
      <c r="G23" s="102"/>
      <c r="H23" s="115"/>
      <c r="I23" s="123"/>
      <c r="J23" s="110"/>
      <c r="K23" s="123"/>
      <c r="L23" s="91"/>
      <c r="M23" s="123"/>
      <c r="N23" s="91"/>
      <c r="O23" s="144">
        <f t="shared" si="0"/>
        <v>0</v>
      </c>
      <c r="Q23" s="7"/>
    </row>
    <row r="24" spans="2:30">
      <c r="B24" s="888"/>
      <c r="C24" s="902" t="s">
        <v>807</v>
      </c>
      <c r="D24" s="903"/>
      <c r="E24" s="904"/>
      <c r="F24" s="72"/>
      <c r="G24" s="99"/>
      <c r="H24" s="110"/>
      <c r="I24" s="122">
        <f>식사!E21</f>
        <v>18</v>
      </c>
      <c r="J24" s="115">
        <f>$C$4+$E$4</f>
        <v>12</v>
      </c>
      <c r="K24" s="123"/>
      <c r="L24" s="91"/>
      <c r="M24" s="102"/>
      <c r="N24" s="91"/>
      <c r="O24" s="146">
        <f t="shared" si="0"/>
        <v>216</v>
      </c>
      <c r="Q24" s="7"/>
    </row>
    <row r="25" spans="2:30">
      <c r="B25" s="888"/>
      <c r="C25" s="882" t="s">
        <v>808</v>
      </c>
      <c r="D25" s="883"/>
      <c r="E25" s="884"/>
      <c r="F25" s="72"/>
      <c r="G25" s="101">
        <f>일정!E10+일정!E20+일정!E19</f>
        <v>76.3</v>
      </c>
      <c r="H25" s="115">
        <f>$C$4+$E$4</f>
        <v>12</v>
      </c>
      <c r="I25" s="102"/>
      <c r="J25" s="115"/>
      <c r="K25" s="123"/>
      <c r="L25" s="91"/>
      <c r="M25" s="102"/>
      <c r="N25" s="91"/>
      <c r="O25" s="146">
        <f t="shared" si="0"/>
        <v>915.59999999999991</v>
      </c>
      <c r="Q25" s="7"/>
    </row>
    <row r="26" spans="2:30">
      <c r="B26" s="888"/>
      <c r="C26" s="907" t="s">
        <v>809</v>
      </c>
      <c r="D26" s="908"/>
      <c r="E26" s="909"/>
      <c r="F26" s="72"/>
      <c r="G26" s="101">
        <f>일정!E9</f>
        <v>41.3</v>
      </c>
      <c r="H26" s="115">
        <f>$C$4+$E$4</f>
        <v>12</v>
      </c>
      <c r="I26" s="102"/>
      <c r="J26" s="115"/>
      <c r="K26" s="123"/>
      <c r="L26" s="91"/>
      <c r="M26" s="102"/>
      <c r="N26" s="91"/>
      <c r="O26" s="146">
        <f t="shared" si="0"/>
        <v>495.59999999999997</v>
      </c>
      <c r="Q26" s="7"/>
    </row>
    <row r="27" spans="2:30">
      <c r="B27" s="888"/>
      <c r="C27" s="902" t="s">
        <v>630</v>
      </c>
      <c r="D27" s="903"/>
      <c r="E27" s="904"/>
      <c r="F27" s="72"/>
      <c r="G27" s="99"/>
      <c r="H27" s="110"/>
      <c r="I27" s="122" t="e">
        <f>식사!#REF!</f>
        <v>#REF!</v>
      </c>
      <c r="J27" s="115">
        <f>$C$4+$E$4</f>
        <v>12</v>
      </c>
      <c r="K27" s="123"/>
      <c r="L27" s="91"/>
      <c r="M27" s="123"/>
      <c r="N27" s="91"/>
      <c r="O27" s="146" t="e">
        <f t="shared" si="0"/>
        <v>#REF!</v>
      </c>
      <c r="Q27" s="7"/>
    </row>
    <row r="28" spans="2:30" ht="18" thickBot="1">
      <c r="B28" s="866"/>
      <c r="C28" s="917" t="s">
        <v>248</v>
      </c>
      <c r="D28" s="918"/>
      <c r="E28" s="919"/>
      <c r="F28" s="72"/>
      <c r="G28" s="100"/>
      <c r="H28" s="111"/>
      <c r="I28" s="124"/>
      <c r="J28" s="126"/>
      <c r="K28" s="129"/>
      <c r="L28" s="137"/>
      <c r="M28" s="124"/>
      <c r="N28" s="137"/>
      <c r="O28" s="147">
        <f t="shared" si="0"/>
        <v>0</v>
      </c>
      <c r="Q28" s="7"/>
    </row>
    <row r="29" spans="2:30">
      <c r="B29" s="864" t="str">
        <f>TEXT(C5+3,"m월 d일 aaaa")</f>
        <v>3월 19일 수요일</v>
      </c>
      <c r="C29" s="896" t="s">
        <v>330</v>
      </c>
      <c r="D29" s="897"/>
      <c r="E29" s="898"/>
      <c r="F29" s="72"/>
      <c r="G29" s="98"/>
      <c r="H29" s="109"/>
      <c r="I29" s="119"/>
      <c r="J29" s="109"/>
      <c r="K29" s="128">
        <f>IF(C4+E4&lt;8,'가이드&amp;차량'!C47, IF(C4+E4&lt;=14,'가이드&amp;차량'!C39,'가이드&amp;차량'!C23))</f>
        <v>530</v>
      </c>
      <c r="L29" s="90">
        <f>L10</f>
        <v>1</v>
      </c>
      <c r="M29" s="128">
        <f>'가이드&amp;차량'!C6+'가이드&amp;차량'!C3</f>
        <v>525</v>
      </c>
      <c r="N29" s="90">
        <f>N10</f>
        <v>1</v>
      </c>
      <c r="O29" s="143">
        <f t="shared" si="0"/>
        <v>1055</v>
      </c>
      <c r="Q29" s="159" t="s">
        <v>278</v>
      </c>
    </row>
    <row r="30" spans="2:30">
      <c r="B30" s="888"/>
      <c r="C30" s="899" t="s">
        <v>622</v>
      </c>
      <c r="D30" s="900"/>
      <c r="E30" s="901"/>
      <c r="F30" s="72"/>
      <c r="G30" s="101">
        <f>일정!E38</f>
        <v>23.5</v>
      </c>
      <c r="H30" s="115">
        <f>$C$4+$E$4</f>
        <v>12</v>
      </c>
      <c r="I30" s="123"/>
      <c r="J30" s="110"/>
      <c r="K30" s="123"/>
      <c r="L30" s="91"/>
      <c r="M30" s="123"/>
      <c r="N30" s="91"/>
      <c r="O30" s="144">
        <f t="shared" si="0"/>
        <v>282</v>
      </c>
    </row>
    <row r="31" spans="2:30">
      <c r="B31" s="888"/>
      <c r="C31" s="876" t="s">
        <v>810</v>
      </c>
      <c r="D31" s="877"/>
      <c r="E31" s="878"/>
      <c r="F31" s="72"/>
      <c r="G31" s="99"/>
      <c r="H31" s="110"/>
      <c r="I31" s="122">
        <f>식사!E23</f>
        <v>28</v>
      </c>
      <c r="J31" s="115">
        <f>$C$4+$E$4</f>
        <v>12</v>
      </c>
      <c r="K31" s="120"/>
      <c r="L31" s="91"/>
      <c r="M31" s="120"/>
      <c r="N31" s="91"/>
      <c r="O31" s="144">
        <f t="shared" si="0"/>
        <v>336</v>
      </c>
    </row>
    <row r="32" spans="2:30">
      <c r="B32" s="888"/>
      <c r="C32" s="890" t="s">
        <v>811</v>
      </c>
      <c r="D32" s="891"/>
      <c r="E32" s="892"/>
      <c r="F32" s="72"/>
      <c r="G32" s="102"/>
      <c r="H32" s="115"/>
      <c r="I32" s="123"/>
      <c r="J32" s="110"/>
      <c r="K32" s="123"/>
      <c r="L32" s="91"/>
      <c r="M32" s="123"/>
      <c r="N32" s="91"/>
      <c r="O32" s="144">
        <f t="shared" si="0"/>
        <v>0</v>
      </c>
      <c r="Q32" s="7"/>
    </row>
    <row r="33" spans="2:21">
      <c r="B33" s="888"/>
      <c r="C33" s="902" t="s">
        <v>298</v>
      </c>
      <c r="D33" s="903"/>
      <c r="E33" s="904"/>
      <c r="F33" s="72"/>
      <c r="G33" s="104"/>
      <c r="H33" s="116"/>
      <c r="I33" s="122">
        <f>식사!E3</f>
        <v>25</v>
      </c>
      <c r="J33" s="115">
        <f>$C$4+$E$4</f>
        <v>12</v>
      </c>
      <c r="K33" s="130"/>
      <c r="L33" s="138"/>
      <c r="M33" s="130"/>
      <c r="N33" s="138"/>
      <c r="O33" s="148">
        <f t="shared" si="0"/>
        <v>300</v>
      </c>
    </row>
    <row r="34" spans="2:21" ht="18" thickBot="1">
      <c r="B34" s="866"/>
      <c r="C34" s="1067" t="s">
        <v>812</v>
      </c>
      <c r="D34" s="935"/>
      <c r="E34" s="1068"/>
      <c r="F34" s="34"/>
      <c r="G34" s="105"/>
      <c r="H34" s="117"/>
      <c r="I34" s="124"/>
      <c r="J34" s="126"/>
      <c r="K34" s="131"/>
      <c r="L34" s="139"/>
      <c r="M34" s="131"/>
      <c r="N34" s="139"/>
      <c r="O34" s="149">
        <f t="shared" si="0"/>
        <v>0</v>
      </c>
      <c r="P34" s="34"/>
      <c r="Q34" s="34"/>
      <c r="R34" s="34"/>
      <c r="S34" s="34"/>
      <c r="T34" s="34"/>
      <c r="U34" s="34"/>
    </row>
    <row r="35" spans="2:21">
      <c r="B35" s="72"/>
      <c r="C35" s="72"/>
      <c r="D35" s="72"/>
      <c r="E35" s="72"/>
      <c r="F35" s="72"/>
      <c r="G35" s="72"/>
      <c r="H35" s="72"/>
      <c r="K35" s="132">
        <f>SUM(K10:K34)</f>
        <v>1790</v>
      </c>
      <c r="L35" s="72"/>
      <c r="M35" s="132">
        <f>SUM(M10:M34)</f>
        <v>1425</v>
      </c>
      <c r="N35" s="72"/>
      <c r="O35" s="150"/>
      <c r="P35" s="156"/>
    </row>
    <row r="36" spans="2:21" ht="18" thickBot="1">
      <c r="O36" s="150"/>
    </row>
    <row r="37" spans="2:21">
      <c r="B37" s="872" t="s">
        <v>246</v>
      </c>
      <c r="C37" s="873" t="s">
        <v>288</v>
      </c>
      <c r="D37" s="874"/>
      <c r="E37" s="875"/>
      <c r="F37" s="34"/>
      <c r="G37" s="862">
        <f>$C$4+$E$4</f>
        <v>12</v>
      </c>
      <c r="H37" s="863"/>
      <c r="I37" s="854">
        <v>3</v>
      </c>
      <c r="J37" s="854"/>
      <c r="K37" s="855">
        <v>1</v>
      </c>
      <c r="L37" s="855"/>
      <c r="M37" s="855"/>
      <c r="N37" s="855"/>
      <c r="O37" s="151">
        <f>G37*I37*K37</f>
        <v>36</v>
      </c>
    </row>
    <row r="38" spans="2:21" ht="18" thickBot="1">
      <c r="B38" s="827"/>
      <c r="C38" s="856" t="s">
        <v>451</v>
      </c>
      <c r="D38" s="857"/>
      <c r="E38" s="858"/>
      <c r="F38" s="34"/>
      <c r="G38" s="859">
        <v>50</v>
      </c>
      <c r="H38" s="860"/>
      <c r="I38" s="860"/>
      <c r="J38" s="860"/>
      <c r="K38" s="861">
        <f>C4</f>
        <v>12</v>
      </c>
      <c r="L38" s="861"/>
      <c r="M38" s="861"/>
      <c r="N38" s="861"/>
      <c r="O38" s="152">
        <f>G38*K38</f>
        <v>600</v>
      </c>
    </row>
    <row r="39" spans="2:21">
      <c r="O39" s="150"/>
    </row>
    <row r="40" spans="2:21" ht="16.5" customHeight="1">
      <c r="B40" s="961" t="s">
        <v>337</v>
      </c>
      <c r="C40" s="1021" t="s">
        <v>251</v>
      </c>
      <c r="D40" s="1022"/>
      <c r="E40" s="1023"/>
      <c r="F40" s="165"/>
      <c r="G40" s="967"/>
      <c r="H40" s="1024"/>
      <c r="I40" s="969">
        <f>일정!G24</f>
        <v>30</v>
      </c>
      <c r="J40" s="970"/>
      <c r="K40" s="1044">
        <f>C4</f>
        <v>12</v>
      </c>
      <c r="L40" s="1044"/>
      <c r="M40" s="1044"/>
      <c r="N40" s="1045"/>
      <c r="O40" s="153">
        <f>G40*I40*K40</f>
        <v>0</v>
      </c>
    </row>
    <row r="41" spans="2:21">
      <c r="B41" s="1019"/>
      <c r="C41" s="1087" t="s">
        <v>250</v>
      </c>
      <c r="D41" s="1088"/>
      <c r="E41" s="1089"/>
      <c r="F41" s="445"/>
      <c r="G41" s="1090">
        <v>1</v>
      </c>
      <c r="H41" s="1091"/>
      <c r="I41" s="1092">
        <f>일정!G30</f>
        <v>28</v>
      </c>
      <c r="J41" s="1093"/>
      <c r="K41" s="1046">
        <f>C4</f>
        <v>12</v>
      </c>
      <c r="L41" s="1047"/>
      <c r="M41" s="1047"/>
      <c r="N41" s="1048"/>
      <c r="O41" s="154">
        <f>G41*I41*K41</f>
        <v>336</v>
      </c>
    </row>
    <row r="42" spans="2:21">
      <c r="B42" s="1019"/>
      <c r="C42" s="1087" t="s">
        <v>249</v>
      </c>
      <c r="D42" s="1088"/>
      <c r="E42" s="1089"/>
      <c r="F42" s="445"/>
      <c r="G42" s="1090">
        <v>1</v>
      </c>
      <c r="H42" s="1091"/>
      <c r="I42" s="1092">
        <f>일정!G35</f>
        <v>36</v>
      </c>
      <c r="J42" s="1093"/>
      <c r="K42" s="1046">
        <f>C4</f>
        <v>12</v>
      </c>
      <c r="L42" s="1047"/>
      <c r="M42" s="1047"/>
      <c r="N42" s="1048"/>
      <c r="O42" s="154">
        <f>G42*I42*K42</f>
        <v>432</v>
      </c>
    </row>
    <row r="43" spans="2:21">
      <c r="B43" s="1019"/>
      <c r="C43" s="1025" t="s">
        <v>336</v>
      </c>
      <c r="D43" s="1026"/>
      <c r="E43" s="1027"/>
      <c r="F43" s="165"/>
      <c r="G43" s="977"/>
      <c r="H43" s="1028"/>
      <c r="I43" s="979">
        <f>일정!G13</f>
        <v>19</v>
      </c>
      <c r="J43" s="980"/>
      <c r="K43" s="1046">
        <f>C4</f>
        <v>12</v>
      </c>
      <c r="L43" s="1047"/>
      <c r="M43" s="1047"/>
      <c r="N43" s="1048"/>
      <c r="O43" s="154">
        <f>G43*I43*K43</f>
        <v>0</v>
      </c>
    </row>
    <row r="44" spans="2:21" ht="18" thickBot="1">
      <c r="B44" s="1020"/>
      <c r="C44" s="1030" t="s">
        <v>252</v>
      </c>
      <c r="D44" s="1031"/>
      <c r="E44" s="1032"/>
      <c r="F44" s="165"/>
      <c r="G44" s="989"/>
      <c r="H44" s="1033"/>
      <c r="I44" s="991">
        <f>일정!G29</f>
        <v>40</v>
      </c>
      <c r="J44" s="992"/>
      <c r="K44" s="1049">
        <f>C4</f>
        <v>12</v>
      </c>
      <c r="L44" s="1050"/>
      <c r="M44" s="1050"/>
      <c r="N44" s="1051"/>
      <c r="O44" s="215">
        <f>G44*I44*K44</f>
        <v>0</v>
      </c>
    </row>
  </sheetData>
  <mergeCells count="78">
    <mergeCell ref="K42:N42"/>
    <mergeCell ref="C43:E43"/>
    <mergeCell ref="G43:H43"/>
    <mergeCell ref="I43:J43"/>
    <mergeCell ref="K43:N43"/>
    <mergeCell ref="B40:B44"/>
    <mergeCell ref="C40:E40"/>
    <mergeCell ref="G40:H40"/>
    <mergeCell ref="I40:J40"/>
    <mergeCell ref="K40:N40"/>
    <mergeCell ref="C41:E41"/>
    <mergeCell ref="G41:H41"/>
    <mergeCell ref="I41:J41"/>
    <mergeCell ref="K41:N41"/>
    <mergeCell ref="C42:E42"/>
    <mergeCell ref="C44:E44"/>
    <mergeCell ref="G44:H44"/>
    <mergeCell ref="I44:J44"/>
    <mergeCell ref="K44:N44"/>
    <mergeCell ref="G42:H42"/>
    <mergeCell ref="I42:J42"/>
    <mergeCell ref="B37:B38"/>
    <mergeCell ref="C37:E37"/>
    <mergeCell ref="G37:H37"/>
    <mergeCell ref="I37:J37"/>
    <mergeCell ref="K37:N37"/>
    <mergeCell ref="C38:E38"/>
    <mergeCell ref="G38:J38"/>
    <mergeCell ref="K38:N38"/>
    <mergeCell ref="B29:B34"/>
    <mergeCell ref="C29:E29"/>
    <mergeCell ref="C30:E30"/>
    <mergeCell ref="C31:E31"/>
    <mergeCell ref="C33:E33"/>
    <mergeCell ref="C34:E34"/>
    <mergeCell ref="C32:E32"/>
    <mergeCell ref="B22:B28"/>
    <mergeCell ref="C22:E22"/>
    <mergeCell ref="C23:E23"/>
    <mergeCell ref="C24:E24"/>
    <mergeCell ref="C25:E25"/>
    <mergeCell ref="C26:E26"/>
    <mergeCell ref="C27:E27"/>
    <mergeCell ref="C28:E28"/>
    <mergeCell ref="B13:B21"/>
    <mergeCell ref="C13:E13"/>
    <mergeCell ref="C14:E14"/>
    <mergeCell ref="C16:E16"/>
    <mergeCell ref="C18:E18"/>
    <mergeCell ref="C19:E19"/>
    <mergeCell ref="C20:E20"/>
    <mergeCell ref="C21:E21"/>
    <mergeCell ref="C15:E15"/>
    <mergeCell ref="C17:E17"/>
    <mergeCell ref="H7:K7"/>
    <mergeCell ref="M8:N8"/>
    <mergeCell ref="O8:O9"/>
    <mergeCell ref="B10:B12"/>
    <mergeCell ref="C11:E11"/>
    <mergeCell ref="C12:E12"/>
    <mergeCell ref="G8:H8"/>
    <mergeCell ref="I8:J8"/>
    <mergeCell ref="K8:L8"/>
    <mergeCell ref="C10:D10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B779F66B-D672-49FA-8E9C-AFF7C1578B28}"/>
  </hyperlink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748A9-DAB6-4867-BEF1-FBA73F81F16B}">
  <dimension ref="A1:AF44"/>
  <sheetViews>
    <sheetView workbookViewId="0">
      <selection activeCell="C31" sqref="C31:G31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7" max="27" width="2.83203125" customWidth="1"/>
    <col min="28" max="28" width="19.33203125" bestFit="1" customWidth="1"/>
  </cols>
  <sheetData>
    <row r="1" spans="1:32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10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2">
      <c r="B2" s="73" t="s">
        <v>238</v>
      </c>
      <c r="C2" s="923" t="s">
        <v>991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Mercure Stevens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180</v>
      </c>
      <c r="M2" s="140">
        <f>$I$1+$K$1</f>
        <v>10</v>
      </c>
      <c r="N2" s="106">
        <f>L2*M2</f>
        <v>1800</v>
      </c>
      <c r="O2" s="929">
        <f>SUM(N2:N6)</f>
        <v>5400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925</v>
      </c>
      <c r="AC2" s="10">
        <v>180</v>
      </c>
      <c r="AD2" s="10">
        <v>180</v>
      </c>
    </row>
    <row r="3" spans="1:32" ht="28">
      <c r="B3" s="74" t="s">
        <v>239</v>
      </c>
      <c r="C3" s="938" t="s">
        <v>990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Mercure Stevens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180</v>
      </c>
      <c r="M3" s="140">
        <f>$I$1+$K$1</f>
        <v>10</v>
      </c>
      <c r="N3" s="106">
        <f>L3*M3</f>
        <v>1800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2" ht="18" thickBot="1">
      <c r="B4" s="75" t="s">
        <v>241</v>
      </c>
      <c r="C4" s="81">
        <v>20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927" t="str">
        <f>J2</f>
        <v>Mercure Stevens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180</v>
      </c>
      <c r="M4" s="141">
        <f>$I$1+$K$1</f>
        <v>10</v>
      </c>
      <c r="N4" s="106">
        <f>L4*M4</f>
        <v>1800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tr">
        <f>'25메인호텔'!F2</f>
        <v>Momentus</v>
      </c>
      <c r="AC4" s="35">
        <f>'25메인호텔'!G2</f>
        <v>190</v>
      </c>
      <c r="AD4" s="35">
        <f>'25메인호텔'!H2</f>
        <v>180</v>
      </c>
      <c r="AE4" s="34"/>
      <c r="AF4" s="34"/>
    </row>
    <row r="5" spans="1:32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>
        <f>H4+1</f>
        <v>45735</v>
      </c>
      <c r="I5" s="926"/>
      <c r="J5" s="939"/>
      <c r="K5" s="940"/>
      <c r="L5" s="135"/>
      <c r="M5" s="140"/>
      <c r="N5" s="106">
        <f>L5*M5</f>
        <v>0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tr">
        <f>'25메인호텔'!F3</f>
        <v>Aloft Novena</v>
      </c>
      <c r="AC5" s="35">
        <f>'25메인호텔'!G3</f>
        <v>180</v>
      </c>
      <c r="AD5" s="35">
        <f>'25메인호텔'!H3</f>
        <v>180</v>
      </c>
      <c r="AE5" s="34"/>
      <c r="AF5" s="34"/>
    </row>
    <row r="6" spans="1:32" ht="17.25" customHeight="1" thickBot="1">
      <c r="B6" s="77" t="s">
        <v>243</v>
      </c>
      <c r="C6" s="83">
        <f>(SUM(O10:O44)+O2)/C4+R3+T5</f>
        <v>667.55</v>
      </c>
      <c r="D6" s="86" t="s">
        <v>254</v>
      </c>
      <c r="E6" s="94">
        <f>C6*$E$1</f>
        <v>734305</v>
      </c>
      <c r="F6" s="72"/>
      <c r="G6" s="922"/>
      <c r="H6" s="925">
        <f>H5+1</f>
        <v>45736</v>
      </c>
      <c r="I6" s="926"/>
      <c r="J6" s="935"/>
      <c r="K6" s="935"/>
      <c r="L6" s="136"/>
      <c r="M6" s="89"/>
      <c r="N6" s="107">
        <f>L6*M6</f>
        <v>0</v>
      </c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tr">
        <f>'25메인호텔'!F4</f>
        <v>Mercure Stevens</v>
      </c>
      <c r="AC6" s="35">
        <f>'25메인호텔'!G4</f>
        <v>180</v>
      </c>
      <c r="AD6" s="35">
        <f>'25메인호텔'!H4</f>
        <v>180</v>
      </c>
      <c r="AE6" s="34"/>
      <c r="AF6" s="34"/>
    </row>
    <row r="7" spans="1:32" ht="18" thickBot="1">
      <c r="B7" s="78" t="s">
        <v>244</v>
      </c>
      <c r="C7" s="183">
        <v>3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tr">
        <f>'25메인호텔'!F5</f>
        <v>M Hotel City Centre</v>
      </c>
      <c r="AC7" s="35">
        <f>'25메인호텔'!G5</f>
        <v>230</v>
      </c>
      <c r="AD7" s="35">
        <f>'25메인호텔'!H5</f>
        <v>230</v>
      </c>
      <c r="AE7" s="34"/>
      <c r="AF7" s="34"/>
    </row>
    <row r="8" spans="1:32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tr">
        <f>'25메인호텔'!F6</f>
        <v>Concorde Hotel</v>
      </c>
      <c r="AC8" s="35">
        <f>'25메인호텔'!G6</f>
        <v>230</v>
      </c>
      <c r="AD8" s="35">
        <f>'25메인호텔'!H6</f>
        <v>230</v>
      </c>
      <c r="AE8" s="34"/>
      <c r="AF8" s="34"/>
    </row>
    <row r="9" spans="1:32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tr">
        <f>'25메인호텔'!F7</f>
        <v>Oasia Novena</v>
      </c>
      <c r="AC9" s="35">
        <f>'25메인호텔'!G7</f>
        <v>210</v>
      </c>
      <c r="AD9" s="35">
        <f>'25메인호텔'!H7</f>
        <v>210</v>
      </c>
      <c r="AE9" s="34"/>
      <c r="AF9" s="34"/>
    </row>
    <row r="10" spans="1:32">
      <c r="B10" s="905" t="str">
        <f>TEXT(C5,"m월 d일 aaaa")</f>
        <v>3월 16일 일요일</v>
      </c>
      <c r="C10" s="867" t="s">
        <v>947</v>
      </c>
      <c r="D10" s="916"/>
      <c r="E10" s="499">
        <f>상품리스트!F32</f>
        <v>0.97569444444444442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280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430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tr">
        <f>'25메인호텔'!F8</f>
        <v>Orchid Hotel</v>
      </c>
      <c r="AC10" s="35">
        <f>'25메인호텔'!G8</f>
        <v>220</v>
      </c>
      <c r="AD10" s="35">
        <f>'25메인호텔'!H8</f>
        <v>220</v>
      </c>
      <c r="AE10" s="34"/>
      <c r="AF10" s="34"/>
    </row>
    <row r="11" spans="1:32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4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tr">
        <f>'25메인호텔'!F9</f>
        <v>Amara Singapore</v>
      </c>
      <c r="AC11" s="35">
        <f>'25메인호텔'!G9</f>
        <v>230</v>
      </c>
      <c r="AD11" s="35">
        <f>'25메인호텔'!H9</f>
        <v>230</v>
      </c>
      <c r="AE11" s="34"/>
      <c r="AF11" s="34"/>
    </row>
    <row r="12" spans="1:32" ht="18" thickBot="1">
      <c r="B12" s="865"/>
      <c r="C12" s="917" t="s">
        <v>247</v>
      </c>
      <c r="D12" s="918"/>
      <c r="E12" s="919"/>
      <c r="F12" s="72"/>
      <c r="G12" s="104"/>
      <c r="H12" s="314"/>
      <c r="I12" s="130"/>
      <c r="J12" s="314"/>
      <c r="K12" s="130"/>
      <c r="L12" s="138"/>
      <c r="M12" s="130"/>
      <c r="N12" s="138"/>
      <c r="O12" s="148">
        <f t="shared" si="0"/>
        <v>0</v>
      </c>
      <c r="R12" s="72"/>
      <c r="V12" s="190" t="str">
        <f>서차지!B13</f>
        <v xml:space="preserve">Food &amp; Hotel Beverage </v>
      </c>
      <c r="W12" s="189">
        <f>서차지!C13</f>
        <v>0</v>
      </c>
      <c r="X12" s="189">
        <f>서차지!D13</f>
        <v>0</v>
      </c>
      <c r="Y12" s="188">
        <f>서차지!E13</f>
        <v>0</v>
      </c>
      <c r="AB12" s="495" t="str">
        <f>'25메인호텔'!F10</f>
        <v>Orchard Hotel</v>
      </c>
      <c r="AC12" s="35">
        <f>'25메인호텔'!G10</f>
        <v>240</v>
      </c>
      <c r="AD12" s="35">
        <f>'25메인호텔'!H10</f>
        <v>240</v>
      </c>
      <c r="AE12" s="34"/>
      <c r="AF12" s="34"/>
    </row>
    <row r="13" spans="1:32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630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1005</v>
      </c>
      <c r="Q13" s="159" t="s">
        <v>277</v>
      </c>
      <c r="V13" s="190" t="str">
        <f>서차지!B14</f>
        <v>CommunicAsia</v>
      </c>
      <c r="W13" s="189">
        <f>서차지!C14</f>
        <v>0</v>
      </c>
      <c r="X13" s="189">
        <f>서차지!D14</f>
        <v>0</v>
      </c>
      <c r="Y13" s="188">
        <f>서차지!E14</f>
        <v>0</v>
      </c>
      <c r="AB13" s="495" t="str">
        <f>'25메인호텔'!F11</f>
        <v>Grand Copthorne</v>
      </c>
      <c r="AC13" s="35">
        <f>'25메인호텔'!G11</f>
        <v>240</v>
      </c>
      <c r="AD13" s="35">
        <f>'25메인호텔'!H11</f>
        <v>240</v>
      </c>
      <c r="AE13" s="34"/>
      <c r="AF13" s="34"/>
    </row>
    <row r="14" spans="1:32">
      <c r="B14" s="865"/>
      <c r="C14" s="882" t="s">
        <v>1339</v>
      </c>
      <c r="D14" s="883"/>
      <c r="E14" s="884"/>
      <c r="F14" s="72"/>
      <c r="G14" s="166"/>
      <c r="H14" s="115"/>
      <c r="I14" s="123"/>
      <c r="J14" s="110"/>
      <c r="K14" s="123"/>
      <c r="L14" s="91"/>
      <c r="M14" s="123"/>
      <c r="N14" s="91"/>
      <c r="O14" s="144">
        <f t="shared" si="0"/>
        <v>0</v>
      </c>
      <c r="V14" s="190" t="str">
        <f>서차지!B15</f>
        <v>National Day</v>
      </c>
      <c r="W14" s="189">
        <f>서차지!C15</f>
        <v>0</v>
      </c>
      <c r="X14" s="189">
        <f>서차지!D15</f>
        <v>0</v>
      </c>
      <c r="Y14" s="188">
        <f>서차지!E15</f>
        <v>0</v>
      </c>
      <c r="AB14" s="496" t="str">
        <f>'25메인호텔'!F12</f>
        <v>Mercure Tyrwhitt</v>
      </c>
      <c r="AC14" s="35">
        <f>'25메인호텔'!G12</f>
        <v>170</v>
      </c>
      <c r="AD14" s="35">
        <f>'25메인호텔'!H12</f>
        <v>170</v>
      </c>
      <c r="AE14" s="34"/>
      <c r="AF14" s="34"/>
    </row>
    <row r="15" spans="1:32">
      <c r="B15" s="865"/>
      <c r="C15" s="902" t="s">
        <v>1218</v>
      </c>
      <c r="D15" s="903"/>
      <c r="E15" s="904"/>
      <c r="F15" s="72"/>
      <c r="G15" s="99"/>
      <c r="H15" s="110"/>
      <c r="I15" s="122">
        <v>18</v>
      </c>
      <c r="J15" s="115">
        <f>$C$4+$E$4</f>
        <v>20</v>
      </c>
      <c r="K15" s="123"/>
      <c r="L15" s="91"/>
      <c r="M15" s="102"/>
      <c r="N15" s="91"/>
      <c r="O15" s="146">
        <f t="shared" si="0"/>
        <v>360</v>
      </c>
      <c r="Q15" s="7"/>
      <c r="AB15" s="496" t="str">
        <f>'25메인호텔'!F13</f>
        <v>Hotel Boss</v>
      </c>
      <c r="AC15" s="35">
        <f>'25메인호텔'!G13</f>
        <v>185</v>
      </c>
      <c r="AD15" s="35">
        <f>'25메인호텔'!H13</f>
        <v>185</v>
      </c>
      <c r="AE15" s="34"/>
      <c r="AF15" s="34"/>
    </row>
    <row r="16" spans="1:32">
      <c r="B16" s="865"/>
      <c r="C16" s="882" t="s">
        <v>597</v>
      </c>
      <c r="D16" s="883"/>
      <c r="E16" s="884"/>
      <c r="F16" s="72"/>
      <c r="G16" s="101">
        <f>일정!E10+일정!E20</f>
        <v>53.5</v>
      </c>
      <c r="H16" s="115">
        <f>$C$4+$E$4</f>
        <v>20</v>
      </c>
      <c r="I16" s="102"/>
      <c r="J16" s="115"/>
      <c r="K16" s="123"/>
      <c r="L16" s="91"/>
      <c r="M16" s="102"/>
      <c r="N16" s="91"/>
      <c r="O16" s="146">
        <f t="shared" si="0"/>
        <v>1070</v>
      </c>
      <c r="Q16" s="7"/>
      <c r="AB16" s="496" t="str">
        <f>'25메인호텔'!F14</f>
        <v>V Hotel Lavender</v>
      </c>
      <c r="AC16" s="35">
        <f>'25메인호텔'!G14</f>
        <v>185</v>
      </c>
      <c r="AD16" s="35">
        <f>'25메인호텔'!H14</f>
        <v>185</v>
      </c>
      <c r="AE16" s="34"/>
      <c r="AF16" s="34"/>
    </row>
    <row r="17" spans="2:32">
      <c r="B17" s="865"/>
      <c r="C17" s="907" t="s">
        <v>1340</v>
      </c>
      <c r="D17" s="908"/>
      <c r="E17" s="909"/>
      <c r="F17" s="72"/>
      <c r="G17" s="102"/>
      <c r="H17" s="115"/>
      <c r="I17" s="123"/>
      <c r="J17" s="110"/>
      <c r="K17" s="123"/>
      <c r="L17" s="91"/>
      <c r="M17" s="123"/>
      <c r="N17" s="91"/>
      <c r="O17" s="144">
        <f t="shared" si="0"/>
        <v>0</v>
      </c>
      <c r="Q17" s="7"/>
      <c r="AB17" s="496" t="str">
        <f>'25메인호텔'!F15</f>
        <v>IbIs Novena</v>
      </c>
      <c r="AC17" s="35">
        <f>'25메인호텔'!G15</f>
        <v>155</v>
      </c>
      <c r="AD17" s="35">
        <f>'25메인호텔'!H15</f>
        <v>155</v>
      </c>
      <c r="AE17" s="34"/>
      <c r="AF17" s="34"/>
    </row>
    <row r="18" spans="2:32">
      <c r="B18" s="865"/>
      <c r="C18" s="876" t="s">
        <v>651</v>
      </c>
      <c r="D18" s="877"/>
      <c r="E18" s="878"/>
      <c r="F18" s="72"/>
      <c r="G18" s="99"/>
      <c r="H18" s="110"/>
      <c r="I18" s="122">
        <f>식사!E22</f>
        <v>22</v>
      </c>
      <c r="J18" s="115">
        <f>$C$4+$E$4</f>
        <v>20</v>
      </c>
      <c r="K18" s="120"/>
      <c r="L18" s="91"/>
      <c r="M18" s="120"/>
      <c r="N18" s="91"/>
      <c r="O18" s="144">
        <f t="shared" si="0"/>
        <v>440</v>
      </c>
      <c r="AB18" s="496" t="str">
        <f>'25메인호텔'!F16</f>
        <v xml:space="preserve">IbIs bencoolen </v>
      </c>
      <c r="AC18" s="35">
        <f>'25메인호텔'!G16</f>
        <v>185</v>
      </c>
      <c r="AD18" s="35">
        <f>'25메인호텔'!H16</f>
        <v>185</v>
      </c>
      <c r="AE18" s="34"/>
      <c r="AF18" s="34"/>
    </row>
    <row r="19" spans="2:32">
      <c r="B19" s="865"/>
      <c r="C19" s="890" t="s">
        <v>628</v>
      </c>
      <c r="D19" s="891"/>
      <c r="E19" s="892"/>
      <c r="F19" s="72"/>
      <c r="G19" s="99"/>
      <c r="H19" s="110"/>
      <c r="I19" s="102"/>
      <c r="J19" s="115"/>
      <c r="K19" s="120"/>
      <c r="L19" s="91"/>
      <c r="M19" s="120"/>
      <c r="N19" s="91"/>
      <c r="O19" s="144">
        <f t="shared" si="0"/>
        <v>0</v>
      </c>
      <c r="Q19" s="7"/>
      <c r="AB19" s="496"/>
      <c r="AC19" s="35"/>
      <c r="AD19" s="35"/>
      <c r="AE19" s="34"/>
      <c r="AF19" s="34"/>
    </row>
    <row r="20" spans="2:32" ht="18" thickBot="1">
      <c r="B20" s="906"/>
      <c r="C20" s="1035" t="s">
        <v>648</v>
      </c>
      <c r="D20" s="1036"/>
      <c r="E20" s="1037"/>
      <c r="F20" s="72"/>
      <c r="G20" s="102"/>
      <c r="H20" s="115"/>
      <c r="I20" s="123"/>
      <c r="J20" s="110"/>
      <c r="K20" s="123"/>
      <c r="L20" s="91"/>
      <c r="M20" s="123"/>
      <c r="N20" s="91"/>
      <c r="O20" s="144">
        <f t="shared" si="0"/>
        <v>0</v>
      </c>
      <c r="Q20" s="7"/>
      <c r="AB20" s="497" t="str">
        <f>'25메인호텔'!F17</f>
        <v>Oasia Sentosa</v>
      </c>
      <c r="AC20" s="35">
        <f>'25메인호텔'!G17</f>
        <v>240</v>
      </c>
      <c r="AD20" s="35">
        <f>'25메인호텔'!H17</f>
        <v>240</v>
      </c>
      <c r="AE20" s="34"/>
      <c r="AF20" s="34"/>
    </row>
    <row r="21" spans="2:32">
      <c r="B21" s="864" t="str">
        <f>TEXT(C5+2,"m월 d일 aaaa")</f>
        <v>3월 18일 화요일</v>
      </c>
      <c r="C21" s="896" t="s">
        <v>282</v>
      </c>
      <c r="D21" s="897"/>
      <c r="E21" s="898"/>
      <c r="F21" s="72"/>
      <c r="G21" s="98"/>
      <c r="H21" s="109"/>
      <c r="I21" s="119"/>
      <c r="J21" s="109"/>
      <c r="K21" s="128">
        <f>IF(C4+E4&lt;8,'가이드&amp;차량'!C47, IF(C4+E4&lt;=14,'가이드&amp;차량'!C39,'가이드&amp;차량'!C23))</f>
        <v>630</v>
      </c>
      <c r="L21" s="90">
        <f>L10</f>
        <v>1</v>
      </c>
      <c r="M21" s="128">
        <f>'가이드&amp;차량'!C6</f>
        <v>375</v>
      </c>
      <c r="N21" s="90">
        <f>N10</f>
        <v>1</v>
      </c>
      <c r="O21" s="143">
        <f t="shared" si="0"/>
        <v>1005</v>
      </c>
      <c r="Q21" s="159" t="s">
        <v>277</v>
      </c>
      <c r="AB21" s="497" t="str">
        <f>'25메인호텔'!F18</f>
        <v>Swissotel The stamford</v>
      </c>
      <c r="AC21" s="35">
        <f>'25메인호텔'!G18</f>
        <v>540</v>
      </c>
      <c r="AD21" s="35">
        <f>'25메인호텔'!H18</f>
        <v>540</v>
      </c>
      <c r="AE21" s="34" t="e">
        <f>'25메인호텔'!#REF!</f>
        <v>#REF!</v>
      </c>
      <c r="AF21" s="34" t="e">
        <f>'25메인호텔'!#REF!</f>
        <v>#REF!</v>
      </c>
    </row>
    <row r="22" spans="2:32">
      <c r="B22" s="888"/>
      <c r="C22" s="948" t="s">
        <v>993</v>
      </c>
      <c r="D22" s="946"/>
      <c r="E22" s="947"/>
      <c r="F22" s="72"/>
      <c r="G22" s="102"/>
      <c r="H22" s="115"/>
      <c r="I22" s="123"/>
      <c r="J22" s="110"/>
      <c r="K22" s="123"/>
      <c r="L22" s="91"/>
      <c r="M22" s="123"/>
      <c r="N22" s="91"/>
      <c r="O22" s="144">
        <f t="shared" si="0"/>
        <v>0</v>
      </c>
      <c r="Q22" s="7"/>
    </row>
    <row r="23" spans="2:32">
      <c r="B23" s="888"/>
      <c r="C23" s="902" t="s">
        <v>994</v>
      </c>
      <c r="D23" s="903"/>
      <c r="E23" s="904"/>
      <c r="F23" s="72"/>
      <c r="G23" s="99"/>
      <c r="H23" s="110"/>
      <c r="I23" s="122">
        <f>식사!E12</f>
        <v>15</v>
      </c>
      <c r="J23" s="115">
        <f>$C$4+$E$4</f>
        <v>20</v>
      </c>
      <c r="K23" s="123"/>
      <c r="L23" s="91"/>
      <c r="M23" s="102"/>
      <c r="N23" s="91"/>
      <c r="O23" s="146">
        <f t="shared" si="0"/>
        <v>300</v>
      </c>
      <c r="Q23" s="7"/>
    </row>
    <row r="24" spans="2:32">
      <c r="B24" s="888"/>
      <c r="C24" s="948" t="s">
        <v>876</v>
      </c>
      <c r="D24" s="946"/>
      <c r="E24" s="947"/>
      <c r="F24" s="72"/>
      <c r="G24" s="102"/>
      <c r="H24" s="115"/>
      <c r="I24" s="102"/>
      <c r="J24" s="115"/>
      <c r="K24" s="123"/>
      <c r="L24" s="91"/>
      <c r="M24" s="102"/>
      <c r="N24" s="91"/>
      <c r="O24" s="146">
        <f t="shared" si="0"/>
        <v>0</v>
      </c>
      <c r="Q24" s="7"/>
    </row>
    <row r="25" spans="2:32">
      <c r="B25" s="888"/>
      <c r="C25" s="948" t="s">
        <v>995</v>
      </c>
      <c r="D25" s="946"/>
      <c r="E25" s="947"/>
      <c r="F25" s="72"/>
      <c r="G25" s="99"/>
      <c r="H25" s="110"/>
      <c r="I25" s="102"/>
      <c r="J25" s="115"/>
      <c r="K25" s="123"/>
      <c r="L25" s="91"/>
      <c r="M25" s="102"/>
      <c r="N25" s="91"/>
      <c r="O25" s="146">
        <f t="shared" si="0"/>
        <v>0</v>
      </c>
      <c r="Q25" s="7"/>
    </row>
    <row r="26" spans="2:32">
      <c r="B26" s="888"/>
      <c r="C26" s="902" t="s">
        <v>996</v>
      </c>
      <c r="D26" s="903"/>
      <c r="E26" s="904"/>
      <c r="F26" s="72"/>
      <c r="G26" s="99"/>
      <c r="H26" s="110"/>
      <c r="I26" s="122">
        <v>15</v>
      </c>
      <c r="J26" s="115">
        <f>$C$4+$E$4</f>
        <v>20</v>
      </c>
      <c r="K26" s="123"/>
      <c r="L26" s="91"/>
      <c r="M26" s="123"/>
      <c r="N26" s="91"/>
      <c r="O26" s="146">
        <f t="shared" si="0"/>
        <v>300</v>
      </c>
      <c r="Q26" s="7"/>
    </row>
    <row r="27" spans="2:32" ht="18" thickBot="1">
      <c r="B27" s="866"/>
      <c r="C27" s="893" t="s">
        <v>1005</v>
      </c>
      <c r="D27" s="894"/>
      <c r="E27" s="895"/>
      <c r="F27" s="72"/>
      <c r="G27" s="100"/>
      <c r="H27" s="111"/>
      <c r="I27" s="124"/>
      <c r="J27" s="126"/>
      <c r="K27" s="129"/>
      <c r="L27" s="137"/>
      <c r="M27" s="124"/>
      <c r="N27" s="137"/>
      <c r="O27" s="147">
        <f t="shared" si="0"/>
        <v>0</v>
      </c>
      <c r="Q27" s="7"/>
    </row>
    <row r="28" spans="2:32">
      <c r="B28" s="944" t="str">
        <f>TEXT(C5+3,"m월 d일 aaaa")</f>
        <v>3월 19일 수요일</v>
      </c>
      <c r="C28" s="949" t="s">
        <v>330</v>
      </c>
      <c r="D28" s="950"/>
      <c r="E28" s="951"/>
      <c r="F28" s="72"/>
      <c r="G28" s="98"/>
      <c r="H28" s="109"/>
      <c r="I28" s="119"/>
      <c r="J28" s="109"/>
      <c r="K28" s="128">
        <f>IF(C4+E4&lt;8,'가이드&amp;차량'!C47, IF(C4+E4&lt;=14,'가이드&amp;차량'!C39,'가이드&amp;차량'!C23))</f>
        <v>630</v>
      </c>
      <c r="L28" s="90">
        <f>L10</f>
        <v>1</v>
      </c>
      <c r="M28" s="128">
        <f>'가이드&amp;차량'!C6+'가이드&amp;차량'!C3</f>
        <v>525</v>
      </c>
      <c r="N28" s="90">
        <f>N10</f>
        <v>1</v>
      </c>
      <c r="O28" s="143">
        <f t="shared" si="0"/>
        <v>1155</v>
      </c>
      <c r="Q28" s="159" t="s">
        <v>278</v>
      </c>
    </row>
    <row r="29" spans="2:32">
      <c r="B29" s="888"/>
      <c r="C29" s="882" t="s">
        <v>505</v>
      </c>
      <c r="D29" s="883"/>
      <c r="E29" s="884"/>
      <c r="F29" s="72"/>
      <c r="G29" s="166"/>
      <c r="H29" s="115"/>
      <c r="I29" s="123"/>
      <c r="J29" s="110"/>
      <c r="K29" s="123"/>
      <c r="L29" s="91"/>
      <c r="M29" s="123"/>
      <c r="N29" s="91"/>
      <c r="O29" s="144">
        <f t="shared" si="0"/>
        <v>0</v>
      </c>
    </row>
    <row r="30" spans="2:32">
      <c r="B30" s="888"/>
      <c r="C30" s="876" t="s">
        <v>807</v>
      </c>
      <c r="D30" s="877"/>
      <c r="E30" s="878"/>
      <c r="F30" s="72"/>
      <c r="G30" s="99"/>
      <c r="H30" s="110"/>
      <c r="I30" s="122">
        <f>식사!E21</f>
        <v>18</v>
      </c>
      <c r="J30" s="115">
        <f>$C$4+$E$4</f>
        <v>20</v>
      </c>
      <c r="K30" s="120"/>
      <c r="L30" s="91"/>
      <c r="M30" s="120"/>
      <c r="N30" s="91"/>
      <c r="O30" s="144">
        <f t="shared" si="0"/>
        <v>360</v>
      </c>
    </row>
    <row r="31" spans="2:32">
      <c r="B31" s="888"/>
      <c r="C31" s="879" t="str">
        <f>일정!$C$27</f>
        <v>가든스바이더베이 2돔 ( 쥬랴기 )</v>
      </c>
      <c r="D31" s="891"/>
      <c r="E31" s="892"/>
      <c r="F31" s="72"/>
      <c r="G31" s="103">
        <f>일정!$E$27</f>
        <v>28.3</v>
      </c>
      <c r="H31" s="115">
        <f>$C$4+$E$4</f>
        <v>20</v>
      </c>
      <c r="I31" s="102"/>
      <c r="J31" s="115"/>
      <c r="K31" s="123"/>
      <c r="L31" s="91"/>
      <c r="M31" s="123"/>
      <c r="N31" s="91"/>
      <c r="O31" s="144">
        <f t="shared" si="0"/>
        <v>566</v>
      </c>
    </row>
    <row r="32" spans="2:32">
      <c r="B32" s="888"/>
      <c r="C32" s="907" t="s">
        <v>1341</v>
      </c>
      <c r="D32" s="908"/>
      <c r="E32" s="909"/>
      <c r="F32" s="72"/>
      <c r="G32" s="206"/>
      <c r="H32" s="164"/>
      <c r="I32" s="123"/>
      <c r="J32" s="110"/>
      <c r="K32" s="161"/>
      <c r="L32" s="138"/>
      <c r="M32" s="161"/>
      <c r="N32" s="138"/>
      <c r="O32" s="148">
        <f t="shared" si="0"/>
        <v>0</v>
      </c>
    </row>
    <row r="33" spans="2:21">
      <c r="B33" s="888"/>
      <c r="C33" s="902" t="s">
        <v>840</v>
      </c>
      <c r="D33" s="903"/>
      <c r="E33" s="904"/>
      <c r="F33" s="72"/>
      <c r="G33" s="104"/>
      <c r="H33" s="116"/>
      <c r="I33" s="122">
        <f>식사!E3</f>
        <v>25</v>
      </c>
      <c r="J33" s="115">
        <f>$C$4+$E$4</f>
        <v>20</v>
      </c>
      <c r="K33" s="130"/>
      <c r="L33" s="138"/>
      <c r="M33" s="130"/>
      <c r="N33" s="138"/>
      <c r="O33" s="148">
        <f t="shared" si="0"/>
        <v>500</v>
      </c>
    </row>
    <row r="34" spans="2:21" ht="18" thickBot="1">
      <c r="B34" s="866"/>
      <c r="C34" s="870" t="s">
        <v>596</v>
      </c>
      <c r="D34" s="871"/>
      <c r="E34" s="500">
        <f>상품리스트!I32</f>
        <v>1.7361111111111112E-2</v>
      </c>
      <c r="F34" s="34"/>
      <c r="G34" s="105"/>
      <c r="H34" s="117"/>
      <c r="I34" s="124"/>
      <c r="J34" s="126"/>
      <c r="K34" s="131"/>
      <c r="L34" s="139"/>
      <c r="M34" s="131"/>
      <c r="N34" s="139"/>
      <c r="O34" s="149">
        <f t="shared" si="0"/>
        <v>0</v>
      </c>
      <c r="P34" s="34"/>
      <c r="Q34" s="34"/>
      <c r="R34" s="34"/>
      <c r="S34" s="34"/>
      <c r="T34" s="34"/>
      <c r="U34" s="34"/>
    </row>
    <row r="35" spans="2:21">
      <c r="B35" s="72"/>
      <c r="C35" s="72"/>
      <c r="D35" s="72"/>
      <c r="E35" s="72"/>
      <c r="F35" s="72"/>
      <c r="G35" s="72"/>
      <c r="H35" s="72"/>
      <c r="K35" s="132">
        <f>SUM(K10:K34)</f>
        <v>2170</v>
      </c>
      <c r="L35" s="72"/>
      <c r="M35" s="132">
        <f>SUM(M10:M34)</f>
        <v>1425</v>
      </c>
      <c r="N35" s="72"/>
      <c r="O35" s="150"/>
      <c r="P35" s="156"/>
    </row>
    <row r="36" spans="2:21" ht="18" thickBot="1">
      <c r="O36" s="150"/>
    </row>
    <row r="37" spans="2:21">
      <c r="B37" s="872" t="s">
        <v>246</v>
      </c>
      <c r="C37" s="873" t="s">
        <v>288</v>
      </c>
      <c r="D37" s="874"/>
      <c r="E37" s="875"/>
      <c r="F37" s="34"/>
      <c r="G37" s="862">
        <f>$C$4+$E$4</f>
        <v>20</v>
      </c>
      <c r="H37" s="863"/>
      <c r="I37" s="854">
        <v>3</v>
      </c>
      <c r="J37" s="854"/>
      <c r="K37" s="855">
        <v>1</v>
      </c>
      <c r="L37" s="855"/>
      <c r="M37" s="855"/>
      <c r="N37" s="855"/>
      <c r="O37" s="151">
        <f>G37*I37*K37</f>
        <v>60</v>
      </c>
    </row>
    <row r="38" spans="2:21" ht="18" thickBot="1">
      <c r="B38" s="827"/>
      <c r="C38" s="856" t="s">
        <v>451</v>
      </c>
      <c r="D38" s="857"/>
      <c r="E38" s="858"/>
      <c r="F38" s="34"/>
      <c r="G38" s="859">
        <v>50</v>
      </c>
      <c r="H38" s="860"/>
      <c r="I38" s="860"/>
      <c r="J38" s="860"/>
      <c r="K38" s="861">
        <f>C4</f>
        <v>20</v>
      </c>
      <c r="L38" s="861"/>
      <c r="M38" s="861"/>
      <c r="N38" s="861"/>
      <c r="O38" s="152">
        <f>G38*K38</f>
        <v>1000</v>
      </c>
    </row>
    <row r="39" spans="2:21" ht="18" thickBot="1">
      <c r="O39" s="150"/>
    </row>
    <row r="40" spans="2:21" ht="16.5" customHeight="1">
      <c r="B40" s="961" t="s">
        <v>337</v>
      </c>
      <c r="C40" s="1021" t="s">
        <v>251</v>
      </c>
      <c r="D40" s="1022"/>
      <c r="E40" s="1023"/>
      <c r="F40" s="165"/>
      <c r="G40" s="967"/>
      <c r="H40" s="1024"/>
      <c r="I40" s="969">
        <f>일정!G24</f>
        <v>30</v>
      </c>
      <c r="J40" s="970"/>
      <c r="K40" s="1044">
        <f>$C$4+$E$4</f>
        <v>20</v>
      </c>
      <c r="L40" s="1044"/>
      <c r="M40" s="1044"/>
      <c r="N40" s="1045"/>
      <c r="O40" s="153">
        <f>G40*I40*K40</f>
        <v>0</v>
      </c>
    </row>
    <row r="41" spans="2:21">
      <c r="B41" s="1019"/>
      <c r="C41" s="1025" t="s">
        <v>250</v>
      </c>
      <c r="D41" s="1026"/>
      <c r="E41" s="1027"/>
      <c r="F41" s="165"/>
      <c r="G41" s="977"/>
      <c r="H41" s="1028"/>
      <c r="I41" s="979">
        <f>일정!G30</f>
        <v>28</v>
      </c>
      <c r="J41" s="980"/>
      <c r="K41" s="1046">
        <f>$C$4+$E$4</f>
        <v>20</v>
      </c>
      <c r="L41" s="1047"/>
      <c r="M41" s="1047"/>
      <c r="N41" s="1048"/>
      <c r="O41" s="154">
        <f>G41*I41*K41</f>
        <v>0</v>
      </c>
    </row>
    <row r="42" spans="2:21">
      <c r="B42" s="1019"/>
      <c r="C42" s="1025" t="s">
        <v>249</v>
      </c>
      <c r="D42" s="1026"/>
      <c r="E42" s="1027"/>
      <c r="F42" s="165"/>
      <c r="G42" s="977"/>
      <c r="H42" s="1028"/>
      <c r="I42" s="979">
        <f>일정!G35</f>
        <v>36</v>
      </c>
      <c r="J42" s="980"/>
      <c r="K42" s="1046">
        <f>$C$4+$E$4</f>
        <v>20</v>
      </c>
      <c r="L42" s="1047"/>
      <c r="M42" s="1047"/>
      <c r="N42" s="1048"/>
      <c r="O42" s="154">
        <f>G42*I42*K42</f>
        <v>0</v>
      </c>
    </row>
    <row r="43" spans="2:21">
      <c r="B43" s="1019"/>
      <c r="C43" s="1025" t="s">
        <v>336</v>
      </c>
      <c r="D43" s="1026"/>
      <c r="E43" s="1027"/>
      <c r="F43" s="165"/>
      <c r="G43" s="977"/>
      <c r="H43" s="1028"/>
      <c r="I43" s="979">
        <f>일정!G13</f>
        <v>19</v>
      </c>
      <c r="J43" s="980"/>
      <c r="K43" s="1046">
        <f>$C$4+$E$4</f>
        <v>20</v>
      </c>
      <c r="L43" s="1047"/>
      <c r="M43" s="1047"/>
      <c r="N43" s="1048"/>
      <c r="O43" s="154">
        <f>G43*I43*K43</f>
        <v>0</v>
      </c>
    </row>
    <row r="44" spans="2:21" ht="18" thickBot="1">
      <c r="B44" s="1020"/>
      <c r="C44" s="1030" t="s">
        <v>252</v>
      </c>
      <c r="D44" s="1031"/>
      <c r="E44" s="1032"/>
      <c r="F44" s="165"/>
      <c r="G44" s="989"/>
      <c r="H44" s="1033"/>
      <c r="I44" s="991">
        <f>일정!G29</f>
        <v>40</v>
      </c>
      <c r="J44" s="992"/>
      <c r="K44" s="1049">
        <f>$C$4+$E$4</f>
        <v>20</v>
      </c>
      <c r="L44" s="1050"/>
      <c r="M44" s="1050"/>
      <c r="N44" s="1051"/>
      <c r="O44" s="215">
        <f>G44*I44*K44</f>
        <v>0</v>
      </c>
    </row>
  </sheetData>
  <mergeCells count="78"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  <mergeCell ref="H7:K7"/>
    <mergeCell ref="M8:N8"/>
    <mergeCell ref="O8:O9"/>
    <mergeCell ref="B10:B12"/>
    <mergeCell ref="C10:D10"/>
    <mergeCell ref="C11:E11"/>
    <mergeCell ref="C12:E12"/>
    <mergeCell ref="G8:H8"/>
    <mergeCell ref="I8:J8"/>
    <mergeCell ref="K8:L8"/>
    <mergeCell ref="B13:B20"/>
    <mergeCell ref="C13:E13"/>
    <mergeCell ref="C14:E14"/>
    <mergeCell ref="C15:E15"/>
    <mergeCell ref="C16:E16"/>
    <mergeCell ref="C17:E17"/>
    <mergeCell ref="C18:E18"/>
    <mergeCell ref="C19:E19"/>
    <mergeCell ref="C20:E20"/>
    <mergeCell ref="B37:B38"/>
    <mergeCell ref="C37:E37"/>
    <mergeCell ref="G37:H37"/>
    <mergeCell ref="I37:J37"/>
    <mergeCell ref="K37:N37"/>
    <mergeCell ref="C38:E38"/>
    <mergeCell ref="G38:J38"/>
    <mergeCell ref="K38:N38"/>
    <mergeCell ref="B21:B27"/>
    <mergeCell ref="B28:B34"/>
    <mergeCell ref="C28:E28"/>
    <mergeCell ref="C29:E29"/>
    <mergeCell ref="C30:E30"/>
    <mergeCell ref="C31:E31"/>
    <mergeCell ref="C32:E32"/>
    <mergeCell ref="C34:D34"/>
    <mergeCell ref="C26:E26"/>
    <mergeCell ref="C33:E33"/>
    <mergeCell ref="C21:E21"/>
    <mergeCell ref="C22:E22"/>
    <mergeCell ref="C23:E23"/>
    <mergeCell ref="C24:E24"/>
    <mergeCell ref="C25:E25"/>
    <mergeCell ref="B40:B44"/>
    <mergeCell ref="C40:E40"/>
    <mergeCell ref="G40:H40"/>
    <mergeCell ref="I40:J40"/>
    <mergeCell ref="C42:E42"/>
    <mergeCell ref="G42:H42"/>
    <mergeCell ref="I42:J42"/>
    <mergeCell ref="C43:E43"/>
    <mergeCell ref="G43:H43"/>
    <mergeCell ref="I43:J43"/>
    <mergeCell ref="C41:E41"/>
    <mergeCell ref="G41:H41"/>
    <mergeCell ref="I41:J41"/>
    <mergeCell ref="C44:E44"/>
    <mergeCell ref="G44:H44"/>
    <mergeCell ref="I44:J44"/>
    <mergeCell ref="K44:N44"/>
    <mergeCell ref="K43:N43"/>
    <mergeCell ref="K41:N41"/>
    <mergeCell ref="C27:E27"/>
    <mergeCell ref="K42:N42"/>
    <mergeCell ref="K40:N40"/>
  </mergeCells>
  <phoneticPr fontId="1" type="noConversion"/>
  <hyperlinks>
    <hyperlink ref="A1" location="상품리스트!A1" display="home" xr:uid="{75B96FC6-16CA-4D10-ADD1-7D79839F826F}"/>
  </hyperlink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0A05-1AD4-46BE-80F0-E90118F771A4}">
  <dimension ref="A1:AD46"/>
  <sheetViews>
    <sheetView workbookViewId="0">
      <selection activeCell="C5" sqref="C5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7" max="27" width="1.6640625" customWidth="1"/>
    <col min="28" max="28" width="19.33203125" bestFit="1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6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997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Aloft Novena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180</v>
      </c>
      <c r="M2" s="140">
        <f>$I$1+$K$1</f>
        <v>6</v>
      </c>
      <c r="N2" s="106">
        <f>L2*M2</f>
        <v>1080</v>
      </c>
      <c r="O2" s="929">
        <f>SUM(N2:N6)</f>
        <v>2160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918</v>
      </c>
      <c r="AC2" s="10">
        <v>180</v>
      </c>
      <c r="AD2" s="10">
        <v>180</v>
      </c>
    </row>
    <row r="3" spans="1:30" ht="28">
      <c r="B3" s="74" t="s">
        <v>239</v>
      </c>
      <c r="C3" s="938" t="s">
        <v>1006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Aloft Novena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180</v>
      </c>
      <c r="M3" s="140">
        <f>$I$1+$K$1</f>
        <v>6</v>
      </c>
      <c r="N3" s="106">
        <f>L3*M3</f>
        <v>1080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12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939" t="s">
        <v>999</v>
      </c>
      <c r="K4" s="1115"/>
      <c r="L4" s="135"/>
      <c r="M4" s="141"/>
      <c r="N4" s="106">
        <f>L4*M4</f>
        <v>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>
        <f>H4+1</f>
        <v>45735</v>
      </c>
      <c r="I5" s="926"/>
      <c r="J5" s="939"/>
      <c r="K5" s="940"/>
      <c r="L5" s="135"/>
      <c r="M5" s="140"/>
      <c r="N5" s="106">
        <f>L5*M5</f>
        <v>0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(SUM(O10:O46)+O2)/C4+R4+T6</f>
        <v>673.6</v>
      </c>
      <c r="D6" s="86" t="s">
        <v>254</v>
      </c>
      <c r="E6" s="94">
        <f>C6*$E$1</f>
        <v>740960</v>
      </c>
      <c r="F6" s="72"/>
      <c r="G6" s="922"/>
      <c r="H6" s="925">
        <f>H5+1</f>
        <v>45736</v>
      </c>
      <c r="I6" s="926"/>
      <c r="J6" s="935"/>
      <c r="K6" s="935"/>
      <c r="L6" s="136"/>
      <c r="M6" s="89"/>
      <c r="N6" s="107">
        <f>L6*M6</f>
        <v>0</v>
      </c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3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67" t="s">
        <v>947</v>
      </c>
      <c r="D10" s="916"/>
      <c r="E10" s="499">
        <f>상품리스트!F32</f>
        <v>0.97569444444444442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200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350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6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8" thickBot="1">
      <c r="B12" s="865"/>
      <c r="C12" s="917" t="s">
        <v>247</v>
      </c>
      <c r="D12" s="918"/>
      <c r="E12" s="919"/>
      <c r="F12" s="72"/>
      <c r="G12" s="104"/>
      <c r="H12" s="314"/>
      <c r="I12" s="130"/>
      <c r="J12" s="314"/>
      <c r="K12" s="130"/>
      <c r="L12" s="138"/>
      <c r="M12" s="130"/>
      <c r="N12" s="138"/>
      <c r="O12" s="148">
        <f t="shared" si="0"/>
        <v>0</v>
      </c>
      <c r="R12" s="72"/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530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905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865"/>
      <c r="C14" s="882" t="s">
        <v>1000</v>
      </c>
      <c r="D14" s="883"/>
      <c r="E14" s="884"/>
      <c r="F14" s="72"/>
      <c r="G14" s="102"/>
      <c r="H14" s="115"/>
      <c r="I14" s="120"/>
      <c r="J14" s="110"/>
      <c r="K14" s="123"/>
      <c r="L14" s="91"/>
      <c r="M14" s="123"/>
      <c r="N14" s="91"/>
      <c r="O14" s="144">
        <f t="shared" si="0"/>
        <v>0</v>
      </c>
      <c r="Q14" s="7"/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865"/>
      <c r="C15" s="876" t="s">
        <v>323</v>
      </c>
      <c r="D15" s="877"/>
      <c r="E15" s="878"/>
      <c r="F15" s="72"/>
      <c r="G15" s="99"/>
      <c r="H15" s="110"/>
      <c r="I15" s="122">
        <f>식사!E9</f>
        <v>65</v>
      </c>
      <c r="J15" s="115">
        <f>$C$4+$E$4</f>
        <v>12</v>
      </c>
      <c r="K15" s="120"/>
      <c r="L15" s="91"/>
      <c r="M15" s="120"/>
      <c r="N15" s="91"/>
      <c r="O15" s="144">
        <f t="shared" si="0"/>
        <v>780</v>
      </c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726</v>
      </c>
      <c r="AC15" s="10">
        <v>185</v>
      </c>
      <c r="AD15" s="10">
        <v>185</v>
      </c>
    </row>
    <row r="16" spans="1:30">
      <c r="B16" s="865"/>
      <c r="C16" s="879" t="s">
        <v>622</v>
      </c>
      <c r="D16" s="891"/>
      <c r="E16" s="892"/>
      <c r="F16" s="72"/>
      <c r="G16" s="101">
        <f>일정!E38</f>
        <v>23.5</v>
      </c>
      <c r="H16" s="115">
        <f>$C$4+$E$4</f>
        <v>12</v>
      </c>
      <c r="I16" s="130"/>
      <c r="J16" s="314"/>
      <c r="K16" s="130"/>
      <c r="L16" s="138"/>
      <c r="M16" s="130"/>
      <c r="N16" s="138"/>
      <c r="O16" s="144">
        <f>(G16*H16)+(I16*J16)+(K16*L16)+(M16*N16)</f>
        <v>282</v>
      </c>
      <c r="R16" s="72"/>
      <c r="AB16" s="496" t="s">
        <v>923</v>
      </c>
      <c r="AC16" s="10">
        <v>185</v>
      </c>
      <c r="AD16" s="10">
        <v>185</v>
      </c>
    </row>
    <row r="17" spans="2:30">
      <c r="B17" s="865"/>
      <c r="C17" s="882" t="s">
        <v>550</v>
      </c>
      <c r="D17" s="883"/>
      <c r="E17" s="884"/>
      <c r="F17" s="72"/>
      <c r="G17" s="102"/>
      <c r="H17" s="115"/>
      <c r="I17" s="161"/>
      <c r="J17" s="314"/>
      <c r="K17" s="161"/>
      <c r="L17" s="138"/>
      <c r="M17" s="161"/>
      <c r="N17" s="138"/>
      <c r="O17" s="144">
        <f t="shared" si="0"/>
        <v>0</v>
      </c>
      <c r="Q17" s="7"/>
      <c r="AB17" s="496" t="s">
        <v>931</v>
      </c>
      <c r="AC17" s="10">
        <v>155</v>
      </c>
      <c r="AD17" s="10">
        <v>155</v>
      </c>
    </row>
    <row r="18" spans="2:30">
      <c r="B18" s="865"/>
      <c r="C18" s="879" t="str">
        <f>일정!C27</f>
        <v>가든스바이더베이 2돔 ( 쥬랴기 )</v>
      </c>
      <c r="D18" s="891"/>
      <c r="E18" s="892"/>
      <c r="F18" s="72"/>
      <c r="G18" s="101">
        <f>일정!E27</f>
        <v>28.3</v>
      </c>
      <c r="H18" s="115">
        <f>$C$4+$E$4</f>
        <v>12</v>
      </c>
      <c r="I18" s="130"/>
      <c r="J18" s="314"/>
      <c r="K18" s="130"/>
      <c r="L18" s="138"/>
      <c r="M18" s="130"/>
      <c r="N18" s="138"/>
      <c r="O18" s="144">
        <f t="shared" si="0"/>
        <v>339.6</v>
      </c>
      <c r="R18" s="72"/>
      <c r="AB18" s="496" t="s">
        <v>923</v>
      </c>
      <c r="AC18" s="10">
        <v>185</v>
      </c>
      <c r="AD18" s="10">
        <v>185</v>
      </c>
    </row>
    <row r="19" spans="2:30">
      <c r="B19" s="865"/>
      <c r="C19" s="876" t="s">
        <v>630</v>
      </c>
      <c r="D19" s="877"/>
      <c r="E19" s="878"/>
      <c r="F19" s="72"/>
      <c r="G19" s="99"/>
      <c r="H19" s="110"/>
      <c r="I19" s="122">
        <f>식사!E7</f>
        <v>18</v>
      </c>
      <c r="J19" s="115">
        <f>$C$4+$E$4</f>
        <v>12</v>
      </c>
      <c r="K19" s="120"/>
      <c r="L19" s="91"/>
      <c r="M19" s="120"/>
      <c r="N19" s="91"/>
      <c r="O19" s="144">
        <f t="shared" si="0"/>
        <v>216</v>
      </c>
      <c r="Q19" s="7"/>
      <c r="AB19" s="497" t="s">
        <v>928</v>
      </c>
      <c r="AC19" s="10">
        <v>280</v>
      </c>
      <c r="AD19" s="10">
        <v>280</v>
      </c>
    </row>
    <row r="20" spans="2:30">
      <c r="B20" s="865"/>
      <c r="C20" s="890" t="s">
        <v>325</v>
      </c>
      <c r="D20" s="891"/>
      <c r="E20" s="892"/>
      <c r="F20" s="72"/>
      <c r="G20" s="99"/>
      <c r="H20" s="110"/>
      <c r="I20" s="102"/>
      <c r="J20" s="115"/>
      <c r="K20" s="120"/>
      <c r="L20" s="91"/>
      <c r="M20" s="120"/>
      <c r="N20" s="91"/>
      <c r="O20" s="144">
        <f t="shared" si="0"/>
        <v>0</v>
      </c>
      <c r="Q20" s="7"/>
      <c r="AB20" s="497" t="s">
        <v>442</v>
      </c>
      <c r="AC20" s="10">
        <v>366</v>
      </c>
      <c r="AD20" s="10">
        <v>366</v>
      </c>
    </row>
    <row r="21" spans="2:30" ht="18" thickBot="1">
      <c r="B21" s="906"/>
      <c r="C21" s="893" t="s">
        <v>1005</v>
      </c>
      <c r="D21" s="894"/>
      <c r="E21" s="895"/>
      <c r="F21" s="72"/>
      <c r="G21" s="102"/>
      <c r="H21" s="115"/>
      <c r="I21" s="123"/>
      <c r="J21" s="110"/>
      <c r="K21" s="123"/>
      <c r="L21" s="91"/>
      <c r="M21" s="123"/>
      <c r="N21" s="91"/>
      <c r="O21" s="144">
        <f t="shared" si="0"/>
        <v>0</v>
      </c>
      <c r="Q21" s="7"/>
    </row>
    <row r="22" spans="2:30">
      <c r="B22" s="864" t="str">
        <f>TEXT(C5+2,"m월 d일 aaaa")</f>
        <v>3월 18일 화요일</v>
      </c>
      <c r="C22" s="905" t="s">
        <v>1004</v>
      </c>
      <c r="D22" s="1038"/>
      <c r="E22" s="1039"/>
      <c r="F22" s="72"/>
      <c r="G22" s="98"/>
      <c r="H22" s="109"/>
      <c r="I22" s="119"/>
      <c r="J22" s="109"/>
      <c r="K22" s="128"/>
      <c r="L22" s="90"/>
      <c r="M22" s="128"/>
      <c r="N22" s="90"/>
      <c r="O22" s="143">
        <f t="shared" si="0"/>
        <v>0</v>
      </c>
      <c r="Q22" s="159" t="s">
        <v>277</v>
      </c>
    </row>
    <row r="23" spans="2:30">
      <c r="B23" s="888"/>
      <c r="C23" s="865"/>
      <c r="D23" s="1040"/>
      <c r="E23" s="1041"/>
      <c r="F23" s="72"/>
      <c r="G23" s="102"/>
      <c r="H23" s="115"/>
      <c r="I23" s="123"/>
      <c r="J23" s="110"/>
      <c r="K23" s="123"/>
      <c r="L23" s="91"/>
      <c r="M23" s="123"/>
      <c r="N23" s="91"/>
      <c r="O23" s="144">
        <f t="shared" si="0"/>
        <v>0</v>
      </c>
      <c r="Q23" s="7"/>
    </row>
    <row r="24" spans="2:30">
      <c r="B24" s="888"/>
      <c r="C24" s="865"/>
      <c r="D24" s="1040"/>
      <c r="E24" s="1041"/>
      <c r="F24" s="72"/>
      <c r="G24" s="102"/>
      <c r="H24" s="115"/>
      <c r="I24" s="123"/>
      <c r="J24" s="110"/>
      <c r="K24" s="123"/>
      <c r="L24" s="91"/>
      <c r="M24" s="102"/>
      <c r="N24" s="91"/>
      <c r="O24" s="146">
        <f t="shared" si="0"/>
        <v>0</v>
      </c>
      <c r="Q24" s="7"/>
    </row>
    <row r="25" spans="2:30">
      <c r="B25" s="888"/>
      <c r="C25" s="865"/>
      <c r="D25" s="1040"/>
      <c r="E25" s="1041"/>
      <c r="F25" s="72"/>
      <c r="G25" s="102"/>
      <c r="H25" s="115"/>
      <c r="I25" s="123"/>
      <c r="J25" s="110"/>
      <c r="K25" s="123"/>
      <c r="L25" s="91"/>
      <c r="M25" s="102"/>
      <c r="N25" s="91"/>
      <c r="O25" s="146">
        <f t="shared" si="0"/>
        <v>0</v>
      </c>
      <c r="Q25" s="7"/>
    </row>
    <row r="26" spans="2:30">
      <c r="B26" s="888"/>
      <c r="C26" s="865"/>
      <c r="D26" s="1040"/>
      <c r="E26" s="1041"/>
      <c r="F26" s="72"/>
      <c r="G26" s="102"/>
      <c r="H26" s="115"/>
      <c r="I26" s="123"/>
      <c r="J26" s="110"/>
      <c r="K26" s="123"/>
      <c r="L26" s="91"/>
      <c r="M26" s="102"/>
      <c r="N26" s="91"/>
      <c r="O26" s="146">
        <f t="shared" si="0"/>
        <v>0</v>
      </c>
      <c r="Q26" s="7"/>
    </row>
    <row r="27" spans="2:30">
      <c r="B27" s="888"/>
      <c r="C27" s="865"/>
      <c r="D27" s="1040"/>
      <c r="E27" s="1041"/>
      <c r="F27" s="72"/>
      <c r="G27" s="102"/>
      <c r="H27" s="115"/>
      <c r="I27" s="123"/>
      <c r="J27" s="110"/>
      <c r="K27" s="123"/>
      <c r="L27" s="91"/>
      <c r="M27" s="123"/>
      <c r="N27" s="91"/>
      <c r="O27" s="146">
        <f t="shared" si="0"/>
        <v>0</v>
      </c>
      <c r="Q27" s="7"/>
    </row>
    <row r="28" spans="2:30" ht="18" thickBot="1">
      <c r="B28" s="866"/>
      <c r="C28" s="906"/>
      <c r="D28" s="1042"/>
      <c r="E28" s="1043"/>
      <c r="F28" s="72"/>
      <c r="G28" s="100"/>
      <c r="H28" s="111"/>
      <c r="I28" s="124"/>
      <c r="J28" s="126"/>
      <c r="K28" s="129"/>
      <c r="L28" s="137"/>
      <c r="M28" s="124"/>
      <c r="N28" s="137"/>
      <c r="O28" s="147">
        <f t="shared" si="0"/>
        <v>0</v>
      </c>
      <c r="Q28" s="7"/>
    </row>
    <row r="29" spans="2:30">
      <c r="B29" s="864" t="str">
        <f>TEXT(C5+3,"m월 d일 aaaa")</f>
        <v>3월 19일 수요일</v>
      </c>
      <c r="C29" s="896" t="s">
        <v>330</v>
      </c>
      <c r="D29" s="897"/>
      <c r="E29" s="898"/>
      <c r="F29" s="72"/>
      <c r="G29" s="98"/>
      <c r="H29" s="109"/>
      <c r="I29" s="119"/>
      <c r="J29" s="109"/>
      <c r="K29" s="128">
        <f>IF(C4+E4&lt;8,'가이드&amp;차량'!C47, IF(C4+E4&lt;=14,'가이드&amp;차량'!C39,'가이드&amp;차량'!C23))</f>
        <v>530</v>
      </c>
      <c r="L29" s="90">
        <f>L10</f>
        <v>1</v>
      </c>
      <c r="M29" s="128">
        <f>'가이드&amp;차량'!C6+'가이드&amp;차량'!C3</f>
        <v>525</v>
      </c>
      <c r="N29" s="90">
        <f>N10</f>
        <v>1</v>
      </c>
      <c r="O29" s="143">
        <f t="shared" si="0"/>
        <v>1055</v>
      </c>
      <c r="Q29" s="159" t="s">
        <v>278</v>
      </c>
    </row>
    <row r="30" spans="2:30">
      <c r="B30" s="888"/>
      <c r="C30" s="899" t="s">
        <v>1002</v>
      </c>
      <c r="D30" s="900"/>
      <c r="E30" s="901"/>
      <c r="F30" s="72"/>
      <c r="G30" s="99"/>
      <c r="H30" s="110"/>
      <c r="I30" s="123"/>
      <c r="J30" s="110"/>
      <c r="K30" s="123"/>
      <c r="L30" s="91"/>
      <c r="M30" s="123"/>
      <c r="N30" s="91"/>
      <c r="O30" s="144">
        <f t="shared" si="0"/>
        <v>0</v>
      </c>
    </row>
    <row r="31" spans="2:30">
      <c r="B31" s="888"/>
      <c r="C31" s="876" t="s">
        <v>559</v>
      </c>
      <c r="D31" s="877"/>
      <c r="E31" s="878"/>
      <c r="F31" s="72"/>
      <c r="G31" s="99"/>
      <c r="H31" s="110"/>
      <c r="I31" s="122">
        <f>식사!E19</f>
        <v>17</v>
      </c>
      <c r="J31" s="115">
        <f>$C$4+$E$4</f>
        <v>12</v>
      </c>
      <c r="K31" s="120"/>
      <c r="L31" s="91"/>
      <c r="M31" s="120"/>
      <c r="N31" s="91"/>
      <c r="O31" s="144">
        <f t="shared" si="0"/>
        <v>204</v>
      </c>
    </row>
    <row r="32" spans="2:30">
      <c r="B32" s="888"/>
      <c r="C32" s="890" t="s">
        <v>1003</v>
      </c>
      <c r="D32" s="891"/>
      <c r="E32" s="892"/>
      <c r="F32" s="72"/>
      <c r="G32" s="102"/>
      <c r="H32" s="115"/>
      <c r="I32" s="123"/>
      <c r="J32" s="110"/>
      <c r="K32" s="123"/>
      <c r="L32" s="91"/>
      <c r="M32" s="123"/>
      <c r="N32" s="91"/>
      <c r="O32" s="144">
        <f t="shared" si="0"/>
        <v>0</v>
      </c>
      <c r="Q32" s="7"/>
    </row>
    <row r="33" spans="2:21">
      <c r="B33" s="888"/>
      <c r="C33" s="882" t="s">
        <v>808</v>
      </c>
      <c r="D33" s="883"/>
      <c r="E33" s="884"/>
      <c r="F33" s="72"/>
      <c r="G33" s="101">
        <f>일정!E10+일정!E20+일정!E19</f>
        <v>76.3</v>
      </c>
      <c r="H33" s="115">
        <f>$C$4+$E$4</f>
        <v>12</v>
      </c>
      <c r="I33" s="102"/>
      <c r="J33" s="115"/>
      <c r="K33" s="123"/>
      <c r="L33" s="91"/>
      <c r="M33" s="102"/>
      <c r="N33" s="91"/>
      <c r="O33" s="146">
        <f>(G33*H33)+(I33*J33)+(K33*L33)+(M33*N33)</f>
        <v>915.59999999999991</v>
      </c>
      <c r="Q33" s="7"/>
    </row>
    <row r="34" spans="2:21">
      <c r="B34" s="888"/>
      <c r="C34" s="1013" t="s">
        <v>333</v>
      </c>
      <c r="D34" s="1014"/>
      <c r="E34" s="1015"/>
      <c r="F34" s="72"/>
      <c r="G34" s="206"/>
      <c r="H34" s="164"/>
      <c r="I34" s="122">
        <f>식사!E33</f>
        <v>10</v>
      </c>
      <c r="J34" s="115">
        <f>$C$4+$E$4</f>
        <v>12</v>
      </c>
      <c r="K34" s="161"/>
      <c r="L34" s="138"/>
      <c r="M34" s="163"/>
      <c r="N34" s="138"/>
      <c r="O34" s="146">
        <f>(G34*H34)+(I34*J34)+(K34*L34)+(M34*N34)</f>
        <v>120</v>
      </c>
      <c r="Q34" s="7"/>
    </row>
    <row r="35" spans="2:21">
      <c r="B35" s="888"/>
      <c r="C35" s="902" t="s">
        <v>298</v>
      </c>
      <c r="D35" s="903"/>
      <c r="E35" s="904"/>
      <c r="F35" s="72"/>
      <c r="G35" s="104"/>
      <c r="H35" s="116"/>
      <c r="I35" s="122">
        <f>식사!E3</f>
        <v>25</v>
      </c>
      <c r="J35" s="115">
        <f>$C$4+$E$4</f>
        <v>12</v>
      </c>
      <c r="K35" s="130"/>
      <c r="L35" s="138"/>
      <c r="M35" s="130"/>
      <c r="N35" s="138"/>
      <c r="O35" s="148">
        <f t="shared" si="0"/>
        <v>300</v>
      </c>
    </row>
    <row r="36" spans="2:21" ht="18" thickBot="1">
      <c r="B36" s="866"/>
      <c r="C36" s="870" t="s">
        <v>596</v>
      </c>
      <c r="D36" s="871"/>
      <c r="E36" s="500">
        <f>상품리스트!I32</f>
        <v>1.7361111111111112E-2</v>
      </c>
      <c r="F36" s="34"/>
      <c r="G36" s="105"/>
      <c r="H36" s="117"/>
      <c r="I36" s="124"/>
      <c r="J36" s="126"/>
      <c r="K36" s="131"/>
      <c r="L36" s="139"/>
      <c r="M36" s="131"/>
      <c r="N36" s="139"/>
      <c r="O36" s="149">
        <f t="shared" si="0"/>
        <v>0</v>
      </c>
      <c r="P36" s="34"/>
      <c r="Q36" s="34"/>
      <c r="R36" s="34"/>
      <c r="S36" s="34"/>
      <c r="T36" s="34"/>
      <c r="U36" s="34"/>
    </row>
    <row r="37" spans="2:21">
      <c r="B37" s="72"/>
      <c r="C37" s="72"/>
      <c r="D37" s="72"/>
      <c r="E37" s="72"/>
      <c r="F37" s="72"/>
      <c r="G37" s="72"/>
      <c r="H37" s="72"/>
      <c r="K37" s="132">
        <f>SUM(K10:K36)</f>
        <v>1260</v>
      </c>
      <c r="L37" s="72"/>
      <c r="M37" s="132">
        <f>SUM(M10:M36)</f>
        <v>1050</v>
      </c>
      <c r="N37" s="72"/>
      <c r="O37" s="150"/>
      <c r="P37" s="156"/>
    </row>
    <row r="38" spans="2:21" ht="18" thickBot="1">
      <c r="O38" s="150"/>
    </row>
    <row r="39" spans="2:21">
      <c r="B39" s="872" t="s">
        <v>246</v>
      </c>
      <c r="C39" s="873" t="s">
        <v>288</v>
      </c>
      <c r="D39" s="874"/>
      <c r="E39" s="875"/>
      <c r="F39" s="34"/>
      <c r="G39" s="862">
        <f>$C$4+$E$4</f>
        <v>12</v>
      </c>
      <c r="H39" s="863"/>
      <c r="I39" s="854">
        <v>3</v>
      </c>
      <c r="J39" s="854"/>
      <c r="K39" s="855">
        <v>1</v>
      </c>
      <c r="L39" s="855"/>
      <c r="M39" s="855"/>
      <c r="N39" s="855"/>
      <c r="O39" s="151">
        <f>G39*I39*K39</f>
        <v>36</v>
      </c>
    </row>
    <row r="40" spans="2:21" ht="18" thickBot="1">
      <c r="B40" s="827"/>
      <c r="C40" s="856" t="s">
        <v>451</v>
      </c>
      <c r="D40" s="857"/>
      <c r="E40" s="858"/>
      <c r="F40" s="34"/>
      <c r="G40" s="859">
        <v>50</v>
      </c>
      <c r="H40" s="860"/>
      <c r="I40" s="860"/>
      <c r="J40" s="860"/>
      <c r="K40" s="861">
        <f>C4</f>
        <v>12</v>
      </c>
      <c r="L40" s="861"/>
      <c r="M40" s="861"/>
      <c r="N40" s="861"/>
      <c r="O40" s="152">
        <f>G40*K40</f>
        <v>600</v>
      </c>
    </row>
    <row r="41" spans="2:21" ht="18" thickBot="1">
      <c r="O41" s="150"/>
    </row>
    <row r="42" spans="2:21" ht="16.5" customHeight="1">
      <c r="B42" s="961" t="s">
        <v>337</v>
      </c>
      <c r="C42" s="1101" t="s">
        <v>251</v>
      </c>
      <c r="D42" s="1102"/>
      <c r="E42" s="1103"/>
      <c r="F42" s="506"/>
      <c r="G42" s="1104"/>
      <c r="H42" s="1105"/>
      <c r="I42" s="1106">
        <f>일정!G24</f>
        <v>30</v>
      </c>
      <c r="J42" s="1107"/>
      <c r="K42" s="1044">
        <f>C4</f>
        <v>12</v>
      </c>
      <c r="L42" s="1044"/>
      <c r="M42" s="1044"/>
      <c r="N42" s="1045"/>
      <c r="O42" s="153">
        <f>G42*I42*K42</f>
        <v>0</v>
      </c>
    </row>
    <row r="43" spans="2:21">
      <c r="B43" s="1019"/>
      <c r="C43" s="1094" t="s">
        <v>250</v>
      </c>
      <c r="D43" s="1095"/>
      <c r="E43" s="1096"/>
      <c r="F43" s="506"/>
      <c r="G43" s="1097"/>
      <c r="H43" s="1098"/>
      <c r="I43" s="1099">
        <f>일정!G30</f>
        <v>28</v>
      </c>
      <c r="J43" s="1100"/>
      <c r="K43" s="1046">
        <f>C4</f>
        <v>12</v>
      </c>
      <c r="L43" s="1047"/>
      <c r="M43" s="1047"/>
      <c r="N43" s="1048"/>
      <c r="O43" s="154">
        <f>G43*I43*K43</f>
        <v>0</v>
      </c>
    </row>
    <row r="44" spans="2:21">
      <c r="B44" s="1019"/>
      <c r="C44" s="1094" t="s">
        <v>249</v>
      </c>
      <c r="D44" s="1095"/>
      <c r="E44" s="1096"/>
      <c r="F44" s="506"/>
      <c r="G44" s="1097"/>
      <c r="H44" s="1098"/>
      <c r="I44" s="1099">
        <f>일정!G35</f>
        <v>36</v>
      </c>
      <c r="J44" s="1100"/>
      <c r="K44" s="1046">
        <f>C4</f>
        <v>12</v>
      </c>
      <c r="L44" s="1047"/>
      <c r="M44" s="1047"/>
      <c r="N44" s="1048"/>
      <c r="O44" s="154">
        <f>G44*I44*K44</f>
        <v>0</v>
      </c>
    </row>
    <row r="45" spans="2:21">
      <c r="B45" s="1019"/>
      <c r="C45" s="1094" t="s">
        <v>336</v>
      </c>
      <c r="D45" s="1095"/>
      <c r="E45" s="1096"/>
      <c r="F45" s="506"/>
      <c r="G45" s="1097"/>
      <c r="H45" s="1098"/>
      <c r="I45" s="1099">
        <f>일정!G13</f>
        <v>19</v>
      </c>
      <c r="J45" s="1100"/>
      <c r="K45" s="1046">
        <f>C4</f>
        <v>12</v>
      </c>
      <c r="L45" s="1047"/>
      <c r="M45" s="1047"/>
      <c r="N45" s="1048"/>
      <c r="O45" s="154">
        <f>G45*I45*K45</f>
        <v>0</v>
      </c>
    </row>
    <row r="46" spans="2:21" ht="18" thickBot="1">
      <c r="B46" s="1020"/>
      <c r="C46" s="1108" t="s">
        <v>252</v>
      </c>
      <c r="D46" s="1109"/>
      <c r="E46" s="1110"/>
      <c r="F46" s="506"/>
      <c r="G46" s="1111"/>
      <c r="H46" s="1112"/>
      <c r="I46" s="1113">
        <f>일정!G29</f>
        <v>40</v>
      </c>
      <c r="J46" s="1114"/>
      <c r="K46" s="1049">
        <f>C4</f>
        <v>12</v>
      </c>
      <c r="L46" s="1050"/>
      <c r="M46" s="1050"/>
      <c r="N46" s="1051"/>
      <c r="O46" s="215">
        <f>G46*I46*K46</f>
        <v>0</v>
      </c>
    </row>
  </sheetData>
  <mergeCells count="74"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  <mergeCell ref="H7:K7"/>
    <mergeCell ref="M8:N8"/>
    <mergeCell ref="O8:O9"/>
    <mergeCell ref="B10:B12"/>
    <mergeCell ref="C11:E11"/>
    <mergeCell ref="C12:E12"/>
    <mergeCell ref="G8:H8"/>
    <mergeCell ref="I8:J8"/>
    <mergeCell ref="K8:L8"/>
    <mergeCell ref="C10:D10"/>
    <mergeCell ref="B22:B28"/>
    <mergeCell ref="B13:B21"/>
    <mergeCell ref="C13:E13"/>
    <mergeCell ref="C14:E14"/>
    <mergeCell ref="C15:E15"/>
    <mergeCell ref="C17:E17"/>
    <mergeCell ref="C18:E18"/>
    <mergeCell ref="C19:E19"/>
    <mergeCell ref="C20:E20"/>
    <mergeCell ref="C21:E21"/>
    <mergeCell ref="C16:E16"/>
    <mergeCell ref="C22:E28"/>
    <mergeCell ref="B29:B36"/>
    <mergeCell ref="C29:E29"/>
    <mergeCell ref="C30:E30"/>
    <mergeCell ref="C31:E31"/>
    <mergeCell ref="C32:E32"/>
    <mergeCell ref="C35:E35"/>
    <mergeCell ref="C34:E34"/>
    <mergeCell ref="C36:D36"/>
    <mergeCell ref="C33:E33"/>
    <mergeCell ref="B39:B40"/>
    <mergeCell ref="C39:E39"/>
    <mergeCell ref="G39:H39"/>
    <mergeCell ref="I39:J39"/>
    <mergeCell ref="K39:N39"/>
    <mergeCell ref="C40:E40"/>
    <mergeCell ref="G40:J40"/>
    <mergeCell ref="K40:N40"/>
    <mergeCell ref="B42:B46"/>
    <mergeCell ref="C42:E42"/>
    <mergeCell ref="G42:H42"/>
    <mergeCell ref="I42:J42"/>
    <mergeCell ref="K42:N42"/>
    <mergeCell ref="C43:E43"/>
    <mergeCell ref="G43:H43"/>
    <mergeCell ref="I43:J43"/>
    <mergeCell ref="K43:N43"/>
    <mergeCell ref="C44:E44"/>
    <mergeCell ref="C46:E46"/>
    <mergeCell ref="G46:H46"/>
    <mergeCell ref="I46:J46"/>
    <mergeCell ref="K46:N46"/>
    <mergeCell ref="G44:H44"/>
    <mergeCell ref="I44:J44"/>
    <mergeCell ref="K44:N44"/>
    <mergeCell ref="C45:E45"/>
    <mergeCell ref="G45:H45"/>
    <mergeCell ref="I45:J45"/>
    <mergeCell ref="K45:N45"/>
  </mergeCells>
  <phoneticPr fontId="1" type="noConversion"/>
  <hyperlinks>
    <hyperlink ref="A1" location="상품리스트!A1" display="home" xr:uid="{65B2E055-EC2F-4A0A-8B6A-47F1E6D03988}"/>
  </hyperlink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5A2D-7DDC-402B-B923-4D2C87E229B7}">
  <dimension ref="A1:AD41"/>
  <sheetViews>
    <sheetView workbookViewId="0">
      <selection activeCell="C5" sqref="C5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v>3</v>
      </c>
      <c r="J1" s="125" t="s">
        <v>273</v>
      </c>
      <c r="K1" s="127">
        <v>1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891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Aloft Novena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180</v>
      </c>
      <c r="M2" s="140">
        <f>$I$1+$K$1</f>
        <v>4</v>
      </c>
      <c r="N2" s="106">
        <f>L2*M2</f>
        <v>720</v>
      </c>
      <c r="O2" s="929">
        <f>SUM(N2:N6)</f>
        <v>1440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918</v>
      </c>
      <c r="AC2" s="10">
        <v>180</v>
      </c>
      <c r="AD2" s="10">
        <v>180</v>
      </c>
    </row>
    <row r="3" spans="1:30" ht="28">
      <c r="B3" s="74" t="s">
        <v>239</v>
      </c>
      <c r="C3" s="938" t="s">
        <v>963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Aloft Novena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180</v>
      </c>
      <c r="M3" s="140">
        <f>$I$1+$K$1</f>
        <v>4</v>
      </c>
      <c r="N3" s="106">
        <f>L3*M3</f>
        <v>720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7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939"/>
      <c r="K4" s="1115"/>
      <c r="L4" s="135"/>
      <c r="M4" s="141"/>
      <c r="N4" s="106">
        <f>L4*M4</f>
        <v>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>
        <f>H4+1</f>
        <v>45735</v>
      </c>
      <c r="I5" s="926"/>
      <c r="J5" s="939"/>
      <c r="K5" s="940"/>
      <c r="L5" s="135"/>
      <c r="M5" s="140"/>
      <c r="N5" s="106">
        <f>L5*M5</f>
        <v>0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(SUM(O10:O41)+O2)/C4+R5+T5</f>
        <v>834.81428571428569</v>
      </c>
      <c r="D6" s="86" t="s">
        <v>254</v>
      </c>
      <c r="E6" s="94">
        <f>C6*$E$1</f>
        <v>918295.7142857142</v>
      </c>
      <c r="F6" s="72"/>
      <c r="G6" s="922"/>
      <c r="H6" s="925">
        <f>H5+1</f>
        <v>45736</v>
      </c>
      <c r="I6" s="926"/>
      <c r="J6" s="935"/>
      <c r="K6" s="935"/>
      <c r="L6" s="136"/>
      <c r="M6" s="89"/>
      <c r="N6" s="107">
        <f>L6*M6</f>
        <v>0</v>
      </c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2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67" t="s">
        <v>947</v>
      </c>
      <c r="D10" s="916"/>
      <c r="E10" s="499">
        <v>0.54513888888888884</v>
      </c>
      <c r="F10" s="72"/>
      <c r="G10" s="98"/>
      <c r="H10" s="109"/>
      <c r="I10" s="119"/>
      <c r="J10" s="109"/>
      <c r="K10" s="128">
        <v>430</v>
      </c>
      <c r="L10" s="90">
        <v>1</v>
      </c>
      <c r="M10" s="128">
        <v>375</v>
      </c>
      <c r="N10" s="90">
        <v>1</v>
      </c>
      <c r="O10" s="143">
        <f>(G10*H10)+(I10*J10)+(K10*L10)+(M10*N10)</f>
        <v>805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1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8.75" customHeight="1">
      <c r="B12" s="865"/>
      <c r="C12" s="948" t="s">
        <v>541</v>
      </c>
      <c r="D12" s="946"/>
      <c r="E12" s="947"/>
      <c r="F12" s="72"/>
      <c r="G12" s="104"/>
      <c r="H12" s="314"/>
      <c r="I12" s="130"/>
      <c r="J12" s="314"/>
      <c r="K12" s="130"/>
      <c r="L12" s="138"/>
      <c r="M12" s="130"/>
      <c r="N12" s="138"/>
      <c r="O12" s="148">
        <f t="shared" si="0"/>
        <v>0</v>
      </c>
      <c r="R12" s="72"/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865"/>
      <c r="C13" s="879" t="str">
        <f>일정!C27</f>
        <v>가든스바이더베이 2돔 ( 쥬랴기 )</v>
      </c>
      <c r="D13" s="880"/>
      <c r="E13" s="881"/>
      <c r="F13" s="72"/>
      <c r="G13" s="101">
        <f>일정!E27</f>
        <v>28.3</v>
      </c>
      <c r="H13" s="115">
        <f>$C$4+$E$4</f>
        <v>7</v>
      </c>
      <c r="I13" s="130"/>
      <c r="J13" s="314"/>
      <c r="K13" s="130"/>
      <c r="L13" s="138"/>
      <c r="M13" s="130"/>
      <c r="N13" s="138"/>
      <c r="O13" s="148">
        <f t="shared" si="0"/>
        <v>198.1</v>
      </c>
      <c r="R13" s="72"/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865"/>
      <c r="C14" s="876" t="s">
        <v>651</v>
      </c>
      <c r="D14" s="877"/>
      <c r="E14" s="878"/>
      <c r="F14" s="72"/>
      <c r="G14" s="99"/>
      <c r="H14" s="110"/>
      <c r="I14" s="122">
        <f>식사!E22</f>
        <v>22</v>
      </c>
      <c r="J14" s="115">
        <f>$C$4+$E$4</f>
        <v>7</v>
      </c>
      <c r="K14" s="120"/>
      <c r="L14" s="91"/>
      <c r="M14" s="120"/>
      <c r="N14" s="91"/>
      <c r="O14" s="144">
        <f t="shared" si="0"/>
        <v>154</v>
      </c>
      <c r="Q14" s="7"/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865"/>
      <c r="C15" s="941" t="s">
        <v>325</v>
      </c>
      <c r="D15" s="942"/>
      <c r="E15" s="943"/>
      <c r="F15" s="72"/>
      <c r="G15" s="205"/>
      <c r="H15" s="115"/>
      <c r="I15" s="102"/>
      <c r="J15" s="115"/>
      <c r="K15" s="120"/>
      <c r="L15" s="91"/>
      <c r="M15" s="120"/>
      <c r="N15" s="91"/>
      <c r="O15" s="144">
        <f t="shared" si="0"/>
        <v>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922</v>
      </c>
      <c r="AC15" s="10">
        <v>185</v>
      </c>
      <c r="AD15" s="10">
        <v>185</v>
      </c>
    </row>
    <row r="16" spans="1:30" ht="18" thickBot="1">
      <c r="B16" s="906"/>
      <c r="C16" s="917" t="s">
        <v>248</v>
      </c>
      <c r="D16" s="918"/>
      <c r="E16" s="919"/>
      <c r="F16" s="72"/>
      <c r="G16" s="205"/>
      <c r="H16" s="115"/>
      <c r="I16" s="102"/>
      <c r="J16" s="115"/>
      <c r="K16" s="120"/>
      <c r="L16" s="91"/>
      <c r="M16" s="120"/>
      <c r="N16" s="91"/>
      <c r="O16" s="144">
        <f t="shared" si="0"/>
        <v>0</v>
      </c>
      <c r="Q16" s="7"/>
      <c r="AB16" s="496" t="s">
        <v>726</v>
      </c>
      <c r="AC16" s="10">
        <v>185</v>
      </c>
      <c r="AD16" s="10">
        <v>185</v>
      </c>
    </row>
    <row r="17" spans="2:30">
      <c r="B17" s="905" t="str">
        <f>TEXT(C5+1,"m월 d일 aaaa")</f>
        <v>3월 17일 월요일</v>
      </c>
      <c r="C17" s="896" t="s">
        <v>282</v>
      </c>
      <c r="D17" s="897"/>
      <c r="E17" s="898"/>
      <c r="F17" s="72"/>
      <c r="G17" s="98"/>
      <c r="H17" s="112"/>
      <c r="I17" s="119"/>
      <c r="J17" s="109"/>
      <c r="K17" s="128">
        <f>IF(C4+E4&lt;8,'가이드&amp;차량'!C47, IF(C4+E4&lt;=14,'가이드&amp;차량'!C39,'가이드&amp;차량'!C23))</f>
        <v>430</v>
      </c>
      <c r="L17" s="90">
        <f>L10</f>
        <v>1</v>
      </c>
      <c r="M17" s="128">
        <f>'가이드&amp;차량'!C6</f>
        <v>375</v>
      </c>
      <c r="N17" s="90">
        <f>N10</f>
        <v>1</v>
      </c>
      <c r="O17" s="143">
        <f t="shared" si="0"/>
        <v>805</v>
      </c>
      <c r="Q17" s="159" t="s">
        <v>277</v>
      </c>
      <c r="AB17" s="496" t="s">
        <v>931</v>
      </c>
      <c r="AC17" s="10">
        <v>155</v>
      </c>
      <c r="AD17" s="10">
        <v>155</v>
      </c>
    </row>
    <row r="18" spans="2:30">
      <c r="B18" s="865"/>
      <c r="C18" s="882" t="s">
        <v>283</v>
      </c>
      <c r="D18" s="883"/>
      <c r="E18" s="884"/>
      <c r="F18" s="72"/>
      <c r="G18" s="102"/>
      <c r="H18" s="115"/>
      <c r="I18" s="120"/>
      <c r="J18" s="110"/>
      <c r="K18" s="123"/>
      <c r="L18" s="91"/>
      <c r="M18" s="123"/>
      <c r="N18" s="91"/>
      <c r="O18" s="144">
        <f t="shared" si="0"/>
        <v>0</v>
      </c>
      <c r="Q18" s="7"/>
      <c r="AB18" s="496" t="s">
        <v>923</v>
      </c>
      <c r="AC18" s="10">
        <v>185</v>
      </c>
      <c r="AD18" s="10">
        <v>185</v>
      </c>
    </row>
    <row r="19" spans="2:30">
      <c r="B19" s="865"/>
      <c r="C19" s="899" t="s">
        <v>329</v>
      </c>
      <c r="D19" s="883"/>
      <c r="E19" s="884"/>
      <c r="F19" s="72"/>
      <c r="G19" s="101">
        <f>일정!E40</f>
        <v>24.5</v>
      </c>
      <c r="H19" s="115">
        <f>$C$4+$E$4</f>
        <v>7</v>
      </c>
      <c r="I19" s="120"/>
      <c r="J19" s="110"/>
      <c r="K19" s="123"/>
      <c r="L19" s="91"/>
      <c r="M19" s="123"/>
      <c r="N19" s="91"/>
      <c r="O19" s="144"/>
      <c r="Q19" s="7"/>
      <c r="AB19" s="497" t="s">
        <v>928</v>
      </c>
      <c r="AC19" s="10">
        <v>280</v>
      </c>
      <c r="AD19" s="10">
        <v>280</v>
      </c>
    </row>
    <row r="20" spans="2:30">
      <c r="B20" s="865"/>
      <c r="C20" s="902" t="s">
        <v>326</v>
      </c>
      <c r="D20" s="903"/>
      <c r="E20" s="904"/>
      <c r="F20" s="72"/>
      <c r="G20" s="99"/>
      <c r="H20" s="110"/>
      <c r="I20" s="122">
        <f>식사!E36</f>
        <v>20</v>
      </c>
      <c r="J20" s="115">
        <f>$C$4+$E$4</f>
        <v>7</v>
      </c>
      <c r="K20" s="120"/>
      <c r="L20" s="91"/>
      <c r="M20" s="120"/>
      <c r="N20" s="91"/>
      <c r="O20" s="144">
        <f t="shared" si="0"/>
        <v>140</v>
      </c>
      <c r="AB20" s="497" t="s">
        <v>442</v>
      </c>
      <c r="AC20" s="10">
        <v>366</v>
      </c>
      <c r="AD20" s="10">
        <v>366</v>
      </c>
    </row>
    <row r="21" spans="2:30">
      <c r="B21" s="865"/>
      <c r="C21" s="890" t="s">
        <v>546</v>
      </c>
      <c r="D21" s="891"/>
      <c r="E21" s="892"/>
      <c r="F21" s="72"/>
      <c r="G21" s="102"/>
      <c r="H21" s="115"/>
      <c r="I21" s="123"/>
      <c r="J21" s="110"/>
      <c r="K21" s="123"/>
      <c r="L21" s="91"/>
      <c r="M21" s="123"/>
      <c r="N21" s="91"/>
      <c r="O21" s="144">
        <f t="shared" si="0"/>
        <v>0</v>
      </c>
      <c r="Q21" s="7"/>
    </row>
    <row r="22" spans="2:30">
      <c r="B22" s="865"/>
      <c r="C22" s="907" t="s">
        <v>547</v>
      </c>
      <c r="D22" s="908"/>
      <c r="E22" s="909"/>
      <c r="F22" s="72"/>
      <c r="G22" s="99"/>
      <c r="H22" s="110"/>
      <c r="I22" s="102"/>
      <c r="J22" s="115"/>
      <c r="K22" s="123"/>
      <c r="L22" s="91"/>
      <c r="M22" s="102"/>
      <c r="N22" s="91"/>
      <c r="O22" s="146">
        <f>(G22*H22)+(I22*J22)+(K22*L22)+(M22*N22)</f>
        <v>0</v>
      </c>
      <c r="Q22" s="7"/>
    </row>
    <row r="23" spans="2:30">
      <c r="B23" s="865"/>
      <c r="C23" s="876" t="s">
        <v>1170</v>
      </c>
      <c r="D23" s="877"/>
      <c r="E23" s="878"/>
      <c r="F23" s="72"/>
      <c r="G23" s="99"/>
      <c r="H23" s="110"/>
      <c r="I23" s="122">
        <f>식사!E21</f>
        <v>18</v>
      </c>
      <c r="J23" s="115">
        <f>$C$4+$E$4</f>
        <v>7</v>
      </c>
      <c r="K23" s="120"/>
      <c r="L23" s="91"/>
      <c r="M23" s="120"/>
      <c r="N23" s="91"/>
      <c r="O23" s="144">
        <f t="shared" si="0"/>
        <v>126</v>
      </c>
      <c r="Q23" s="7"/>
    </row>
    <row r="24" spans="2:30" ht="18" thickBot="1">
      <c r="B24" s="906"/>
      <c r="C24" s="893" t="s">
        <v>1005</v>
      </c>
      <c r="D24" s="894"/>
      <c r="E24" s="895"/>
      <c r="F24" s="72"/>
      <c r="G24" s="102"/>
      <c r="H24" s="115"/>
      <c r="I24" s="123"/>
      <c r="J24" s="110"/>
      <c r="K24" s="123"/>
      <c r="L24" s="91"/>
      <c r="M24" s="123"/>
      <c r="N24" s="91"/>
      <c r="O24" s="144">
        <f t="shared" si="0"/>
        <v>0</v>
      </c>
      <c r="Q24" s="7"/>
    </row>
    <row r="25" spans="2:30">
      <c r="B25" s="993" t="str">
        <f>TEXT(C5+2,"m월 d일 aaaa")</f>
        <v>3월 18일 화요일</v>
      </c>
      <c r="C25" s="896" t="s">
        <v>888</v>
      </c>
      <c r="D25" s="897"/>
      <c r="E25" s="898"/>
      <c r="F25" s="72"/>
      <c r="G25" s="98"/>
      <c r="H25" s="109"/>
      <c r="I25" s="119"/>
      <c r="J25" s="109"/>
      <c r="K25" s="128">
        <f>IF(C4+E4&lt;8,'가이드&amp;차량'!C47, IF(C4+E4&lt;=14,'가이드&amp;차량'!C39,'가이드&amp;차량'!C23))</f>
        <v>430</v>
      </c>
      <c r="L25" s="90">
        <f>L10</f>
        <v>1</v>
      </c>
      <c r="M25" s="128">
        <f>'가이드&amp;차량'!C6</f>
        <v>375</v>
      </c>
      <c r="N25" s="90">
        <f>N10</f>
        <v>1</v>
      </c>
      <c r="O25" s="143">
        <f t="shared" si="0"/>
        <v>805</v>
      </c>
      <c r="Q25" s="159" t="s">
        <v>277</v>
      </c>
    </row>
    <row r="26" spans="2:30">
      <c r="B26" s="1066"/>
      <c r="C26" s="882" t="s">
        <v>331</v>
      </c>
      <c r="D26" s="883"/>
      <c r="E26" s="884"/>
      <c r="F26" s="72"/>
      <c r="G26" s="99"/>
      <c r="H26" s="110"/>
      <c r="I26" s="123"/>
      <c r="J26" s="110"/>
      <c r="K26" s="123"/>
      <c r="L26" s="91"/>
      <c r="M26" s="123"/>
      <c r="N26" s="91"/>
      <c r="O26" s="144">
        <f t="shared" si="0"/>
        <v>0</v>
      </c>
      <c r="Q26" s="7"/>
    </row>
    <row r="27" spans="2:30">
      <c r="B27" s="1066"/>
      <c r="C27" s="902" t="s">
        <v>549</v>
      </c>
      <c r="D27" s="903"/>
      <c r="E27" s="904"/>
      <c r="F27" s="72"/>
      <c r="G27" s="99"/>
      <c r="H27" s="110"/>
      <c r="I27" s="122">
        <f>식사!E7</f>
        <v>18</v>
      </c>
      <c r="J27" s="115">
        <f>$C$4+$E$4</f>
        <v>7</v>
      </c>
      <c r="K27" s="123"/>
      <c r="L27" s="91"/>
      <c r="M27" s="102"/>
      <c r="N27" s="91"/>
      <c r="O27" s="146">
        <f t="shared" si="0"/>
        <v>126</v>
      </c>
      <c r="Q27" s="7"/>
    </row>
    <row r="28" spans="2:30">
      <c r="B28" s="1066"/>
      <c r="C28" s="882" t="s">
        <v>889</v>
      </c>
      <c r="D28" s="883"/>
      <c r="E28" s="884"/>
      <c r="F28" s="72"/>
      <c r="G28" s="103">
        <f>일정!E3+일정!E13+일정!E12</f>
        <v>99.8</v>
      </c>
      <c r="H28" s="115">
        <f>$C$4+$E$4</f>
        <v>7</v>
      </c>
      <c r="I28" s="102"/>
      <c r="J28" s="115"/>
      <c r="K28" s="123"/>
      <c r="L28" s="91"/>
      <c r="M28" s="102"/>
      <c r="N28" s="91"/>
      <c r="O28" s="146">
        <f t="shared" si="0"/>
        <v>698.6</v>
      </c>
      <c r="Q28" s="7"/>
    </row>
    <row r="29" spans="2:30">
      <c r="B29" s="1066"/>
      <c r="C29" s="907" t="s">
        <v>890</v>
      </c>
      <c r="D29" s="908"/>
      <c r="E29" s="909"/>
      <c r="F29" s="72"/>
      <c r="G29" s="99"/>
      <c r="H29" s="110"/>
      <c r="I29" s="102"/>
      <c r="J29" s="115"/>
      <c r="K29" s="123"/>
      <c r="L29" s="91"/>
      <c r="M29" s="102"/>
      <c r="N29" s="91"/>
      <c r="O29" s="146">
        <f t="shared" si="0"/>
        <v>0</v>
      </c>
      <c r="Q29" s="7"/>
    </row>
    <row r="30" spans="2:30">
      <c r="B30" s="1066"/>
      <c r="C30" s="902" t="s">
        <v>298</v>
      </c>
      <c r="D30" s="903"/>
      <c r="E30" s="904"/>
      <c r="F30" s="72"/>
      <c r="G30" s="104"/>
      <c r="H30" s="116"/>
      <c r="I30" s="122">
        <f>식사!E3</f>
        <v>25</v>
      </c>
      <c r="J30" s="115">
        <f>$C$4+$E$4</f>
        <v>7</v>
      </c>
      <c r="K30" s="130"/>
      <c r="L30" s="138"/>
      <c r="M30" s="130"/>
      <c r="N30" s="138"/>
      <c r="O30" s="148">
        <f t="shared" si="0"/>
        <v>175</v>
      </c>
    </row>
    <row r="31" spans="2:30" ht="18" thickBot="1">
      <c r="B31" s="994"/>
      <c r="C31" s="870" t="s">
        <v>962</v>
      </c>
      <c r="D31" s="871"/>
      <c r="E31" s="500">
        <v>0.96875</v>
      </c>
      <c r="F31" s="34"/>
      <c r="G31" s="105"/>
      <c r="H31" s="117"/>
      <c r="I31" s="124"/>
      <c r="J31" s="126"/>
      <c r="K31" s="131"/>
      <c r="L31" s="139"/>
      <c r="M31" s="131"/>
      <c r="N31" s="139"/>
      <c r="O31" s="149">
        <f t="shared" si="0"/>
        <v>0</v>
      </c>
      <c r="P31" s="34"/>
      <c r="Q31" s="34"/>
      <c r="R31" s="34"/>
      <c r="S31" s="34"/>
      <c r="T31" s="34"/>
      <c r="U31" s="34"/>
    </row>
    <row r="32" spans="2:30">
      <c r="B32" s="72"/>
      <c r="C32" s="72"/>
      <c r="D32" s="72"/>
      <c r="E32" s="72"/>
      <c r="F32" s="72"/>
      <c r="G32" s="72"/>
      <c r="H32" s="72"/>
      <c r="K32" s="132">
        <f>SUM(K10:K31)</f>
        <v>1290</v>
      </c>
      <c r="L32" s="72"/>
      <c r="M32" s="132">
        <f>SUM(M10:M31)</f>
        <v>1125</v>
      </c>
      <c r="N32" s="72"/>
      <c r="O32" s="150"/>
      <c r="P32" s="156"/>
    </row>
    <row r="33" spans="2:15">
      <c r="O33" s="150"/>
    </row>
    <row r="34" spans="2:15">
      <c r="B34" s="872" t="s">
        <v>246</v>
      </c>
      <c r="C34" s="873" t="s">
        <v>288</v>
      </c>
      <c r="D34" s="874"/>
      <c r="E34" s="875"/>
      <c r="F34" s="34"/>
      <c r="G34" s="862">
        <f>$C$4+$E$4</f>
        <v>7</v>
      </c>
      <c r="H34" s="863"/>
      <c r="I34" s="854">
        <v>3</v>
      </c>
      <c r="J34" s="854"/>
      <c r="K34" s="855">
        <v>1</v>
      </c>
      <c r="L34" s="855"/>
      <c r="M34" s="855"/>
      <c r="N34" s="855"/>
      <c r="O34" s="151">
        <f>G34*I34*K34</f>
        <v>21</v>
      </c>
    </row>
    <row r="35" spans="2:15" ht="18" thickBot="1">
      <c r="B35" s="827"/>
      <c r="C35" s="856" t="s">
        <v>451</v>
      </c>
      <c r="D35" s="857"/>
      <c r="E35" s="858"/>
      <c r="F35" s="34"/>
      <c r="G35" s="859">
        <v>50</v>
      </c>
      <c r="H35" s="860"/>
      <c r="I35" s="860"/>
      <c r="J35" s="860"/>
      <c r="K35" s="861">
        <f>C4</f>
        <v>7</v>
      </c>
      <c r="L35" s="861"/>
      <c r="M35" s="861"/>
      <c r="N35" s="861"/>
      <c r="O35" s="152">
        <f>G35*K35</f>
        <v>350</v>
      </c>
    </row>
    <row r="36" spans="2:15" ht="18" thickBot="1">
      <c r="O36" s="150"/>
    </row>
    <row r="37" spans="2:15" ht="16.5" customHeight="1">
      <c r="B37" s="961" t="s">
        <v>337</v>
      </c>
      <c r="C37" s="1021" t="s">
        <v>251</v>
      </c>
      <c r="D37" s="1022"/>
      <c r="E37" s="1023"/>
      <c r="F37" s="165"/>
      <c r="G37" s="967"/>
      <c r="H37" s="1024"/>
      <c r="I37" s="969">
        <f>일정!G24</f>
        <v>30</v>
      </c>
      <c r="J37" s="970"/>
      <c r="K37" s="1044">
        <f>C4</f>
        <v>7</v>
      </c>
      <c r="L37" s="1044"/>
      <c r="M37" s="1044"/>
      <c r="N37" s="1045"/>
      <c r="O37" s="153">
        <f>G37*I37*K37</f>
        <v>0</v>
      </c>
    </row>
    <row r="38" spans="2:15">
      <c r="B38" s="1019"/>
      <c r="C38" s="1025" t="s">
        <v>250</v>
      </c>
      <c r="D38" s="1026"/>
      <c r="E38" s="1027"/>
      <c r="F38" s="165"/>
      <c r="G38" s="977"/>
      <c r="H38" s="1028"/>
      <c r="I38" s="979">
        <f>일정!G30</f>
        <v>28</v>
      </c>
      <c r="J38" s="980"/>
      <c r="K38" s="1046">
        <f>C4</f>
        <v>7</v>
      </c>
      <c r="L38" s="1047"/>
      <c r="M38" s="1047"/>
      <c r="N38" s="1048"/>
      <c r="O38" s="154">
        <f>G38*I38*K38</f>
        <v>0</v>
      </c>
    </row>
    <row r="39" spans="2:15">
      <c r="B39" s="1019"/>
      <c r="C39" s="1025" t="s">
        <v>249</v>
      </c>
      <c r="D39" s="1026"/>
      <c r="E39" s="1027"/>
      <c r="F39" s="165"/>
      <c r="G39" s="977"/>
      <c r="H39" s="1028"/>
      <c r="I39" s="979">
        <f>일정!G35</f>
        <v>36</v>
      </c>
      <c r="J39" s="980"/>
      <c r="K39" s="1046">
        <f>C4</f>
        <v>7</v>
      </c>
      <c r="L39" s="1047"/>
      <c r="M39" s="1047"/>
      <c r="N39" s="1048"/>
      <c r="O39" s="154">
        <f>G39*I39*K39</f>
        <v>0</v>
      </c>
    </row>
    <row r="40" spans="2:15">
      <c r="B40" s="1019"/>
      <c r="C40" s="1025" t="s">
        <v>336</v>
      </c>
      <c r="D40" s="1026"/>
      <c r="E40" s="1027"/>
      <c r="F40" s="165"/>
      <c r="G40" s="977"/>
      <c r="H40" s="1028"/>
      <c r="I40" s="979">
        <f>일정!G13</f>
        <v>19</v>
      </c>
      <c r="J40" s="980"/>
      <c r="K40" s="1046">
        <f>C4</f>
        <v>7</v>
      </c>
      <c r="L40" s="1047"/>
      <c r="M40" s="1047"/>
      <c r="N40" s="1048"/>
      <c r="O40" s="154">
        <f>G40*I40*K40</f>
        <v>0</v>
      </c>
    </row>
    <row r="41" spans="2:15" ht="18" thickBot="1">
      <c r="B41" s="1020"/>
      <c r="C41" s="1030" t="s">
        <v>252</v>
      </c>
      <c r="D41" s="1031"/>
      <c r="E41" s="1032"/>
      <c r="F41" s="165"/>
      <c r="G41" s="989"/>
      <c r="H41" s="1033"/>
      <c r="I41" s="991">
        <f>일정!G29</f>
        <v>40</v>
      </c>
      <c r="J41" s="992"/>
      <c r="K41" s="1049">
        <f>C4</f>
        <v>7</v>
      </c>
      <c r="L41" s="1050"/>
      <c r="M41" s="1050"/>
      <c r="N41" s="1051"/>
      <c r="O41" s="215">
        <f>G41*I41*K41</f>
        <v>0</v>
      </c>
    </row>
  </sheetData>
  <mergeCells count="74">
    <mergeCell ref="K39:N39"/>
    <mergeCell ref="C40:E40"/>
    <mergeCell ref="G40:H40"/>
    <mergeCell ref="I40:J40"/>
    <mergeCell ref="K40:N40"/>
    <mergeCell ref="B37:B41"/>
    <mergeCell ref="C37:E37"/>
    <mergeCell ref="G37:H37"/>
    <mergeCell ref="I37:J37"/>
    <mergeCell ref="K37:N37"/>
    <mergeCell ref="C38:E38"/>
    <mergeCell ref="G38:H38"/>
    <mergeCell ref="I38:J38"/>
    <mergeCell ref="K38:N38"/>
    <mergeCell ref="C39:E39"/>
    <mergeCell ref="C41:E41"/>
    <mergeCell ref="G41:H41"/>
    <mergeCell ref="I41:J41"/>
    <mergeCell ref="K41:N41"/>
    <mergeCell ref="G39:H39"/>
    <mergeCell ref="I39:J39"/>
    <mergeCell ref="G34:H34"/>
    <mergeCell ref="I34:J34"/>
    <mergeCell ref="K34:N34"/>
    <mergeCell ref="C35:E35"/>
    <mergeCell ref="G35:J35"/>
    <mergeCell ref="K35:N35"/>
    <mergeCell ref="B25:B31"/>
    <mergeCell ref="C30:E30"/>
    <mergeCell ref="B34:B35"/>
    <mergeCell ref="C34:E34"/>
    <mergeCell ref="C25:E25"/>
    <mergeCell ref="C26:E26"/>
    <mergeCell ref="C27:E27"/>
    <mergeCell ref="C28:E28"/>
    <mergeCell ref="C29:E29"/>
    <mergeCell ref="C31:D31"/>
    <mergeCell ref="B17:B24"/>
    <mergeCell ref="C17:E17"/>
    <mergeCell ref="C18:E18"/>
    <mergeCell ref="C20:E20"/>
    <mergeCell ref="C21:E21"/>
    <mergeCell ref="C23:E23"/>
    <mergeCell ref="C24:E24"/>
    <mergeCell ref="C19:E19"/>
    <mergeCell ref="C22:E22"/>
    <mergeCell ref="H7:K7"/>
    <mergeCell ref="M8:N8"/>
    <mergeCell ref="O8:O9"/>
    <mergeCell ref="B10:B16"/>
    <mergeCell ref="C11:E11"/>
    <mergeCell ref="C12:E12"/>
    <mergeCell ref="C15:E15"/>
    <mergeCell ref="C14:E14"/>
    <mergeCell ref="C16:E16"/>
    <mergeCell ref="G8:H8"/>
    <mergeCell ref="I8:J8"/>
    <mergeCell ref="K8:L8"/>
    <mergeCell ref="C13:E13"/>
    <mergeCell ref="C10:D10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103C9165-A61B-4C61-BED3-97B18E08129D}"/>
  </hyperlink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86BE6-5505-4156-ABDF-2FBE2F91CFAB}">
  <dimension ref="A1:Y41"/>
  <sheetViews>
    <sheetView workbookViewId="0">
      <selection activeCell="C28" sqref="C28:G28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</cols>
  <sheetData>
    <row r="1" spans="1:25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3.5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</row>
    <row r="2" spans="1:25">
      <c r="B2" s="73" t="s">
        <v>238</v>
      </c>
      <c r="C2" s="923" t="s">
        <v>702</v>
      </c>
      <c r="D2" s="923"/>
      <c r="E2" s="924"/>
      <c r="F2" s="72"/>
      <c r="G2" s="921"/>
      <c r="H2" s="1083" t="str">
        <f>TEXT(C5,"m월 d일 aaaa")</f>
        <v>3월 16일 일요일</v>
      </c>
      <c r="I2" s="1084"/>
      <c r="J2" s="927" t="s">
        <v>271</v>
      </c>
      <c r="K2" s="928"/>
      <c r="L2" s="134">
        <f>호텔!J41</f>
        <v>200</v>
      </c>
      <c r="M2" s="140">
        <f>$I$1+$K$1</f>
        <v>3.5</v>
      </c>
      <c r="N2" s="106">
        <f>L2*M2</f>
        <v>700</v>
      </c>
      <c r="O2" s="929">
        <f>SUM(N2:N6)</f>
        <v>2100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</row>
    <row r="3" spans="1:25" ht="28">
      <c r="B3" s="74" t="s">
        <v>239</v>
      </c>
      <c r="C3" s="938" t="s">
        <v>532</v>
      </c>
      <c r="D3" s="938"/>
      <c r="E3" s="770"/>
      <c r="F3" s="72"/>
      <c r="G3" s="921"/>
      <c r="H3" s="1083" t="str">
        <f>TEXT(C5+1,"m월 d일 aaaa")</f>
        <v>3월 17일 월요일</v>
      </c>
      <c r="I3" s="1083"/>
      <c r="J3" s="927" t="s">
        <v>271</v>
      </c>
      <c r="K3" s="928"/>
      <c r="L3" s="134">
        <f>L2</f>
        <v>200</v>
      </c>
      <c r="M3" s="140">
        <f>$I$1+$K$1</f>
        <v>3.5</v>
      </c>
      <c r="N3" s="106">
        <f>L3*M3</f>
        <v>700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</row>
    <row r="4" spans="1:25" ht="18" thickBot="1">
      <c r="B4" s="75" t="s">
        <v>241</v>
      </c>
      <c r="C4" s="81">
        <v>7</v>
      </c>
      <c r="D4" s="84" t="s">
        <v>253</v>
      </c>
      <c r="E4" s="92">
        <v>0</v>
      </c>
      <c r="F4" s="72"/>
      <c r="G4" s="921"/>
      <c r="H4" s="1083" t="str">
        <f>TEXT(C5+2,"m월 d일 aaaa")</f>
        <v>3월 18일 화요일</v>
      </c>
      <c r="I4" s="1084"/>
      <c r="J4" s="927" t="s">
        <v>271</v>
      </c>
      <c r="K4" s="928"/>
      <c r="L4" s="134">
        <f>L3</f>
        <v>200</v>
      </c>
      <c r="M4" s="141">
        <f>$I$1+$K$1</f>
        <v>3.5</v>
      </c>
      <c r="N4" s="106">
        <f>L4*M4</f>
        <v>700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</row>
    <row r="5" spans="1:25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1083" t="str">
        <f>TEXT(C5+3,"m월 d일 aaaa")</f>
        <v>3월 19일 수요일</v>
      </c>
      <c r="I5" s="1083"/>
      <c r="J5" s="939"/>
      <c r="K5" s="940"/>
      <c r="L5" s="135">
        <v>0</v>
      </c>
      <c r="M5" s="140">
        <f>$I$1+$K$1</f>
        <v>3.5</v>
      </c>
      <c r="N5" s="106">
        <f>L5*M5</f>
        <v>0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</row>
    <row r="6" spans="1:25" ht="17.25" customHeight="1" thickBot="1">
      <c r="B6" s="77" t="s">
        <v>243</v>
      </c>
      <c r="C6" s="83">
        <f>(SUM(O10:O41)+O2)/C4+R3+T5</f>
        <v>786.80000000000007</v>
      </c>
      <c r="D6" s="86" t="s">
        <v>254</v>
      </c>
      <c r="E6" s="94">
        <f>C6*$E$1</f>
        <v>865480.00000000012</v>
      </c>
      <c r="F6" s="72"/>
      <c r="G6" s="922"/>
      <c r="H6" s="1085" t="str">
        <f>TEXT(C5+4,"m월 d일 aaaa")</f>
        <v>3월 20일 목요일</v>
      </c>
      <c r="I6" s="1086"/>
      <c r="J6" s="935"/>
      <c r="K6" s="935"/>
      <c r="L6" s="136">
        <v>0</v>
      </c>
      <c r="M6" s="89">
        <f>$I$1+$K$1</f>
        <v>3.5</v>
      </c>
      <c r="N6" s="107">
        <f>L6*M6</f>
        <v>0</v>
      </c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</row>
    <row r="7" spans="1:25" ht="18" thickBot="1">
      <c r="B7" s="78" t="s">
        <v>244</v>
      </c>
      <c r="C7" s="183">
        <v>3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</row>
    <row r="8" spans="1:25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</row>
    <row r="9" spans="1:25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</row>
    <row r="10" spans="1:25">
      <c r="B10" s="905" t="str">
        <f>TEXT(C5,"m월 d일 aaaa")</f>
        <v>3월 16일 일요일</v>
      </c>
      <c r="C10" s="867" t="s">
        <v>1112</v>
      </c>
      <c r="D10" s="916"/>
      <c r="E10" s="499">
        <f>상품리스트!F37</f>
        <v>0.59375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120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270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</row>
    <row r="11" spans="1:25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1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</row>
    <row r="12" spans="1:25">
      <c r="B12" s="865"/>
      <c r="C12" s="876" t="s">
        <v>703</v>
      </c>
      <c r="D12" s="877"/>
      <c r="E12" s="878"/>
      <c r="F12" s="72"/>
      <c r="G12" s="99"/>
      <c r="H12" s="110"/>
      <c r="I12" s="122">
        <v>10</v>
      </c>
      <c r="J12" s="115">
        <f>$C$4+$E$4</f>
        <v>7</v>
      </c>
      <c r="K12" s="120"/>
      <c r="L12" s="91"/>
      <c r="M12" s="120"/>
      <c r="N12" s="91"/>
      <c r="O12" s="144">
        <f t="shared" si="0"/>
        <v>70</v>
      </c>
      <c r="Q12" s="7"/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</row>
    <row r="13" spans="1:25" ht="18" thickBot="1">
      <c r="B13" s="906"/>
      <c r="C13" s="917" t="s">
        <v>248</v>
      </c>
      <c r="D13" s="918"/>
      <c r="E13" s="919"/>
      <c r="F13" s="72"/>
      <c r="G13" s="205"/>
      <c r="H13" s="115"/>
      <c r="I13" s="102"/>
      <c r="J13" s="115"/>
      <c r="K13" s="120"/>
      <c r="L13" s="91"/>
      <c r="M13" s="120"/>
      <c r="N13" s="91"/>
      <c r="O13" s="144">
        <f t="shared" si="0"/>
        <v>0</v>
      </c>
      <c r="Q13" s="7"/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</row>
    <row r="14" spans="1:25">
      <c r="B14" s="905" t="str">
        <f>TEXT(C5+1,"m월 d일 aaaa")</f>
        <v>3월 17일 월요일</v>
      </c>
      <c r="C14" s="896" t="s">
        <v>282</v>
      </c>
      <c r="D14" s="897"/>
      <c r="E14" s="898"/>
      <c r="F14" s="72"/>
      <c r="G14" s="98"/>
      <c r="H14" s="112"/>
      <c r="I14" s="119"/>
      <c r="J14" s="109"/>
      <c r="K14" s="128">
        <f>IF(C4+E4&lt;8,'가이드&amp;차량'!C47, IF(C4+E4&lt;=14,'가이드&amp;차량'!C39,'가이드&amp;차량'!C23))</f>
        <v>430</v>
      </c>
      <c r="L14" s="90">
        <f>L10</f>
        <v>1</v>
      </c>
      <c r="M14" s="128">
        <f>'가이드&amp;차량'!C6</f>
        <v>375</v>
      </c>
      <c r="N14" s="90">
        <f>N10</f>
        <v>1</v>
      </c>
      <c r="O14" s="143">
        <f t="shared" si="0"/>
        <v>805</v>
      </c>
      <c r="Q14" s="159" t="s">
        <v>277</v>
      </c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</row>
    <row r="15" spans="1:25">
      <c r="B15" s="865"/>
      <c r="C15" s="907" t="s">
        <v>704</v>
      </c>
      <c r="D15" s="908"/>
      <c r="E15" s="909"/>
      <c r="F15" s="72"/>
      <c r="G15" s="102"/>
      <c r="H15" s="115"/>
      <c r="I15" s="120"/>
      <c r="J15" s="110"/>
      <c r="K15" s="123"/>
      <c r="L15" s="91"/>
      <c r="M15" s="123"/>
      <c r="N15" s="91"/>
      <c r="O15" s="144">
        <f t="shared" si="0"/>
        <v>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</row>
    <row r="16" spans="1:25">
      <c r="B16" s="865"/>
      <c r="C16" s="876" t="s">
        <v>332</v>
      </c>
      <c r="D16" s="877"/>
      <c r="E16" s="878"/>
      <c r="F16" s="72"/>
      <c r="G16" s="99"/>
      <c r="H16" s="110"/>
      <c r="I16" s="122">
        <f>식사!E19</f>
        <v>17</v>
      </c>
      <c r="J16" s="115">
        <f>$C$4+$E$4</f>
        <v>7</v>
      </c>
      <c r="K16" s="120"/>
      <c r="L16" s="91"/>
      <c r="M16" s="120"/>
      <c r="N16" s="91"/>
      <c r="O16" s="144">
        <f t="shared" si="0"/>
        <v>119</v>
      </c>
    </row>
    <row r="17" spans="2:21">
      <c r="B17" s="865"/>
      <c r="C17" s="882" t="s">
        <v>705</v>
      </c>
      <c r="D17" s="883"/>
      <c r="E17" s="884"/>
      <c r="F17" s="72"/>
      <c r="G17" s="374">
        <f>일정!E10+일정!E20</f>
        <v>53.5</v>
      </c>
      <c r="H17" s="164">
        <f>$C$4+$E$4</f>
        <v>7</v>
      </c>
      <c r="I17" s="123"/>
      <c r="J17" s="110"/>
      <c r="K17" s="123"/>
      <c r="L17" s="91"/>
      <c r="M17" s="123"/>
      <c r="N17" s="91"/>
      <c r="O17" s="144">
        <f t="shared" si="0"/>
        <v>374.5</v>
      </c>
      <c r="Q17" s="7"/>
    </row>
    <row r="18" spans="2:21">
      <c r="B18" s="865"/>
      <c r="C18" s="907" t="s">
        <v>505</v>
      </c>
      <c r="D18" s="908"/>
      <c r="E18" s="909"/>
      <c r="F18" s="72"/>
      <c r="G18" s="206"/>
      <c r="H18" s="164"/>
      <c r="I18" s="102"/>
      <c r="J18" s="115"/>
      <c r="K18" s="161"/>
      <c r="L18" s="138"/>
      <c r="M18" s="161"/>
      <c r="N18" s="138"/>
      <c r="O18" s="148">
        <f t="shared" si="0"/>
        <v>0</v>
      </c>
    </row>
    <row r="19" spans="2:21">
      <c r="B19" s="865"/>
      <c r="C19" s="876" t="s">
        <v>706</v>
      </c>
      <c r="D19" s="877"/>
      <c r="E19" s="878"/>
      <c r="F19" s="72"/>
      <c r="G19" s="99"/>
      <c r="H19" s="110"/>
      <c r="I19" s="122">
        <f>식사!E25</f>
        <v>22</v>
      </c>
      <c r="J19" s="115">
        <f>$C$4+$E$4</f>
        <v>7</v>
      </c>
      <c r="K19" s="120"/>
      <c r="L19" s="91"/>
      <c r="M19" s="120"/>
      <c r="N19" s="91"/>
      <c r="O19" s="144">
        <f t="shared" si="0"/>
        <v>154</v>
      </c>
      <c r="Q19" s="7"/>
    </row>
    <row r="20" spans="2:21">
      <c r="B20" s="865"/>
      <c r="C20" s="907" t="s">
        <v>325</v>
      </c>
      <c r="D20" s="908"/>
      <c r="E20" s="909"/>
      <c r="F20" s="72"/>
      <c r="G20" s="99"/>
      <c r="H20" s="110"/>
      <c r="I20" s="102"/>
      <c r="J20" s="115"/>
      <c r="K20" s="123"/>
      <c r="L20" s="91"/>
      <c r="M20" s="123"/>
      <c r="N20" s="91"/>
      <c r="O20" s="144">
        <f t="shared" si="0"/>
        <v>0</v>
      </c>
      <c r="Q20" s="7"/>
    </row>
    <row r="21" spans="2:21" ht="18" thickBot="1">
      <c r="B21" s="906"/>
      <c r="C21" s="893" t="s">
        <v>1005</v>
      </c>
      <c r="D21" s="894"/>
      <c r="E21" s="895"/>
      <c r="F21" s="72"/>
      <c r="G21" s="102"/>
      <c r="H21" s="115"/>
      <c r="I21" s="123"/>
      <c r="J21" s="110"/>
      <c r="K21" s="123"/>
      <c r="L21" s="91"/>
      <c r="M21" s="123"/>
      <c r="N21" s="91"/>
      <c r="O21" s="144">
        <f t="shared" si="0"/>
        <v>0</v>
      </c>
      <c r="Q21" s="7"/>
    </row>
    <row r="22" spans="2:21">
      <c r="B22" s="864" t="str">
        <f>TEXT(C5+2,"m월 d일 aaaa")</f>
        <v>3월 18일 화요일</v>
      </c>
      <c r="C22" s="905" t="s">
        <v>562</v>
      </c>
      <c r="D22" s="1038"/>
      <c r="E22" s="1039"/>
      <c r="F22" s="72"/>
      <c r="G22" s="98"/>
      <c r="H22" s="109"/>
      <c r="I22" s="353"/>
      <c r="J22" s="109"/>
      <c r="K22" s="354"/>
      <c r="L22" s="90"/>
      <c r="M22" s="354"/>
      <c r="N22" s="90"/>
      <c r="O22" s="143">
        <f t="shared" si="0"/>
        <v>0</v>
      </c>
      <c r="Q22" s="159" t="s">
        <v>277</v>
      </c>
    </row>
    <row r="23" spans="2:21">
      <c r="B23" s="888"/>
      <c r="C23" s="865"/>
      <c r="D23" s="1040"/>
      <c r="E23" s="1041"/>
      <c r="F23" s="72"/>
      <c r="G23" s="102"/>
      <c r="H23" s="115"/>
      <c r="I23" s="123"/>
      <c r="J23" s="110"/>
      <c r="K23" s="123"/>
      <c r="L23" s="91"/>
      <c r="M23" s="123"/>
      <c r="N23" s="91"/>
      <c r="O23" s="144">
        <f t="shared" si="0"/>
        <v>0</v>
      </c>
      <c r="Q23" s="7"/>
    </row>
    <row r="24" spans="2:21" ht="18" thickBot="1">
      <c r="B24" s="888"/>
      <c r="C24" s="865"/>
      <c r="D24" s="1040"/>
      <c r="E24" s="1041"/>
      <c r="F24" s="72"/>
      <c r="G24" s="99"/>
      <c r="H24" s="110"/>
      <c r="I24" s="102"/>
      <c r="J24" s="115"/>
      <c r="K24" s="123"/>
      <c r="L24" s="91"/>
      <c r="M24" s="102"/>
      <c r="N24" s="91"/>
      <c r="O24" s="146">
        <f t="shared" si="0"/>
        <v>0</v>
      </c>
      <c r="Q24" s="7"/>
    </row>
    <row r="25" spans="2:21">
      <c r="B25" s="864" t="str">
        <f>TEXT(C5+3,"m월 d일 aaaa")</f>
        <v>3월 19일 수요일</v>
      </c>
      <c r="C25" s="896" t="s">
        <v>330</v>
      </c>
      <c r="D25" s="897"/>
      <c r="E25" s="898"/>
      <c r="F25" s="72"/>
      <c r="G25" s="98"/>
      <c r="H25" s="109"/>
      <c r="I25" s="119"/>
      <c r="J25" s="109"/>
      <c r="K25" s="128">
        <f>IF(C4+E4&lt;8,'가이드&amp;차량'!C47, IF(C4+E4&lt;=14,'가이드&amp;차량'!C39,'가이드&amp;차량'!C23))</f>
        <v>430</v>
      </c>
      <c r="L25" s="90">
        <f>L10</f>
        <v>1</v>
      </c>
      <c r="M25" s="128">
        <f>'가이드&amp;차량'!C6+'가이드&amp;차량'!C3</f>
        <v>525</v>
      </c>
      <c r="N25" s="90">
        <f>N10</f>
        <v>1</v>
      </c>
      <c r="O25" s="143">
        <f t="shared" si="0"/>
        <v>955</v>
      </c>
      <c r="Q25" s="159" t="s">
        <v>278</v>
      </c>
    </row>
    <row r="26" spans="2:21">
      <c r="B26" s="888"/>
      <c r="C26" s="882" t="s">
        <v>650</v>
      </c>
      <c r="D26" s="883"/>
      <c r="E26" s="884"/>
      <c r="F26" s="72"/>
      <c r="G26" s="166"/>
      <c r="H26" s="115"/>
      <c r="I26" s="123"/>
      <c r="J26" s="110"/>
      <c r="K26" s="123"/>
      <c r="L26" s="91"/>
      <c r="M26" s="123"/>
      <c r="N26" s="91"/>
      <c r="O26" s="144">
        <f t="shared" si="0"/>
        <v>0</v>
      </c>
    </row>
    <row r="27" spans="2:21">
      <c r="B27" s="888"/>
      <c r="C27" s="876" t="s">
        <v>549</v>
      </c>
      <c r="D27" s="877"/>
      <c r="E27" s="878"/>
      <c r="F27" s="72"/>
      <c r="G27" s="99"/>
      <c r="H27" s="110"/>
      <c r="I27" s="122">
        <f>식사!E7</f>
        <v>18</v>
      </c>
      <c r="J27" s="115">
        <f>$C$4+$E$4</f>
        <v>7</v>
      </c>
      <c r="K27" s="120"/>
      <c r="L27" s="91"/>
      <c r="M27" s="120"/>
      <c r="N27" s="91"/>
      <c r="O27" s="144">
        <f t="shared" si="0"/>
        <v>126</v>
      </c>
    </row>
    <row r="28" spans="2:21">
      <c r="B28" s="888"/>
      <c r="C28" s="879" t="str">
        <f>일정!$C$27</f>
        <v>가든스바이더베이 2돔 ( 쥬랴기 )</v>
      </c>
      <c r="D28" s="891"/>
      <c r="E28" s="892"/>
      <c r="F28" s="72"/>
      <c r="G28" s="103">
        <f>일정!$E$27</f>
        <v>28.3</v>
      </c>
      <c r="H28" s="115">
        <f>$C$4+$E$4</f>
        <v>7</v>
      </c>
      <c r="I28" s="123"/>
      <c r="J28" s="110"/>
      <c r="K28" s="123"/>
      <c r="L28" s="91"/>
      <c r="M28" s="123"/>
      <c r="N28" s="91"/>
      <c r="O28" s="144">
        <f t="shared" si="0"/>
        <v>198.1</v>
      </c>
    </row>
    <row r="29" spans="2:21">
      <c r="B29" s="888"/>
      <c r="C29" s="907" t="s">
        <v>658</v>
      </c>
      <c r="D29" s="908"/>
      <c r="E29" s="909"/>
      <c r="F29" s="72"/>
      <c r="G29" s="206"/>
      <c r="H29" s="164"/>
      <c r="I29" s="123"/>
      <c r="J29" s="110"/>
      <c r="K29" s="161"/>
      <c r="L29" s="138"/>
      <c r="M29" s="161"/>
      <c r="N29" s="138"/>
      <c r="O29" s="148">
        <f t="shared" si="0"/>
        <v>0</v>
      </c>
    </row>
    <row r="30" spans="2:21">
      <c r="B30" s="888"/>
      <c r="C30" s="902" t="s">
        <v>298</v>
      </c>
      <c r="D30" s="903"/>
      <c r="E30" s="904"/>
      <c r="F30" s="72"/>
      <c r="G30" s="104"/>
      <c r="H30" s="116"/>
      <c r="I30" s="122">
        <f>식사!E3</f>
        <v>25</v>
      </c>
      <c r="J30" s="115">
        <f>$C$4+$E$4</f>
        <v>7</v>
      </c>
      <c r="K30" s="130"/>
      <c r="L30" s="138"/>
      <c r="M30" s="130"/>
      <c r="N30" s="138"/>
      <c r="O30" s="148">
        <f t="shared" si="0"/>
        <v>175</v>
      </c>
    </row>
    <row r="31" spans="2:21" ht="18" thickBot="1">
      <c r="B31" s="866"/>
      <c r="C31" s="870" t="s">
        <v>962</v>
      </c>
      <c r="D31" s="871"/>
      <c r="E31" s="500">
        <f>상품리스트!I37</f>
        <v>0</v>
      </c>
      <c r="F31" s="34"/>
      <c r="G31" s="105"/>
      <c r="H31" s="117"/>
      <c r="I31" s="124"/>
      <c r="J31" s="126"/>
      <c r="K31" s="131"/>
      <c r="L31" s="139"/>
      <c r="M31" s="131"/>
      <c r="N31" s="139"/>
      <c r="O31" s="149">
        <f t="shared" si="0"/>
        <v>0</v>
      </c>
      <c r="P31" s="34"/>
      <c r="Q31" s="34"/>
      <c r="R31" s="34"/>
      <c r="S31" s="34"/>
      <c r="T31" s="34"/>
      <c r="U31" s="34"/>
    </row>
    <row r="32" spans="2:21">
      <c r="B32" s="72"/>
      <c r="C32" s="72"/>
      <c r="D32" s="72"/>
      <c r="E32" s="72"/>
      <c r="F32" s="72"/>
      <c r="G32" s="72"/>
      <c r="H32" s="72"/>
      <c r="K32" s="132">
        <f>SUM(K10:K31)</f>
        <v>980</v>
      </c>
      <c r="L32" s="72"/>
      <c r="M32" s="132">
        <f>SUM(M10:M31)</f>
        <v>1050</v>
      </c>
      <c r="N32" s="72"/>
      <c r="O32" s="150"/>
      <c r="P32" s="156"/>
    </row>
    <row r="33" spans="2:15" ht="18" thickBot="1">
      <c r="O33" s="150"/>
    </row>
    <row r="34" spans="2:15">
      <c r="B34" s="872" t="s">
        <v>246</v>
      </c>
      <c r="C34" s="873" t="s">
        <v>288</v>
      </c>
      <c r="D34" s="874"/>
      <c r="E34" s="875"/>
      <c r="F34" s="34"/>
      <c r="G34" s="862">
        <f>$C$4+$E$4</f>
        <v>7</v>
      </c>
      <c r="H34" s="863"/>
      <c r="I34" s="854">
        <v>3</v>
      </c>
      <c r="J34" s="854"/>
      <c r="K34" s="855">
        <v>1</v>
      </c>
      <c r="L34" s="855"/>
      <c r="M34" s="855"/>
      <c r="N34" s="855"/>
      <c r="O34" s="151">
        <f>G34*I34*K34</f>
        <v>21</v>
      </c>
    </row>
    <row r="35" spans="2:15" ht="18" thickBot="1">
      <c r="B35" s="827"/>
      <c r="C35" s="856" t="s">
        <v>451</v>
      </c>
      <c r="D35" s="857"/>
      <c r="E35" s="858"/>
      <c r="F35" s="34"/>
      <c r="G35" s="859">
        <v>50</v>
      </c>
      <c r="H35" s="860"/>
      <c r="I35" s="860"/>
      <c r="J35" s="860"/>
      <c r="K35" s="861">
        <f>C4</f>
        <v>7</v>
      </c>
      <c r="L35" s="861"/>
      <c r="M35" s="861"/>
      <c r="N35" s="861"/>
      <c r="O35" s="152">
        <f>G35*K35</f>
        <v>350</v>
      </c>
    </row>
    <row r="36" spans="2:15" ht="18" thickBot="1">
      <c r="O36" s="150"/>
    </row>
    <row r="37" spans="2:15" ht="16.5" customHeight="1">
      <c r="B37" s="961" t="s">
        <v>337</v>
      </c>
      <c r="C37" s="1021" t="s">
        <v>251</v>
      </c>
      <c r="D37" s="1022"/>
      <c r="E37" s="1023"/>
      <c r="F37" s="165"/>
      <c r="G37" s="967"/>
      <c r="H37" s="1024"/>
      <c r="I37" s="969">
        <f>일정!G24</f>
        <v>30</v>
      </c>
      <c r="J37" s="970"/>
      <c r="K37" s="1044">
        <f>C4</f>
        <v>7</v>
      </c>
      <c r="L37" s="1044"/>
      <c r="M37" s="1044"/>
      <c r="N37" s="1045"/>
      <c r="O37" s="153">
        <f>G37*I37*K37</f>
        <v>0</v>
      </c>
    </row>
    <row r="38" spans="2:15">
      <c r="B38" s="1019"/>
      <c r="C38" s="1025" t="s">
        <v>250</v>
      </c>
      <c r="D38" s="1026"/>
      <c r="E38" s="1027"/>
      <c r="F38" s="165"/>
      <c r="G38" s="977"/>
      <c r="H38" s="1028"/>
      <c r="I38" s="979">
        <f>일정!G30</f>
        <v>28</v>
      </c>
      <c r="J38" s="980"/>
      <c r="K38" s="1046">
        <f>C4</f>
        <v>7</v>
      </c>
      <c r="L38" s="1047"/>
      <c r="M38" s="1047"/>
      <c r="N38" s="1048"/>
      <c r="O38" s="154">
        <f>G38*I38*K38</f>
        <v>0</v>
      </c>
    </row>
    <row r="39" spans="2:15">
      <c r="B39" s="1019"/>
      <c r="C39" s="1025" t="s">
        <v>249</v>
      </c>
      <c r="D39" s="1026"/>
      <c r="E39" s="1027"/>
      <c r="F39" s="165"/>
      <c r="G39" s="977"/>
      <c r="H39" s="1028"/>
      <c r="I39" s="979">
        <f>일정!G35</f>
        <v>36</v>
      </c>
      <c r="J39" s="980"/>
      <c r="K39" s="1046">
        <f>C4</f>
        <v>7</v>
      </c>
      <c r="L39" s="1047"/>
      <c r="M39" s="1047"/>
      <c r="N39" s="1048"/>
      <c r="O39" s="154">
        <f>G39*I39*K39</f>
        <v>0</v>
      </c>
    </row>
    <row r="40" spans="2:15">
      <c r="B40" s="1019"/>
      <c r="C40" s="1025" t="s">
        <v>336</v>
      </c>
      <c r="D40" s="1026"/>
      <c r="E40" s="1027"/>
      <c r="F40" s="165"/>
      <c r="G40" s="977"/>
      <c r="H40" s="1028"/>
      <c r="I40" s="979">
        <f>일정!G13</f>
        <v>19</v>
      </c>
      <c r="J40" s="980"/>
      <c r="K40" s="1046">
        <f>C4</f>
        <v>7</v>
      </c>
      <c r="L40" s="1047"/>
      <c r="M40" s="1047"/>
      <c r="N40" s="1048"/>
      <c r="O40" s="154">
        <f>G40*I40*K40</f>
        <v>0</v>
      </c>
    </row>
    <row r="41" spans="2:15" ht="18" thickBot="1">
      <c r="B41" s="1020"/>
      <c r="C41" s="1030" t="s">
        <v>252</v>
      </c>
      <c r="D41" s="1031"/>
      <c r="E41" s="1032"/>
      <c r="F41" s="165"/>
      <c r="G41" s="989"/>
      <c r="H41" s="1033"/>
      <c r="I41" s="991">
        <f>일정!G29</f>
        <v>40</v>
      </c>
      <c r="J41" s="992"/>
      <c r="K41" s="1049">
        <f>C4</f>
        <v>7</v>
      </c>
      <c r="L41" s="1050"/>
      <c r="M41" s="1050"/>
      <c r="N41" s="1051"/>
      <c r="O41" s="215">
        <f>G41*I41*K41</f>
        <v>0</v>
      </c>
    </row>
  </sheetData>
  <mergeCells count="73">
    <mergeCell ref="K39:N39"/>
    <mergeCell ref="C40:E40"/>
    <mergeCell ref="G40:H40"/>
    <mergeCell ref="I40:J40"/>
    <mergeCell ref="K40:N40"/>
    <mergeCell ref="B37:B41"/>
    <mergeCell ref="C37:E37"/>
    <mergeCell ref="G37:H37"/>
    <mergeCell ref="I37:J37"/>
    <mergeCell ref="K37:N37"/>
    <mergeCell ref="C38:E38"/>
    <mergeCell ref="G38:H38"/>
    <mergeCell ref="I38:J38"/>
    <mergeCell ref="K38:N38"/>
    <mergeCell ref="C39:E39"/>
    <mergeCell ref="C41:E41"/>
    <mergeCell ref="G41:H41"/>
    <mergeCell ref="I41:J41"/>
    <mergeCell ref="K41:N41"/>
    <mergeCell ref="G39:H39"/>
    <mergeCell ref="I39:J39"/>
    <mergeCell ref="B34:B35"/>
    <mergeCell ref="C34:E34"/>
    <mergeCell ref="G34:H34"/>
    <mergeCell ref="I34:J34"/>
    <mergeCell ref="K34:N34"/>
    <mergeCell ref="C35:E35"/>
    <mergeCell ref="G35:J35"/>
    <mergeCell ref="K35:N35"/>
    <mergeCell ref="B25:B31"/>
    <mergeCell ref="C25:E25"/>
    <mergeCell ref="C26:E26"/>
    <mergeCell ref="C27:E27"/>
    <mergeCell ref="C28:E28"/>
    <mergeCell ref="C29:E29"/>
    <mergeCell ref="C30:E30"/>
    <mergeCell ref="C31:D31"/>
    <mergeCell ref="B22:B24"/>
    <mergeCell ref="B14:B21"/>
    <mergeCell ref="C14:E14"/>
    <mergeCell ref="C15:E15"/>
    <mergeCell ref="C16:E16"/>
    <mergeCell ref="C17:E17"/>
    <mergeCell ref="C18:E18"/>
    <mergeCell ref="C19:E19"/>
    <mergeCell ref="C21:E21"/>
    <mergeCell ref="C20:E20"/>
    <mergeCell ref="C22:E24"/>
    <mergeCell ref="H7:K7"/>
    <mergeCell ref="M8:N8"/>
    <mergeCell ref="O8:O9"/>
    <mergeCell ref="B10:B13"/>
    <mergeCell ref="C11:E11"/>
    <mergeCell ref="C12:E12"/>
    <mergeCell ref="C13:E13"/>
    <mergeCell ref="G8:H8"/>
    <mergeCell ref="I8:J8"/>
    <mergeCell ref="K8:L8"/>
    <mergeCell ref="C10:D10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028FE1C0-C1DE-436A-BA50-1E88967F8F56}"/>
  </hyperlink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D276-7246-4658-98D2-E57B1B4E5A12}">
  <dimension ref="A1:AD43"/>
  <sheetViews>
    <sheetView workbookViewId="0">
      <selection activeCell="C30" sqref="C30:G30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0" width="7.6640625" customWidth="1"/>
    <col min="11" max="11" width="9.33203125" customWidth="1"/>
    <col min="12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9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1082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Momentus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180</v>
      </c>
      <c r="M2" s="140">
        <f>$I$1+$K$1</f>
        <v>9</v>
      </c>
      <c r="N2" s="106">
        <f>L2*M2</f>
        <v>1620</v>
      </c>
      <c r="O2" s="929">
        <f>SUM(N2:N6)</f>
        <v>1620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926</v>
      </c>
      <c r="AC2" s="10">
        <v>190</v>
      </c>
      <c r="AD2" s="10">
        <v>180</v>
      </c>
    </row>
    <row r="3" spans="1:30" ht="28">
      <c r="B3" s="74" t="s">
        <v>239</v>
      </c>
      <c r="C3" s="938" t="s">
        <v>685</v>
      </c>
      <c r="D3" s="938"/>
      <c r="E3" s="770"/>
      <c r="F3" s="72"/>
      <c r="G3" s="921"/>
      <c r="H3" s="925">
        <f>H2+1</f>
        <v>45733</v>
      </c>
      <c r="I3" s="926"/>
      <c r="J3" s="1125" t="s">
        <v>958</v>
      </c>
      <c r="K3" s="1126"/>
      <c r="L3" s="504"/>
      <c r="M3" s="140">
        <f>$I$1+$K$1</f>
        <v>9</v>
      </c>
      <c r="N3" s="106">
        <f>L3*M3</f>
        <v>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18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1125" t="s">
        <v>958</v>
      </c>
      <c r="K4" s="1126"/>
      <c r="L4" s="504"/>
      <c r="M4" s="141">
        <f>$I$1+$K$1</f>
        <v>9</v>
      </c>
      <c r="N4" s="106">
        <f>L4*M4</f>
        <v>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>
        <f>H4+1</f>
        <v>45735</v>
      </c>
      <c r="I5" s="926"/>
      <c r="J5" s="939"/>
      <c r="K5" s="940"/>
      <c r="L5" s="135"/>
      <c r="M5" s="140"/>
      <c r="N5" s="106">
        <f>L5*M5</f>
        <v>0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(SUM(O10:O43)+O2)/C4+R4+T5</f>
        <v>810.74444444444441</v>
      </c>
      <c r="D6" s="86" t="s">
        <v>254</v>
      </c>
      <c r="E6" s="94">
        <f>C6*$E$1</f>
        <v>891818.88888888888</v>
      </c>
      <c r="F6" s="72"/>
      <c r="G6" s="922"/>
      <c r="H6" s="925">
        <f>H5+1</f>
        <v>45736</v>
      </c>
      <c r="I6" s="926"/>
      <c r="J6" s="935"/>
      <c r="K6" s="935"/>
      <c r="L6" s="136"/>
      <c r="M6" s="89"/>
      <c r="N6" s="107">
        <f>L6*M6</f>
        <v>0</v>
      </c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2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67" t="s">
        <v>960</v>
      </c>
      <c r="D10" s="916"/>
      <c r="E10" s="499">
        <f>상품리스트!F18</f>
        <v>0.91319444444444442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280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430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3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630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1005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865"/>
      <c r="C14" s="907" t="s">
        <v>686</v>
      </c>
      <c r="D14" s="900"/>
      <c r="E14" s="901"/>
      <c r="F14" s="72"/>
      <c r="G14" s="102"/>
      <c r="H14" s="115"/>
      <c r="I14" s="120"/>
      <c r="J14" s="110"/>
      <c r="K14" s="123"/>
      <c r="L14" s="91"/>
      <c r="M14" s="123"/>
      <c r="N14" s="91"/>
      <c r="O14" s="144">
        <f t="shared" si="0"/>
        <v>0</v>
      </c>
      <c r="Q14" s="7"/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865"/>
      <c r="C15" s="876" t="s">
        <v>332</v>
      </c>
      <c r="D15" s="877"/>
      <c r="E15" s="878"/>
      <c r="F15" s="72"/>
      <c r="G15" s="99"/>
      <c r="H15" s="110"/>
      <c r="I15" s="122">
        <f>식사!E19</f>
        <v>17</v>
      </c>
      <c r="J15" s="115">
        <f>$C$4+$E$4</f>
        <v>18</v>
      </c>
      <c r="K15" s="120"/>
      <c r="L15" s="91"/>
      <c r="M15" s="120"/>
      <c r="N15" s="91"/>
      <c r="O15" s="144">
        <f t="shared" si="0"/>
        <v>306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922</v>
      </c>
      <c r="AC15" s="10">
        <v>185</v>
      </c>
      <c r="AD15" s="10">
        <v>185</v>
      </c>
    </row>
    <row r="16" spans="1:30">
      <c r="B16" s="865"/>
      <c r="C16" s="882" t="s">
        <v>687</v>
      </c>
      <c r="D16" s="883"/>
      <c r="E16" s="884"/>
      <c r="F16" s="72"/>
      <c r="G16" s="99"/>
      <c r="H16" s="110"/>
      <c r="I16" s="123"/>
      <c r="J16" s="110"/>
      <c r="K16" s="123"/>
      <c r="L16" s="91"/>
      <c r="M16" s="123"/>
      <c r="N16" s="91"/>
      <c r="O16" s="144">
        <f t="shared" si="0"/>
        <v>0</v>
      </c>
      <c r="X16" t="s">
        <v>1117</v>
      </c>
      <c r="AB16" s="496" t="s">
        <v>726</v>
      </c>
      <c r="AC16" s="10">
        <v>185</v>
      </c>
      <c r="AD16" s="10">
        <v>185</v>
      </c>
    </row>
    <row r="17" spans="2:30" ht="18" thickBot="1">
      <c r="B17" s="865"/>
      <c r="C17" s="890" t="s">
        <v>688</v>
      </c>
      <c r="D17" s="891"/>
      <c r="E17" s="892"/>
      <c r="F17" s="72"/>
      <c r="G17" s="374">
        <f>400+50</f>
        <v>450</v>
      </c>
      <c r="H17" s="164">
        <f>$C$4+$E$4</f>
        <v>18</v>
      </c>
      <c r="I17" s="161"/>
      <c r="J17" s="314"/>
      <c r="K17" s="161"/>
      <c r="L17" s="138"/>
      <c r="M17" s="161"/>
      <c r="N17" s="138"/>
      <c r="O17" s="148">
        <f>(G17*H17)+(I17*J17)+(K17*L17)+(M17*N17)+100</f>
        <v>8200</v>
      </c>
      <c r="Q17" s="7"/>
      <c r="S17" t="s">
        <v>700</v>
      </c>
      <c r="V17">
        <v>189</v>
      </c>
      <c r="W17" s="3" t="s">
        <v>1116</v>
      </c>
      <c r="X17">
        <v>10</v>
      </c>
      <c r="AB17" s="496" t="s">
        <v>931</v>
      </c>
      <c r="AC17" s="10">
        <v>155</v>
      </c>
      <c r="AD17" s="10">
        <v>155</v>
      </c>
    </row>
    <row r="18" spans="2:30">
      <c r="B18" s="865"/>
      <c r="C18" s="890" t="s">
        <v>689</v>
      </c>
      <c r="D18" s="891"/>
      <c r="E18" s="892"/>
      <c r="F18" s="72"/>
      <c r="G18" s="1116" t="s">
        <v>699</v>
      </c>
      <c r="H18" s="1117"/>
      <c r="I18" s="1117"/>
      <c r="J18" s="1117"/>
      <c r="K18" s="1117"/>
      <c r="L18" s="1117"/>
      <c r="M18" s="1117"/>
      <c r="N18" s="1117"/>
      <c r="O18" s="1118"/>
      <c r="Q18" s="7"/>
      <c r="W18" s="3" t="s">
        <v>1117</v>
      </c>
      <c r="X18">
        <v>65</v>
      </c>
      <c r="AB18" s="496" t="s">
        <v>923</v>
      </c>
      <c r="AC18" s="10">
        <v>185</v>
      </c>
      <c r="AD18" s="10">
        <v>185</v>
      </c>
    </row>
    <row r="19" spans="2:30">
      <c r="B19" s="865"/>
      <c r="C19" s="876" t="s">
        <v>690</v>
      </c>
      <c r="D19" s="877"/>
      <c r="E19" s="878"/>
      <c r="F19" s="72"/>
      <c r="G19" s="1119"/>
      <c r="H19" s="1120"/>
      <c r="I19" s="1120"/>
      <c r="J19" s="1120"/>
      <c r="K19" s="1120"/>
      <c r="L19" s="1120"/>
      <c r="M19" s="1120"/>
      <c r="N19" s="1120"/>
      <c r="O19" s="1121"/>
      <c r="Q19" s="7"/>
      <c r="V19">
        <v>50</v>
      </c>
      <c r="W19" s="3" t="s">
        <v>1118</v>
      </c>
      <c r="AB19" s="497" t="s">
        <v>928</v>
      </c>
      <c r="AC19" s="10">
        <v>280</v>
      </c>
      <c r="AD19" s="10">
        <v>280</v>
      </c>
    </row>
    <row r="20" spans="2:30" ht="18" thickBot="1">
      <c r="B20" s="906"/>
      <c r="C20" s="893" t="s">
        <v>691</v>
      </c>
      <c r="D20" s="894"/>
      <c r="E20" s="895"/>
      <c r="F20" s="72"/>
      <c r="G20" s="1119"/>
      <c r="H20" s="1120"/>
      <c r="I20" s="1120"/>
      <c r="J20" s="1120"/>
      <c r="K20" s="1120"/>
      <c r="L20" s="1120"/>
      <c r="M20" s="1120"/>
      <c r="N20" s="1120"/>
      <c r="O20" s="1121"/>
      <c r="Q20" s="7"/>
      <c r="V20">
        <v>63</v>
      </c>
      <c r="W20" s="3" t="s">
        <v>1119</v>
      </c>
      <c r="AB20" s="497" t="s">
        <v>442</v>
      </c>
      <c r="AC20" s="10">
        <v>366</v>
      </c>
      <c r="AD20" s="10">
        <v>366</v>
      </c>
    </row>
    <row r="21" spans="2:30">
      <c r="B21" s="864" t="str">
        <f>TEXT(C5+2,"m월 d일 aaaa")</f>
        <v>3월 18일 화요일</v>
      </c>
      <c r="C21" s="896" t="s">
        <v>282</v>
      </c>
      <c r="D21" s="897"/>
      <c r="E21" s="898"/>
      <c r="F21" s="72"/>
      <c r="G21" s="1119"/>
      <c r="H21" s="1120"/>
      <c r="I21" s="1120"/>
      <c r="J21" s="1120"/>
      <c r="K21" s="1120"/>
      <c r="L21" s="1120"/>
      <c r="M21" s="1120"/>
      <c r="N21" s="1120"/>
      <c r="O21" s="1121"/>
      <c r="Q21" s="159" t="s">
        <v>277</v>
      </c>
    </row>
    <row r="22" spans="2:30">
      <c r="B22" s="944"/>
      <c r="C22" s="907" t="s">
        <v>692</v>
      </c>
      <c r="D22" s="908"/>
      <c r="E22" s="909"/>
      <c r="F22" s="72"/>
      <c r="G22" s="1119"/>
      <c r="H22" s="1120"/>
      <c r="I22" s="1120"/>
      <c r="J22" s="1120"/>
      <c r="K22" s="1120"/>
      <c r="L22" s="1120"/>
      <c r="M22" s="1120"/>
      <c r="N22" s="1120"/>
      <c r="O22" s="1121"/>
      <c r="Q22" s="7"/>
    </row>
    <row r="23" spans="2:30">
      <c r="B23" s="888"/>
      <c r="C23" s="902" t="s">
        <v>693</v>
      </c>
      <c r="D23" s="903"/>
      <c r="E23" s="904"/>
      <c r="F23" s="72"/>
      <c r="G23" s="1119"/>
      <c r="H23" s="1120"/>
      <c r="I23" s="1120"/>
      <c r="J23" s="1120"/>
      <c r="K23" s="1120"/>
      <c r="L23" s="1120"/>
      <c r="M23" s="1120"/>
      <c r="N23" s="1120"/>
      <c r="O23" s="1121"/>
      <c r="Q23" s="7"/>
    </row>
    <row r="24" spans="2:30">
      <c r="B24" s="888"/>
      <c r="C24" s="907" t="s">
        <v>694</v>
      </c>
      <c r="D24" s="908"/>
      <c r="E24" s="909"/>
      <c r="F24" s="72"/>
      <c r="G24" s="1119"/>
      <c r="H24" s="1120"/>
      <c r="I24" s="1120"/>
      <c r="J24" s="1120"/>
      <c r="K24" s="1120"/>
      <c r="L24" s="1120"/>
      <c r="M24" s="1120"/>
      <c r="N24" s="1120"/>
      <c r="O24" s="1121"/>
      <c r="Q24" s="7"/>
    </row>
    <row r="25" spans="2:30">
      <c r="B25" s="888"/>
      <c r="C25" s="902" t="s">
        <v>695</v>
      </c>
      <c r="D25" s="903"/>
      <c r="E25" s="904"/>
      <c r="F25" s="72"/>
      <c r="G25" s="1119"/>
      <c r="H25" s="1120"/>
      <c r="I25" s="1120"/>
      <c r="J25" s="1120"/>
      <c r="K25" s="1120"/>
      <c r="L25" s="1120"/>
      <c r="M25" s="1120"/>
      <c r="N25" s="1120"/>
      <c r="O25" s="1121"/>
      <c r="Q25" s="7"/>
    </row>
    <row r="26" spans="2:30" ht="18" thickBot="1">
      <c r="B26" s="866"/>
      <c r="C26" s="917" t="s">
        <v>1115</v>
      </c>
      <c r="D26" s="918"/>
      <c r="E26" s="919"/>
      <c r="F26" s="72"/>
      <c r="G26" s="1122"/>
      <c r="H26" s="1123"/>
      <c r="I26" s="1123"/>
      <c r="J26" s="1123"/>
      <c r="K26" s="1123"/>
      <c r="L26" s="1123"/>
      <c r="M26" s="1123"/>
      <c r="N26" s="1123"/>
      <c r="O26" s="1124"/>
      <c r="Q26" s="7"/>
    </row>
    <row r="27" spans="2:30">
      <c r="B27" s="864" t="str">
        <f>TEXT(C5+3,"m월 d일 aaaa")</f>
        <v>3월 19일 수요일</v>
      </c>
      <c r="C27" s="896" t="s">
        <v>330</v>
      </c>
      <c r="D27" s="897"/>
      <c r="E27" s="898"/>
      <c r="F27" s="72"/>
      <c r="G27" s="98"/>
      <c r="H27" s="109"/>
      <c r="I27" s="119"/>
      <c r="J27" s="109"/>
      <c r="K27" s="128">
        <f>IF(C4+E4&lt;8,'가이드&amp;차량'!C47, IF(C4+E4&lt;=14,'가이드&amp;차량'!C39,'가이드&amp;차량'!C23))</f>
        <v>630</v>
      </c>
      <c r="L27" s="90">
        <f>L10</f>
        <v>1</v>
      </c>
      <c r="M27" s="128">
        <f>'가이드&amp;차량'!C6+'가이드&amp;차량'!C3</f>
        <v>525</v>
      </c>
      <c r="N27" s="90">
        <f>N10</f>
        <v>1</v>
      </c>
      <c r="O27" s="143">
        <f t="shared" si="0"/>
        <v>1155</v>
      </c>
      <c r="Q27" s="159" t="s">
        <v>278</v>
      </c>
    </row>
    <row r="28" spans="2:30">
      <c r="B28" s="888"/>
      <c r="C28" s="882" t="s">
        <v>696</v>
      </c>
      <c r="D28" s="883"/>
      <c r="E28" s="884"/>
      <c r="F28" s="72"/>
      <c r="G28" s="166"/>
      <c r="H28" s="115"/>
      <c r="I28" s="123"/>
      <c r="J28" s="110"/>
      <c r="K28" s="123"/>
      <c r="L28" s="91"/>
      <c r="M28" s="123"/>
      <c r="N28" s="91"/>
      <c r="O28" s="144">
        <f t="shared" si="0"/>
        <v>0</v>
      </c>
    </row>
    <row r="29" spans="2:30">
      <c r="B29" s="888"/>
      <c r="C29" s="876" t="s">
        <v>697</v>
      </c>
      <c r="D29" s="877"/>
      <c r="E29" s="878"/>
      <c r="F29" s="72"/>
      <c r="G29" s="99"/>
      <c r="H29" s="110"/>
      <c r="I29" s="122">
        <f>식사!E7</f>
        <v>18</v>
      </c>
      <c r="J29" s="115">
        <f>$C$4+$E$4</f>
        <v>18</v>
      </c>
      <c r="K29" s="120"/>
      <c r="L29" s="91"/>
      <c r="M29" s="120"/>
      <c r="N29" s="91"/>
      <c r="O29" s="144">
        <f t="shared" si="0"/>
        <v>324</v>
      </c>
    </row>
    <row r="30" spans="2:30">
      <c r="B30" s="888"/>
      <c r="C30" s="879" t="str">
        <f>일정!$C$27</f>
        <v>가든스바이더베이 2돔 ( 쥬랴기 )</v>
      </c>
      <c r="D30" s="891"/>
      <c r="E30" s="892"/>
      <c r="F30" s="72"/>
      <c r="G30" s="103">
        <f>일정!$E$27</f>
        <v>28.3</v>
      </c>
      <c r="H30" s="115">
        <f>$C$4+$E$4</f>
        <v>18</v>
      </c>
      <c r="I30" s="123"/>
      <c r="J30" s="110"/>
      <c r="K30" s="123"/>
      <c r="L30" s="91"/>
      <c r="M30" s="123"/>
      <c r="N30" s="91"/>
      <c r="O30" s="144">
        <f t="shared" si="0"/>
        <v>509.40000000000003</v>
      </c>
    </row>
    <row r="31" spans="2:30">
      <c r="B31" s="888"/>
      <c r="C31" s="907" t="s">
        <v>698</v>
      </c>
      <c r="D31" s="908"/>
      <c r="E31" s="909"/>
      <c r="F31" s="72"/>
      <c r="G31" s="206"/>
      <c r="H31" s="164"/>
      <c r="I31" s="123"/>
      <c r="J31" s="110"/>
      <c r="K31" s="161"/>
      <c r="L31" s="138"/>
      <c r="M31" s="161"/>
      <c r="N31" s="138"/>
      <c r="O31" s="148">
        <f t="shared" si="0"/>
        <v>0</v>
      </c>
    </row>
    <row r="32" spans="2:30">
      <c r="B32" s="888"/>
      <c r="C32" s="902" t="s">
        <v>551</v>
      </c>
      <c r="D32" s="903"/>
      <c r="E32" s="904"/>
      <c r="F32" s="72"/>
      <c r="G32" s="104"/>
      <c r="H32" s="116"/>
      <c r="I32" s="122">
        <f>식사!E3</f>
        <v>25</v>
      </c>
      <c r="J32" s="115">
        <f>$C$4+$E$4</f>
        <v>18</v>
      </c>
      <c r="K32" s="130"/>
      <c r="L32" s="138"/>
      <c r="M32" s="130"/>
      <c r="N32" s="138"/>
      <c r="O32" s="148">
        <f t="shared" si="0"/>
        <v>450</v>
      </c>
    </row>
    <row r="33" spans="2:21" ht="18" thickBot="1">
      <c r="B33" s="866"/>
      <c r="C33" s="870" t="s">
        <v>596</v>
      </c>
      <c r="D33" s="871"/>
      <c r="E33" s="500">
        <f>상품리스트!I30</f>
        <v>1.7361111111111112E-2</v>
      </c>
      <c r="F33" s="34"/>
      <c r="G33" s="105"/>
      <c r="H33" s="117"/>
      <c r="I33" s="124"/>
      <c r="J33" s="126"/>
      <c r="K33" s="131"/>
      <c r="L33" s="139"/>
      <c r="M33" s="131"/>
      <c r="N33" s="139"/>
      <c r="O33" s="149">
        <f t="shared" si="0"/>
        <v>0</v>
      </c>
      <c r="P33" s="34"/>
      <c r="Q33" s="34"/>
      <c r="R33" s="34"/>
      <c r="S33" s="34"/>
      <c r="T33" s="34"/>
      <c r="U33" s="34"/>
    </row>
    <row r="34" spans="2:21">
      <c r="B34" s="72"/>
      <c r="C34" s="72"/>
      <c r="D34" s="72"/>
      <c r="E34" s="72"/>
      <c r="F34" s="72"/>
      <c r="G34" s="72"/>
      <c r="H34" s="72"/>
      <c r="K34" s="132">
        <f>SUM(K10:K33)</f>
        <v>1540</v>
      </c>
      <c r="L34" s="72"/>
      <c r="M34" s="132">
        <f>SUM(M10:M33)</f>
        <v>1050</v>
      </c>
      <c r="N34" s="72"/>
      <c r="O34" s="150"/>
      <c r="P34" s="156"/>
    </row>
    <row r="35" spans="2:21" ht="18" thickBot="1">
      <c r="O35" s="150"/>
    </row>
    <row r="36" spans="2:21">
      <c r="B36" s="872" t="s">
        <v>246</v>
      </c>
      <c r="C36" s="873" t="s">
        <v>288</v>
      </c>
      <c r="D36" s="874"/>
      <c r="E36" s="875"/>
      <c r="F36" s="34"/>
      <c r="G36" s="862">
        <f>$C$4+$E$4</f>
        <v>18</v>
      </c>
      <c r="H36" s="863"/>
      <c r="I36" s="854">
        <v>3</v>
      </c>
      <c r="J36" s="854"/>
      <c r="K36" s="855">
        <v>1</v>
      </c>
      <c r="L36" s="855"/>
      <c r="M36" s="855"/>
      <c r="N36" s="855"/>
      <c r="O36" s="151">
        <f>G36*I36*K36</f>
        <v>54</v>
      </c>
    </row>
    <row r="37" spans="2:21" ht="18" thickBot="1">
      <c r="B37" s="827"/>
      <c r="C37" s="856" t="s">
        <v>451</v>
      </c>
      <c r="D37" s="857"/>
      <c r="E37" s="858"/>
      <c r="F37" s="34"/>
      <c r="G37" s="859">
        <v>50</v>
      </c>
      <c r="H37" s="860"/>
      <c r="I37" s="860"/>
      <c r="J37" s="860"/>
      <c r="K37" s="861">
        <f>C4</f>
        <v>18</v>
      </c>
      <c r="L37" s="861"/>
      <c r="M37" s="861"/>
      <c r="N37" s="861"/>
      <c r="O37" s="152">
        <f>G37*K37</f>
        <v>900</v>
      </c>
    </row>
    <row r="38" spans="2:21" ht="18" thickBot="1">
      <c r="O38" s="150"/>
    </row>
    <row r="39" spans="2:21" ht="16.5" customHeight="1">
      <c r="B39" s="961" t="s">
        <v>337</v>
      </c>
      <c r="C39" s="1021" t="s">
        <v>251</v>
      </c>
      <c r="D39" s="1022"/>
      <c r="E39" s="1023"/>
      <c r="F39" s="165"/>
      <c r="G39" s="967"/>
      <c r="H39" s="1024"/>
      <c r="I39" s="969">
        <f>일정!G24</f>
        <v>30</v>
      </c>
      <c r="J39" s="970"/>
      <c r="K39" s="1044">
        <f>C4</f>
        <v>18</v>
      </c>
      <c r="L39" s="1044"/>
      <c r="M39" s="1044"/>
      <c r="N39" s="1045"/>
      <c r="O39" s="153">
        <f>G39*I39*K39</f>
        <v>0</v>
      </c>
    </row>
    <row r="40" spans="2:21">
      <c r="B40" s="1019"/>
      <c r="C40" s="1094" t="s">
        <v>250</v>
      </c>
      <c r="D40" s="1095"/>
      <c r="E40" s="1096"/>
      <c r="F40" s="165"/>
      <c r="G40" s="977"/>
      <c r="H40" s="1028"/>
      <c r="I40" s="979">
        <f>일정!G30</f>
        <v>28</v>
      </c>
      <c r="J40" s="980"/>
      <c r="K40" s="1046">
        <f>C4</f>
        <v>18</v>
      </c>
      <c r="L40" s="1047"/>
      <c r="M40" s="1047"/>
      <c r="N40" s="1048"/>
      <c r="O40" s="154">
        <f>G40*I40*K40</f>
        <v>0</v>
      </c>
    </row>
    <row r="41" spans="2:21">
      <c r="B41" s="1019"/>
      <c r="C41" s="1094" t="s">
        <v>249</v>
      </c>
      <c r="D41" s="1095"/>
      <c r="E41" s="1096"/>
      <c r="F41" s="165"/>
      <c r="G41" s="977"/>
      <c r="H41" s="1028"/>
      <c r="I41" s="979">
        <f>일정!G35</f>
        <v>36</v>
      </c>
      <c r="J41" s="980"/>
      <c r="K41" s="1046">
        <f>C4</f>
        <v>18</v>
      </c>
      <c r="L41" s="1047"/>
      <c r="M41" s="1047"/>
      <c r="N41" s="1048"/>
      <c r="O41" s="154">
        <f>G41*I41*K41</f>
        <v>0</v>
      </c>
    </row>
    <row r="42" spans="2:21">
      <c r="B42" s="1019"/>
      <c r="C42" s="1025" t="s">
        <v>336</v>
      </c>
      <c r="D42" s="1026"/>
      <c r="E42" s="1027"/>
      <c r="F42" s="165"/>
      <c r="G42" s="977"/>
      <c r="H42" s="1028"/>
      <c r="I42" s="979">
        <f>일정!G13</f>
        <v>19</v>
      </c>
      <c r="J42" s="980"/>
      <c r="K42" s="1046">
        <f>C4</f>
        <v>18</v>
      </c>
      <c r="L42" s="1047"/>
      <c r="M42" s="1047"/>
      <c r="N42" s="1048"/>
      <c r="O42" s="154">
        <f>G42*I42*K42</f>
        <v>0</v>
      </c>
    </row>
    <row r="43" spans="2:21" ht="18" thickBot="1">
      <c r="B43" s="1020"/>
      <c r="C43" s="1030" t="s">
        <v>252</v>
      </c>
      <c r="D43" s="1031"/>
      <c r="E43" s="1032"/>
      <c r="F43" s="165"/>
      <c r="G43" s="989"/>
      <c r="H43" s="1033"/>
      <c r="I43" s="991">
        <f>일정!G29</f>
        <v>40</v>
      </c>
      <c r="J43" s="992"/>
      <c r="K43" s="1049">
        <f>C4</f>
        <v>18</v>
      </c>
      <c r="L43" s="1050"/>
      <c r="M43" s="1050"/>
      <c r="N43" s="1051"/>
      <c r="O43" s="215">
        <f>G43*I43*K43</f>
        <v>0</v>
      </c>
    </row>
  </sheetData>
  <mergeCells count="78"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  <mergeCell ref="H7:K7"/>
    <mergeCell ref="M8:N8"/>
    <mergeCell ref="O8:O9"/>
    <mergeCell ref="B10:B12"/>
    <mergeCell ref="C11:E11"/>
    <mergeCell ref="C12:E12"/>
    <mergeCell ref="G8:H8"/>
    <mergeCell ref="I8:J8"/>
    <mergeCell ref="K8:L8"/>
    <mergeCell ref="C10:D10"/>
    <mergeCell ref="B13:B20"/>
    <mergeCell ref="C13:E13"/>
    <mergeCell ref="C14:E14"/>
    <mergeCell ref="C15:E15"/>
    <mergeCell ref="C16:E16"/>
    <mergeCell ref="C17:E17"/>
    <mergeCell ref="C19:E19"/>
    <mergeCell ref="C20:E20"/>
    <mergeCell ref="C18:E18"/>
    <mergeCell ref="B21:B26"/>
    <mergeCell ref="C21:E21"/>
    <mergeCell ref="C22:E22"/>
    <mergeCell ref="C23:E23"/>
    <mergeCell ref="C24:E24"/>
    <mergeCell ref="C25:E25"/>
    <mergeCell ref="C26:E26"/>
    <mergeCell ref="B27:B33"/>
    <mergeCell ref="C27:E27"/>
    <mergeCell ref="C28:E28"/>
    <mergeCell ref="C29:E29"/>
    <mergeCell ref="C30:E30"/>
    <mergeCell ref="C31:E31"/>
    <mergeCell ref="C32:E32"/>
    <mergeCell ref="B36:B37"/>
    <mergeCell ref="C36:E36"/>
    <mergeCell ref="G36:H36"/>
    <mergeCell ref="I36:J36"/>
    <mergeCell ref="K36:N36"/>
    <mergeCell ref="C37:E37"/>
    <mergeCell ref="G37:J37"/>
    <mergeCell ref="K37:N37"/>
    <mergeCell ref="B39:B43"/>
    <mergeCell ref="C39:E39"/>
    <mergeCell ref="G39:H39"/>
    <mergeCell ref="I39:J39"/>
    <mergeCell ref="K39:N39"/>
    <mergeCell ref="C40:E40"/>
    <mergeCell ref="G40:H40"/>
    <mergeCell ref="I40:J40"/>
    <mergeCell ref="K40:N40"/>
    <mergeCell ref="C41:E41"/>
    <mergeCell ref="C43:E43"/>
    <mergeCell ref="G43:H43"/>
    <mergeCell ref="I43:J43"/>
    <mergeCell ref="K43:N43"/>
    <mergeCell ref="G18:O26"/>
    <mergeCell ref="G41:H41"/>
    <mergeCell ref="I41:J41"/>
    <mergeCell ref="K41:N41"/>
    <mergeCell ref="C42:E42"/>
    <mergeCell ref="G42:H42"/>
    <mergeCell ref="I42:J42"/>
    <mergeCell ref="K42:N42"/>
    <mergeCell ref="C33:D33"/>
  </mergeCells>
  <phoneticPr fontId="1" type="noConversion"/>
  <hyperlinks>
    <hyperlink ref="A1" location="상품리스트!A1" display="home" xr:uid="{5A69E2D5-8DE3-44A9-A4CD-FC2D94EE9D8D}"/>
  </hyperlink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BBCA-13FD-43FB-9D8E-7A522F7F4A46}">
  <dimension ref="A1:AD47"/>
  <sheetViews>
    <sheetView workbookViewId="0">
      <selection activeCell="C17" sqref="C17:E17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0" width="7.6640625" customWidth="1"/>
    <col min="11" max="11" width="9.33203125" customWidth="1"/>
    <col min="12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1127" t="s">
        <v>274</v>
      </c>
      <c r="H1" s="158" t="s">
        <v>272</v>
      </c>
      <c r="I1" s="118">
        <f>C4/2</f>
        <v>10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948</v>
      </c>
      <c r="D2" s="923"/>
      <c r="E2" s="924"/>
      <c r="F2" s="72"/>
      <c r="G2" s="1128"/>
      <c r="H2" s="1130">
        <f>C5</f>
        <v>45732</v>
      </c>
      <c r="I2" s="1131"/>
      <c r="J2" s="1132" t="str">
        <f>AB2</f>
        <v>Aloft Novena</v>
      </c>
      <c r="K2" s="1133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180</v>
      </c>
      <c r="M2" s="140">
        <f>$I$1+$K$1</f>
        <v>10</v>
      </c>
      <c r="N2" s="106">
        <f>L2*M2</f>
        <v>1800</v>
      </c>
      <c r="O2" s="929">
        <f>SUM(N2:N6)</f>
        <v>3600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918</v>
      </c>
      <c r="AC2" s="10">
        <v>180</v>
      </c>
      <c r="AD2" s="10">
        <v>180</v>
      </c>
    </row>
    <row r="3" spans="1:30" ht="28">
      <c r="B3" s="74" t="s">
        <v>239</v>
      </c>
      <c r="C3" s="938" t="s">
        <v>949</v>
      </c>
      <c r="D3" s="938"/>
      <c r="E3" s="770"/>
      <c r="F3" s="72"/>
      <c r="G3" s="1128"/>
      <c r="H3" s="1134">
        <f>H2+1</f>
        <v>45733</v>
      </c>
      <c r="I3" s="1135"/>
      <c r="J3" s="927" t="str">
        <f>J2</f>
        <v>Aloft Novena</v>
      </c>
      <c r="K3" s="1034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180</v>
      </c>
      <c r="M3" s="140">
        <f>$I$1+$K$1</f>
        <v>10</v>
      </c>
      <c r="N3" s="106">
        <f>L3*M3</f>
        <v>1800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20</v>
      </c>
      <c r="D4" s="84" t="s">
        <v>253</v>
      </c>
      <c r="E4" s="92">
        <v>0</v>
      </c>
      <c r="F4" s="72"/>
      <c r="G4" s="1128"/>
      <c r="H4" s="1134">
        <f>H3+1</f>
        <v>45734</v>
      </c>
      <c r="I4" s="1135"/>
      <c r="J4" s="1125" t="s">
        <v>958</v>
      </c>
      <c r="K4" s="1126"/>
      <c r="L4" s="504"/>
      <c r="M4" s="141">
        <f>$I$1+$K$1</f>
        <v>10</v>
      </c>
      <c r="N4" s="106">
        <f>L4*M4</f>
        <v>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1128"/>
      <c r="H5" s="1134">
        <f>H4+1</f>
        <v>45735</v>
      </c>
      <c r="I5" s="1135"/>
      <c r="J5" s="939"/>
      <c r="K5" s="1136"/>
      <c r="L5" s="135"/>
      <c r="M5" s="140"/>
      <c r="N5" s="106">
        <f>L5*M5</f>
        <v>0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(SUM(O10:O47)+O2)/C4+R4+T5</f>
        <v>767.5</v>
      </c>
      <c r="D6" s="86" t="s">
        <v>254</v>
      </c>
      <c r="E6" s="94">
        <f>C6*$E$1</f>
        <v>844250</v>
      </c>
      <c r="F6" s="72"/>
      <c r="G6" s="1129"/>
      <c r="H6" s="1137">
        <f>H5+1</f>
        <v>45736</v>
      </c>
      <c r="I6" s="1138"/>
      <c r="J6" s="1139"/>
      <c r="K6" s="871"/>
      <c r="L6" s="136"/>
      <c r="M6" s="89"/>
      <c r="N6" s="107">
        <f>L6*M6</f>
        <v>0</v>
      </c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2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67" t="s">
        <v>947</v>
      </c>
      <c r="D10" s="916"/>
      <c r="E10" s="499">
        <f>상품리스트!F32</f>
        <v>0.97569444444444442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280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430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4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993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630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1005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1066"/>
      <c r="C14" s="907" t="s">
        <v>698</v>
      </c>
      <c r="D14" s="908"/>
      <c r="E14" s="909"/>
      <c r="F14" s="72"/>
      <c r="G14" s="102"/>
      <c r="H14" s="115"/>
      <c r="I14" s="120"/>
      <c r="J14" s="110"/>
      <c r="K14" s="123"/>
      <c r="L14" s="91"/>
      <c r="M14" s="123"/>
      <c r="N14" s="91"/>
      <c r="O14" s="144">
        <f t="shared" si="0"/>
        <v>0</v>
      </c>
      <c r="Q14" s="7"/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1066"/>
      <c r="C15" s="876" t="s">
        <v>559</v>
      </c>
      <c r="D15" s="877"/>
      <c r="E15" s="878"/>
      <c r="F15" s="72"/>
      <c r="G15" s="99"/>
      <c r="H15" s="110"/>
      <c r="I15" s="122">
        <f>식사!E19</f>
        <v>17</v>
      </c>
      <c r="J15" s="115">
        <f>$C$4+$E$4</f>
        <v>20</v>
      </c>
      <c r="K15" s="120"/>
      <c r="L15" s="91"/>
      <c r="M15" s="120"/>
      <c r="N15" s="91"/>
      <c r="O15" s="144">
        <f t="shared" si="0"/>
        <v>340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922</v>
      </c>
      <c r="AC15" s="10">
        <v>185</v>
      </c>
      <c r="AD15" s="10">
        <v>185</v>
      </c>
    </row>
    <row r="16" spans="1:30">
      <c r="B16" s="1066"/>
      <c r="C16" s="882" t="s">
        <v>866</v>
      </c>
      <c r="D16" s="883"/>
      <c r="E16" s="884"/>
      <c r="F16" s="72"/>
      <c r="G16" s="99"/>
      <c r="H16" s="110"/>
      <c r="I16" s="123"/>
      <c r="J16" s="110"/>
      <c r="K16" s="123"/>
      <c r="L16" s="91"/>
      <c r="M16" s="123"/>
      <c r="N16" s="91"/>
      <c r="O16" s="144">
        <f t="shared" si="0"/>
        <v>0</v>
      </c>
      <c r="AB16" s="496" t="s">
        <v>726</v>
      </c>
      <c r="AC16" s="10">
        <v>185</v>
      </c>
      <c r="AD16" s="10">
        <v>185</v>
      </c>
    </row>
    <row r="17" spans="2:30">
      <c r="B17" s="1066"/>
      <c r="C17" s="899" t="str">
        <f>일정!C27</f>
        <v>가든스바이더베이 2돔 ( 쥬랴기 )</v>
      </c>
      <c r="D17" s="900"/>
      <c r="E17" s="901"/>
      <c r="F17" s="72"/>
      <c r="G17" s="103">
        <f>일정!E27</f>
        <v>28.3</v>
      </c>
      <c r="H17" s="115">
        <f>$C$4+$E$4</f>
        <v>20</v>
      </c>
      <c r="I17" s="161"/>
      <c r="J17" s="314"/>
      <c r="K17" s="161"/>
      <c r="L17" s="138"/>
      <c r="M17" s="161"/>
      <c r="N17" s="138"/>
      <c r="O17" s="148"/>
      <c r="AB17" s="496" t="s">
        <v>931</v>
      </c>
      <c r="AC17" s="10">
        <v>155</v>
      </c>
      <c r="AD17" s="10">
        <v>155</v>
      </c>
    </row>
    <row r="18" spans="2:30">
      <c r="B18" s="1066"/>
      <c r="C18" s="876" t="s">
        <v>651</v>
      </c>
      <c r="D18" s="877"/>
      <c r="E18" s="878"/>
      <c r="F18" s="72"/>
      <c r="G18" s="99"/>
      <c r="H18" s="110"/>
      <c r="I18" s="122">
        <f>식사!E22</f>
        <v>22</v>
      </c>
      <c r="J18" s="115">
        <f>$C$4+$E$4</f>
        <v>20</v>
      </c>
      <c r="K18" s="161"/>
      <c r="L18" s="138"/>
      <c r="M18" s="161"/>
      <c r="N18" s="138"/>
      <c r="O18" s="148"/>
      <c r="AB18" s="496" t="s">
        <v>923</v>
      </c>
      <c r="AC18" s="10">
        <v>185</v>
      </c>
      <c r="AD18" s="10">
        <v>185</v>
      </c>
    </row>
    <row r="19" spans="2:30" ht="18" thickBot="1">
      <c r="B19" s="994"/>
      <c r="C19" s="917" t="s">
        <v>248</v>
      </c>
      <c r="D19" s="918"/>
      <c r="E19" s="919"/>
      <c r="F19" s="72"/>
      <c r="G19" s="489"/>
      <c r="H19" s="126"/>
      <c r="I19" s="129"/>
      <c r="J19" s="111"/>
      <c r="K19" s="129"/>
      <c r="L19" s="137"/>
      <c r="M19" s="129"/>
      <c r="N19" s="137"/>
      <c r="O19" s="145"/>
      <c r="AB19" s="497" t="s">
        <v>928</v>
      </c>
      <c r="AC19" s="10">
        <v>280</v>
      </c>
      <c r="AD19" s="10">
        <v>280</v>
      </c>
    </row>
    <row r="20" spans="2:30" ht="18" thickBot="1">
      <c r="B20" s="993" t="str">
        <f>TEXT(C5+2,"m월 d일 aaaa")</f>
        <v>3월 18일 화요일</v>
      </c>
      <c r="C20" s="1140" t="s">
        <v>867</v>
      </c>
      <c r="D20" s="1141"/>
      <c r="E20" s="1142"/>
      <c r="F20" s="72"/>
      <c r="G20" s="483">
        <f>W23+W25+W26+50</f>
        <v>290</v>
      </c>
      <c r="H20" s="484">
        <f>$C$4+$E$4</f>
        <v>20</v>
      </c>
      <c r="I20" s="485"/>
      <c r="J20" s="486"/>
      <c r="K20" s="485"/>
      <c r="L20" s="487"/>
      <c r="M20" s="485"/>
      <c r="N20" s="487"/>
      <c r="O20" s="488">
        <f>(G20*H20)+(I20*J20)+(K20*L20)+(M20*N20)+100</f>
        <v>5900</v>
      </c>
      <c r="Q20" s="7"/>
      <c r="AB20" s="497" t="s">
        <v>442</v>
      </c>
      <c r="AC20" s="10">
        <v>366</v>
      </c>
      <c r="AD20" s="10">
        <v>366</v>
      </c>
    </row>
    <row r="21" spans="2:30">
      <c r="B21" s="1066"/>
      <c r="C21" s="890" t="s">
        <v>689</v>
      </c>
      <c r="D21" s="891"/>
      <c r="E21" s="892"/>
      <c r="F21" s="72"/>
      <c r="G21" s="474" t="s">
        <v>699</v>
      </c>
      <c r="H21" s="475"/>
      <c r="I21" s="475"/>
      <c r="J21" s="475"/>
      <c r="K21" s="475"/>
      <c r="L21" s="475"/>
      <c r="M21" s="475"/>
      <c r="N21" s="475"/>
      <c r="O21" s="476"/>
      <c r="Q21" s="7"/>
    </row>
    <row r="22" spans="2:30">
      <c r="B22" s="1066"/>
      <c r="C22" s="876" t="s">
        <v>868</v>
      </c>
      <c r="D22" s="877"/>
      <c r="E22" s="878"/>
      <c r="F22" s="72"/>
      <c r="G22" s="477"/>
      <c r="H22" s="478"/>
      <c r="I22" s="478"/>
      <c r="J22" s="478"/>
      <c r="K22" s="478"/>
      <c r="L22" s="478"/>
      <c r="M22" s="478"/>
      <c r="N22" s="478"/>
      <c r="O22" s="479"/>
      <c r="Q22" s="7"/>
    </row>
    <row r="23" spans="2:30">
      <c r="B23" s="1066"/>
      <c r="C23" s="890" t="s">
        <v>869</v>
      </c>
      <c r="D23" s="891"/>
      <c r="E23" s="892"/>
      <c r="F23" s="72"/>
      <c r="G23" s="477"/>
      <c r="H23" s="478"/>
      <c r="I23" s="478"/>
      <c r="J23" s="478"/>
      <c r="K23" s="478"/>
      <c r="L23" s="478"/>
      <c r="M23" s="478"/>
      <c r="N23" s="478"/>
      <c r="O23" s="479"/>
      <c r="Q23" s="7"/>
      <c r="V23" s="503" t="s">
        <v>874</v>
      </c>
      <c r="W23" s="502">
        <v>130</v>
      </c>
    </row>
    <row r="24" spans="2:30">
      <c r="B24" s="1066"/>
      <c r="C24" s="899" t="s">
        <v>870</v>
      </c>
      <c r="D24" s="908"/>
      <c r="E24" s="909"/>
      <c r="F24" s="72"/>
      <c r="G24" s="477"/>
      <c r="H24" s="478"/>
      <c r="I24" s="478"/>
      <c r="J24" s="478"/>
      <c r="K24" s="478"/>
      <c r="L24" s="478"/>
      <c r="M24" s="478"/>
      <c r="N24" s="478"/>
      <c r="O24" s="479"/>
      <c r="Q24" s="7"/>
      <c r="V24" s="7" t="s">
        <v>952</v>
      </c>
      <c r="W24">
        <v>190</v>
      </c>
    </row>
    <row r="25" spans="2:30">
      <c r="B25" s="1066"/>
      <c r="C25" s="902" t="s">
        <v>871</v>
      </c>
      <c r="D25" s="903"/>
      <c r="E25" s="904"/>
      <c r="F25" s="72"/>
      <c r="G25" s="477"/>
      <c r="H25" s="478"/>
      <c r="I25" s="478"/>
      <c r="J25" s="478"/>
      <c r="K25" s="478"/>
      <c r="L25" s="478"/>
      <c r="M25" s="478"/>
      <c r="N25" s="478"/>
      <c r="O25" s="479"/>
      <c r="Q25" s="7"/>
      <c r="V25" s="501" t="s">
        <v>953</v>
      </c>
      <c r="W25" s="502">
        <v>60</v>
      </c>
    </row>
    <row r="26" spans="2:30" ht="18" thickBot="1">
      <c r="B26" s="994"/>
      <c r="C26" s="917" t="s">
        <v>248</v>
      </c>
      <c r="D26" s="918"/>
      <c r="E26" s="919"/>
      <c r="F26" s="72"/>
      <c r="G26" s="480"/>
      <c r="H26" s="481"/>
      <c r="I26" s="481"/>
      <c r="J26" s="481"/>
      <c r="K26" s="481"/>
      <c r="L26" s="481"/>
      <c r="M26" s="481"/>
      <c r="N26" s="481"/>
      <c r="O26" s="482"/>
      <c r="Q26" s="7"/>
      <c r="V26" s="501" t="s">
        <v>954</v>
      </c>
      <c r="W26" s="502">
        <v>50</v>
      </c>
    </row>
    <row r="27" spans="2:30">
      <c r="B27" s="864" t="str">
        <f>TEXT(C5+3,"m월 d일 aaaa")</f>
        <v>3월 19일 수요일</v>
      </c>
      <c r="C27" s="896" t="s">
        <v>330</v>
      </c>
      <c r="D27" s="897"/>
      <c r="E27" s="898"/>
      <c r="F27" s="72"/>
      <c r="G27" s="98"/>
      <c r="H27" s="109"/>
      <c r="I27" s="119"/>
      <c r="J27" s="109"/>
      <c r="K27" s="128">
        <f>IF(C4+E4&lt;8,'가이드&amp;차량'!C47, IF(C4+E4&lt;=14,'가이드&amp;차량'!C39,'가이드&amp;차량'!C23))</f>
        <v>630</v>
      </c>
      <c r="L27" s="90">
        <f>L10</f>
        <v>1</v>
      </c>
      <c r="M27" s="128">
        <f>'가이드&amp;차량'!C6+'가이드&amp;차량'!C3</f>
        <v>525</v>
      </c>
      <c r="N27" s="90">
        <f>N10</f>
        <v>1</v>
      </c>
      <c r="O27" s="143">
        <f t="shared" si="0"/>
        <v>1155</v>
      </c>
      <c r="Q27" s="159" t="s">
        <v>278</v>
      </c>
    </row>
    <row r="28" spans="2:30">
      <c r="B28" s="888"/>
      <c r="C28" s="882" t="s">
        <v>696</v>
      </c>
      <c r="D28" s="883"/>
      <c r="E28" s="884"/>
      <c r="F28" s="72"/>
      <c r="G28" s="166"/>
      <c r="H28" s="115"/>
      <c r="I28" s="123"/>
      <c r="J28" s="110"/>
      <c r="K28" s="123"/>
      <c r="L28" s="91"/>
      <c r="M28" s="123"/>
      <c r="N28" s="91"/>
      <c r="O28" s="144">
        <f t="shared" si="0"/>
        <v>0</v>
      </c>
    </row>
    <row r="29" spans="2:30">
      <c r="B29" s="888"/>
      <c r="C29" s="899" t="s">
        <v>622</v>
      </c>
      <c r="D29" s="900"/>
      <c r="E29" s="901"/>
      <c r="F29" s="72"/>
      <c r="G29" s="103">
        <f>일정!E38</f>
        <v>23.5</v>
      </c>
      <c r="H29" s="115">
        <f>$C$4+$E$4</f>
        <v>20</v>
      </c>
      <c r="I29" s="123"/>
      <c r="J29" s="110"/>
      <c r="K29" s="123"/>
      <c r="L29" s="91"/>
      <c r="M29" s="123"/>
      <c r="N29" s="91"/>
      <c r="O29" s="144">
        <f>(G29*H29)+(I29*J29)+(K29*L29)+(M29*N29)</f>
        <v>470</v>
      </c>
    </row>
    <row r="30" spans="2:30">
      <c r="B30" s="888"/>
      <c r="C30" s="876" t="s">
        <v>872</v>
      </c>
      <c r="D30" s="877"/>
      <c r="E30" s="878"/>
      <c r="F30" s="72"/>
      <c r="G30" s="99"/>
      <c r="H30" s="110"/>
      <c r="I30" s="122">
        <f>식사!E7</f>
        <v>18</v>
      </c>
      <c r="J30" s="115">
        <f>$C$4+$E$4</f>
        <v>20</v>
      </c>
      <c r="K30" s="120"/>
      <c r="L30" s="91"/>
      <c r="M30" s="120"/>
      <c r="N30" s="91"/>
      <c r="O30" s="144">
        <f t="shared" si="0"/>
        <v>360</v>
      </c>
    </row>
    <row r="31" spans="2:30">
      <c r="B31" s="888"/>
      <c r="C31" s="899" t="s">
        <v>873</v>
      </c>
      <c r="D31" s="900"/>
      <c r="E31" s="901"/>
      <c r="F31" s="72"/>
      <c r="G31" s="103">
        <f>일정!E10+일정!E20</f>
        <v>53.5</v>
      </c>
      <c r="H31" s="115">
        <f>$C$4+$E$4</f>
        <v>20</v>
      </c>
      <c r="I31" s="123"/>
      <c r="J31" s="110"/>
      <c r="K31" s="161"/>
      <c r="L31" s="138"/>
      <c r="M31" s="161"/>
      <c r="N31" s="138"/>
      <c r="O31" s="148">
        <f t="shared" si="0"/>
        <v>1070</v>
      </c>
    </row>
    <row r="32" spans="2:30">
      <c r="B32" s="888"/>
      <c r="C32" s="902" t="s">
        <v>630</v>
      </c>
      <c r="D32" s="903"/>
      <c r="E32" s="904"/>
      <c r="F32" s="72"/>
      <c r="G32" s="104"/>
      <c r="H32" s="116"/>
      <c r="I32" s="122">
        <f>식사!E7</f>
        <v>18</v>
      </c>
      <c r="J32" s="115">
        <f>$C$4+$E$4</f>
        <v>20</v>
      </c>
      <c r="K32" s="130"/>
      <c r="L32" s="138"/>
      <c r="M32" s="130"/>
      <c r="N32" s="138"/>
      <c r="O32" s="148">
        <f t="shared" si="0"/>
        <v>360</v>
      </c>
    </row>
    <row r="33" spans="2:21">
      <c r="B33" s="889"/>
      <c r="C33" s="882" t="s">
        <v>279</v>
      </c>
      <c r="D33" s="883"/>
      <c r="E33" s="884"/>
      <c r="F33" s="72"/>
      <c r="G33" s="104"/>
      <c r="H33" s="116"/>
      <c r="I33" s="163"/>
      <c r="J33" s="164"/>
      <c r="K33" s="130"/>
      <c r="L33" s="138"/>
      <c r="M33" s="130"/>
      <c r="N33" s="138"/>
      <c r="O33" s="148"/>
    </row>
    <row r="34" spans="2:21" ht="18" thickBot="1">
      <c r="B34" s="866"/>
      <c r="C34" s="870" t="s">
        <v>596</v>
      </c>
      <c r="D34" s="871"/>
      <c r="E34" s="500">
        <f>상품리스트!I32</f>
        <v>1.7361111111111112E-2</v>
      </c>
      <c r="F34" s="34"/>
      <c r="G34" s="105"/>
      <c r="H34" s="117"/>
      <c r="I34" s="124"/>
      <c r="J34" s="126"/>
      <c r="K34" s="131"/>
      <c r="L34" s="139"/>
      <c r="M34" s="131"/>
      <c r="N34" s="139"/>
      <c r="O34" s="149">
        <f t="shared" si="0"/>
        <v>0</v>
      </c>
      <c r="P34" s="34"/>
      <c r="Q34" s="34"/>
      <c r="R34" s="34"/>
      <c r="S34" s="34"/>
      <c r="T34" s="34"/>
      <c r="U34" s="34"/>
    </row>
    <row r="35" spans="2:21">
      <c r="B35" s="72"/>
      <c r="C35" s="72"/>
      <c r="D35" s="72"/>
      <c r="E35" s="72"/>
      <c r="F35" s="72"/>
      <c r="G35" s="72"/>
      <c r="H35" s="72"/>
      <c r="K35" s="132">
        <f>SUM(K10:K34)</f>
        <v>1540</v>
      </c>
      <c r="L35" s="72"/>
      <c r="M35" s="132">
        <f>SUM(M10:M34)</f>
        <v>1050</v>
      </c>
      <c r="N35" s="72"/>
      <c r="O35" s="150"/>
      <c r="P35" s="156"/>
    </row>
    <row r="36" spans="2:21" ht="18" thickBot="1">
      <c r="O36" s="150"/>
    </row>
    <row r="37" spans="2:21">
      <c r="B37" s="872" t="s">
        <v>246</v>
      </c>
      <c r="C37" s="873" t="s">
        <v>288</v>
      </c>
      <c r="D37" s="874"/>
      <c r="E37" s="875"/>
      <c r="F37" s="34"/>
      <c r="G37" s="862">
        <f>$C$4+$E$4</f>
        <v>20</v>
      </c>
      <c r="H37" s="863"/>
      <c r="I37" s="854">
        <v>3</v>
      </c>
      <c r="J37" s="854"/>
      <c r="K37" s="855">
        <v>1</v>
      </c>
      <c r="L37" s="855"/>
      <c r="M37" s="855"/>
      <c r="N37" s="855"/>
      <c r="O37" s="151">
        <f>G37*I37*K37</f>
        <v>60</v>
      </c>
    </row>
    <row r="38" spans="2:21" ht="18" thickBot="1">
      <c r="B38" s="827"/>
      <c r="C38" s="856" t="s">
        <v>451</v>
      </c>
      <c r="D38" s="857"/>
      <c r="E38" s="858"/>
      <c r="F38" s="34"/>
      <c r="G38" s="859">
        <v>50</v>
      </c>
      <c r="H38" s="860"/>
      <c r="I38" s="860"/>
      <c r="J38" s="860"/>
      <c r="K38" s="861">
        <f>C4</f>
        <v>20</v>
      </c>
      <c r="L38" s="861"/>
      <c r="M38" s="861"/>
      <c r="N38" s="861"/>
      <c r="O38" s="152">
        <f>G38*K38</f>
        <v>1000</v>
      </c>
    </row>
    <row r="39" spans="2:21" ht="18" thickBot="1">
      <c r="O39" s="150"/>
    </row>
    <row r="40" spans="2:21" ht="16.5" customHeight="1">
      <c r="B40" s="961" t="s">
        <v>337</v>
      </c>
      <c r="C40" s="1021" t="s">
        <v>251</v>
      </c>
      <c r="D40" s="1022"/>
      <c r="E40" s="1023"/>
      <c r="F40" s="165"/>
      <c r="G40" s="967"/>
      <c r="H40" s="1024"/>
      <c r="I40" s="969">
        <f>일정!G24</f>
        <v>30</v>
      </c>
      <c r="J40" s="970"/>
      <c r="K40" s="1044">
        <f>C4</f>
        <v>20</v>
      </c>
      <c r="L40" s="1044"/>
      <c r="M40" s="1044"/>
      <c r="N40" s="1045"/>
      <c r="O40" s="153">
        <f t="shared" ref="O40:O47" si="1">G40*I40*K40</f>
        <v>0</v>
      </c>
    </row>
    <row r="41" spans="2:21">
      <c r="B41" s="1019"/>
      <c r="C41" s="1094" t="s">
        <v>250</v>
      </c>
      <c r="D41" s="1095"/>
      <c r="E41" s="1096"/>
      <c r="F41" s="165"/>
      <c r="G41" s="984"/>
      <c r="H41" s="1029"/>
      <c r="I41" s="979">
        <f>일정!G30</f>
        <v>28</v>
      </c>
      <c r="J41" s="980"/>
      <c r="K41" s="1046">
        <f>C4</f>
        <v>20</v>
      </c>
      <c r="L41" s="1047"/>
      <c r="M41" s="1047"/>
      <c r="N41" s="1048"/>
      <c r="O41" s="154">
        <f t="shared" si="1"/>
        <v>0</v>
      </c>
    </row>
    <row r="42" spans="2:21">
      <c r="B42" s="1019"/>
      <c r="C42" s="1094" t="s">
        <v>249</v>
      </c>
      <c r="D42" s="1095"/>
      <c r="E42" s="1096"/>
      <c r="F42" s="165"/>
      <c r="G42" s="977"/>
      <c r="H42" s="1028"/>
      <c r="I42" s="979">
        <f>일정!G35</f>
        <v>36</v>
      </c>
      <c r="J42" s="980"/>
      <c r="K42" s="1046">
        <f>C4</f>
        <v>20</v>
      </c>
      <c r="L42" s="1047"/>
      <c r="M42" s="1047"/>
      <c r="N42" s="1048"/>
      <c r="O42" s="154">
        <f t="shared" si="1"/>
        <v>0</v>
      </c>
    </row>
    <row r="43" spans="2:21">
      <c r="B43" s="1019"/>
      <c r="C43" s="1025" t="s">
        <v>336</v>
      </c>
      <c r="D43" s="1026"/>
      <c r="E43" s="1027"/>
      <c r="F43" s="165"/>
      <c r="G43" s="977"/>
      <c r="H43" s="1028"/>
      <c r="I43" s="979">
        <f>일정!G13</f>
        <v>19</v>
      </c>
      <c r="J43" s="980"/>
      <c r="K43" s="1046">
        <f>C4</f>
        <v>20</v>
      </c>
      <c r="L43" s="1047"/>
      <c r="M43" s="1047"/>
      <c r="N43" s="1048"/>
      <c r="O43" s="154">
        <f t="shared" si="1"/>
        <v>0</v>
      </c>
    </row>
    <row r="44" spans="2:21" ht="18" thickBot="1">
      <c r="B44" s="1020"/>
      <c r="C44" s="1030" t="s">
        <v>252</v>
      </c>
      <c r="D44" s="1031"/>
      <c r="E44" s="1032"/>
      <c r="F44" s="165"/>
      <c r="G44" s="989"/>
      <c r="H44" s="1033"/>
      <c r="I44" s="991">
        <f>일정!G29</f>
        <v>40</v>
      </c>
      <c r="J44" s="992"/>
      <c r="K44" s="1049">
        <f>C4</f>
        <v>20</v>
      </c>
      <c r="L44" s="1050"/>
      <c r="M44" s="1050"/>
      <c r="N44" s="1051"/>
      <c r="O44" s="215">
        <f t="shared" si="1"/>
        <v>0</v>
      </c>
    </row>
    <row r="45" spans="2:21">
      <c r="B45" s="961" t="s">
        <v>955</v>
      </c>
      <c r="C45" s="1021" t="s">
        <v>956</v>
      </c>
      <c r="D45" s="1022"/>
      <c r="E45" s="1023"/>
      <c r="F45" s="165"/>
      <c r="G45" s="967"/>
      <c r="H45" s="1024"/>
      <c r="I45" s="969">
        <v>30</v>
      </c>
      <c r="J45" s="970"/>
      <c r="K45" s="1044">
        <f>C4</f>
        <v>20</v>
      </c>
      <c r="L45" s="1044"/>
      <c r="M45" s="1044"/>
      <c r="N45" s="1045"/>
      <c r="O45" s="153">
        <f t="shared" si="1"/>
        <v>0</v>
      </c>
    </row>
    <row r="46" spans="2:21">
      <c r="B46" s="1019"/>
      <c r="C46" s="1025" t="s">
        <v>959</v>
      </c>
      <c r="D46" s="1026"/>
      <c r="E46" s="1027"/>
      <c r="F46" s="165"/>
      <c r="G46" s="984"/>
      <c r="H46" s="1029"/>
      <c r="I46" s="979">
        <v>40</v>
      </c>
      <c r="J46" s="980"/>
      <c r="K46" s="1046">
        <f>C4</f>
        <v>20</v>
      </c>
      <c r="L46" s="1047"/>
      <c r="M46" s="1047"/>
      <c r="N46" s="1048"/>
      <c r="O46" s="154">
        <f t="shared" si="1"/>
        <v>0</v>
      </c>
    </row>
    <row r="47" spans="2:21" ht="18" thickBot="1">
      <c r="B47" s="1020"/>
      <c r="C47" s="1108" t="s">
        <v>957</v>
      </c>
      <c r="D47" s="1109"/>
      <c r="E47" s="1110"/>
      <c r="F47" s="165"/>
      <c r="G47" s="989"/>
      <c r="H47" s="1033"/>
      <c r="I47" s="991">
        <v>55</v>
      </c>
      <c r="J47" s="992"/>
      <c r="K47" s="1049">
        <f>C4</f>
        <v>20</v>
      </c>
      <c r="L47" s="1050"/>
      <c r="M47" s="1050"/>
      <c r="N47" s="1051"/>
      <c r="O47" s="215">
        <f t="shared" si="1"/>
        <v>0</v>
      </c>
    </row>
  </sheetData>
  <mergeCells count="91">
    <mergeCell ref="I41:J41"/>
    <mergeCell ref="K41:N41"/>
    <mergeCell ref="C19:E19"/>
    <mergeCell ref="C29:E29"/>
    <mergeCell ref="C33:E33"/>
    <mergeCell ref="I40:J40"/>
    <mergeCell ref="K40:N40"/>
    <mergeCell ref="C34:D34"/>
    <mergeCell ref="C18:E18"/>
    <mergeCell ref="G42:H42"/>
    <mergeCell ref="B40:B44"/>
    <mergeCell ref="C40:E40"/>
    <mergeCell ref="G40:H40"/>
    <mergeCell ref="C41:E41"/>
    <mergeCell ref="G41:H41"/>
    <mergeCell ref="C42:E42"/>
    <mergeCell ref="C44:E44"/>
    <mergeCell ref="G44:H44"/>
    <mergeCell ref="B27:B34"/>
    <mergeCell ref="C27:E27"/>
    <mergeCell ref="C28:E28"/>
    <mergeCell ref="C30:E30"/>
    <mergeCell ref="C31:E31"/>
    <mergeCell ref="C32:E32"/>
    <mergeCell ref="I44:J44"/>
    <mergeCell ref="K44:N44"/>
    <mergeCell ref="I42:J42"/>
    <mergeCell ref="K42:N42"/>
    <mergeCell ref="B37:B38"/>
    <mergeCell ref="C37:E37"/>
    <mergeCell ref="G37:H37"/>
    <mergeCell ref="I37:J37"/>
    <mergeCell ref="K37:N37"/>
    <mergeCell ref="C38:E38"/>
    <mergeCell ref="G38:J38"/>
    <mergeCell ref="K38:N38"/>
    <mergeCell ref="C43:E43"/>
    <mergeCell ref="G43:H43"/>
    <mergeCell ref="I43:J43"/>
    <mergeCell ref="K43:N43"/>
    <mergeCell ref="O8:O9"/>
    <mergeCell ref="B10:B12"/>
    <mergeCell ref="C11:E11"/>
    <mergeCell ref="C12:E12"/>
    <mergeCell ref="G8:H8"/>
    <mergeCell ref="I8:J8"/>
    <mergeCell ref="K8:L8"/>
    <mergeCell ref="C10:D10"/>
    <mergeCell ref="H7:K7"/>
    <mergeCell ref="C21:E21"/>
    <mergeCell ref="B13:B19"/>
    <mergeCell ref="B20:B26"/>
    <mergeCell ref="M8:N8"/>
    <mergeCell ref="C13:E13"/>
    <mergeCell ref="C14:E14"/>
    <mergeCell ref="C15:E15"/>
    <mergeCell ref="C16:E16"/>
    <mergeCell ref="C20:E20"/>
    <mergeCell ref="C22:E22"/>
    <mergeCell ref="C23:E23"/>
    <mergeCell ref="C24:E24"/>
    <mergeCell ref="C25:E25"/>
    <mergeCell ref="C26:E26"/>
    <mergeCell ref="C17:E17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  <mergeCell ref="B45:B47"/>
    <mergeCell ref="C45:E45"/>
    <mergeCell ref="G45:H45"/>
    <mergeCell ref="I45:J45"/>
    <mergeCell ref="K45:N45"/>
    <mergeCell ref="C46:E46"/>
    <mergeCell ref="G46:H46"/>
    <mergeCell ref="I46:J46"/>
    <mergeCell ref="K46:N46"/>
    <mergeCell ref="C47:E47"/>
    <mergeCell ref="G47:H47"/>
    <mergeCell ref="I47:J47"/>
    <mergeCell ref="K47:N47"/>
  </mergeCells>
  <phoneticPr fontId="1" type="noConversion"/>
  <hyperlinks>
    <hyperlink ref="A1" location="상품리스트!A1" display="home" xr:uid="{0BF1F452-FC69-4E1B-8FCD-427E80E1ED11}"/>
  </hyperlink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5033-D681-4C0C-BAE9-B9B73C4696C2}">
  <dimension ref="A1:AD53"/>
  <sheetViews>
    <sheetView workbookViewId="0">
      <selection activeCell="C22" sqref="C22:G22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0" width="7.6640625" customWidth="1"/>
    <col min="11" max="11" width="9.33203125" customWidth="1"/>
    <col min="12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7" max="27" width="2.1640625" customWidth="1"/>
    <col min="28" max="28" width="20.83203125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2.5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684</v>
      </c>
      <c r="D2" s="923"/>
      <c r="E2" s="924"/>
      <c r="F2" s="72"/>
      <c r="G2" s="921"/>
      <c r="H2" s="925">
        <f>C5</f>
        <v>45732</v>
      </c>
      <c r="I2" s="926"/>
      <c r="J2" s="1125" t="s">
        <v>958</v>
      </c>
      <c r="K2" s="1126"/>
      <c r="L2" s="504">
        <v>120</v>
      </c>
      <c r="M2" s="140">
        <f>$I$1+$K$1</f>
        <v>2.5</v>
      </c>
      <c r="N2" s="106">
        <f>L2*M2</f>
        <v>300</v>
      </c>
      <c r="O2" s="929">
        <f>SUM(N2:N6)</f>
        <v>1550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926</v>
      </c>
      <c r="AC2" s="10">
        <v>190</v>
      </c>
      <c r="AD2" s="10">
        <v>180</v>
      </c>
    </row>
    <row r="3" spans="1:30" ht="28">
      <c r="B3" s="74" t="s">
        <v>239</v>
      </c>
      <c r="C3" s="938" t="s">
        <v>1086</v>
      </c>
      <c r="D3" s="938"/>
      <c r="E3" s="770"/>
      <c r="F3" s="72"/>
      <c r="G3" s="921"/>
      <c r="H3" s="925">
        <f>H2+1</f>
        <v>45733</v>
      </c>
      <c r="I3" s="926"/>
      <c r="J3" s="1125" t="s">
        <v>958</v>
      </c>
      <c r="K3" s="1126"/>
      <c r="L3" s="504">
        <v>120</v>
      </c>
      <c r="M3" s="140">
        <f>$I$1+$K$1</f>
        <v>2.5</v>
      </c>
      <c r="N3" s="106">
        <f>L3*M3</f>
        <v>300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5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927" t="str">
        <f>AB2</f>
        <v>Momentus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190</v>
      </c>
      <c r="M4" s="141">
        <f>$I$1+$K$1</f>
        <v>2.5</v>
      </c>
      <c r="N4" s="106">
        <f>L4*M4</f>
        <v>475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>
        <f>H4+1</f>
        <v>45735</v>
      </c>
      <c r="I5" s="926"/>
      <c r="J5" s="927" t="str">
        <f>J4</f>
        <v>Momentus</v>
      </c>
      <c r="K5" s="934"/>
      <c r="L5" s="134">
        <f>IF(
    (IF(WEEKDAY(H5, 2) &lt;= 5, AC2, AD2) +
    IF(AND(H5 &gt;= W3, H5 &lt;= X3), Z3, 0) +
    IF(AND(H5 &gt;= W4, H5 &lt;= X4), Z4, 0) +
    IF(AND(H5 &gt;= W5, H5 &lt;= X5), Z5, 0) +
    IF(AND(H5 &gt;= W6, H5 &lt;= X6), Z6, 0) +
    IF(AND(H5 &gt;= W7, H5 &lt;= X7), Z7, 0) +
    IF(AND(H5 &gt;= W8, H5 &lt;= X8), Z8, 0) +
    IF(AND(H5 &gt;= W9, H5 &lt;= X9), Z9, 0) +
    IF(AND(H5 &gt;= W10, H5 &lt;= X10), Z10, 0)) &lt; 1,
    "Surcharge Check",
    (IF(WEEKDAY(H5, 2) &lt;= 5, AC2, AD2) +
    IF(AND(H5 &gt;= W3, H5 &lt;= X3), Z3, 0) +
    IF(AND(H5 &gt;= W4, H5 &lt;= X4), Z4, 0) +
    IF(AND(H5 &gt;= W5, H5 &lt;= X5), Z5, 0) +
    IF(AND(H5 &gt;= W6, H5 &lt;= X6), Z6, 0) +
    IF(AND(H5 &gt;= W7, H5 &lt;= X7), Z7, 0) +
    IF(AND(H5 &gt;= W8, H5 &lt;= X8), Z8, 0) +
    IF(AND(H5 &gt;= W9, H5 &lt;= X9), Z9, 0) +
    IF(AND(H5 &gt;= W10, H5 &lt;= X10), Z10, 0))
)</f>
        <v>190</v>
      </c>
      <c r="M5" s="140">
        <f>$I$1+$K$1</f>
        <v>2.5</v>
      </c>
      <c r="N5" s="106">
        <f>L5*M5</f>
        <v>475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(SUM(O10:O53)+O2)/C4+R3+T5</f>
        <v>1411.3</v>
      </c>
      <c r="D6" s="86" t="s">
        <v>254</v>
      </c>
      <c r="E6" s="94">
        <f>C6*$E$1</f>
        <v>1552430</v>
      </c>
      <c r="F6" s="72"/>
      <c r="G6" s="922"/>
      <c r="H6" s="925"/>
      <c r="I6" s="926"/>
      <c r="J6" s="935"/>
      <c r="K6" s="935"/>
      <c r="L6" s="136"/>
      <c r="M6" s="89"/>
      <c r="N6" s="107">
        <f>L6*M6</f>
        <v>0</v>
      </c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2</v>
      </c>
      <c r="D7" s="87" t="s">
        <v>255</v>
      </c>
      <c r="E7" s="95">
        <v>1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7" t="s">
        <v>245</v>
      </c>
      <c r="C9" s="530">
        <f>E1</f>
        <v>1100</v>
      </c>
      <c r="D9" s="86" t="s">
        <v>256</v>
      </c>
      <c r="E9" s="531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67" t="s">
        <v>960</v>
      </c>
      <c r="D10" s="916"/>
      <c r="E10" s="499">
        <f>상품리스트!F18</f>
        <v>0.91319444444444442</v>
      </c>
      <c r="F10" s="532"/>
      <c r="G10" s="98"/>
      <c r="H10" s="109"/>
      <c r="I10" s="119"/>
      <c r="J10" s="109"/>
      <c r="K10" s="128">
        <v>150</v>
      </c>
      <c r="L10" s="90">
        <v>1</v>
      </c>
      <c r="M10" s="128">
        <v>100</v>
      </c>
      <c r="N10" s="90">
        <v>1</v>
      </c>
      <c r="O10" s="143">
        <f>(G10*H10)+(I10*J10)+(K10*L10)+(M10*N10)</f>
        <v>250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41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8" thickBot="1">
      <c r="B12" s="906"/>
      <c r="C12" s="1143" t="s">
        <v>691</v>
      </c>
      <c r="D12" s="1144"/>
      <c r="E12" s="1145"/>
      <c r="F12" s="533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86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v>300</v>
      </c>
      <c r="L13" s="90">
        <f>L10</f>
        <v>1</v>
      </c>
      <c r="M13" s="128">
        <v>200</v>
      </c>
      <c r="N13" s="90">
        <f>N10</f>
        <v>1</v>
      </c>
      <c r="O13" s="143">
        <f t="shared" si="0"/>
        <v>500</v>
      </c>
      <c r="Q13" s="159"/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865"/>
      <c r="C14" s="907" t="s">
        <v>692</v>
      </c>
      <c r="D14" s="908"/>
      <c r="E14" s="909"/>
      <c r="F14" s="72"/>
      <c r="G14" s="103">
        <v>40</v>
      </c>
      <c r="H14" s="115">
        <f>$C$4+$E$4</f>
        <v>5</v>
      </c>
      <c r="I14" s="120"/>
      <c r="J14" s="110"/>
      <c r="K14" s="123"/>
      <c r="L14" s="91"/>
      <c r="M14" s="123"/>
      <c r="N14" s="91"/>
      <c r="O14" s="144">
        <f t="shared" si="0"/>
        <v>200</v>
      </c>
      <c r="Q14" s="7"/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865"/>
      <c r="C15" s="902" t="s">
        <v>693</v>
      </c>
      <c r="D15" s="903"/>
      <c r="E15" s="904"/>
      <c r="F15" s="72"/>
      <c r="G15" s="99"/>
      <c r="H15" s="110"/>
      <c r="I15" s="122">
        <v>15</v>
      </c>
      <c r="J15" s="115">
        <f>$C$4+$E$4</f>
        <v>5</v>
      </c>
      <c r="K15" s="120"/>
      <c r="L15" s="91"/>
      <c r="M15" s="120"/>
      <c r="N15" s="91"/>
      <c r="O15" s="144">
        <f t="shared" si="0"/>
        <v>75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922</v>
      </c>
      <c r="AC15" s="10">
        <v>185</v>
      </c>
      <c r="AD15" s="10">
        <v>185</v>
      </c>
    </row>
    <row r="16" spans="1:30">
      <c r="B16" s="865"/>
      <c r="C16" s="907" t="s">
        <v>1098</v>
      </c>
      <c r="D16" s="908"/>
      <c r="E16" s="909"/>
      <c r="F16" s="72"/>
      <c r="G16" s="103">
        <v>3</v>
      </c>
      <c r="H16" s="115">
        <f>$C$4+$E$4</f>
        <v>5</v>
      </c>
      <c r="I16" s="123"/>
      <c r="J16" s="110"/>
      <c r="K16" s="123"/>
      <c r="L16" s="91"/>
      <c r="M16" s="123"/>
      <c r="N16" s="91"/>
      <c r="O16" s="144">
        <f t="shared" si="0"/>
        <v>15</v>
      </c>
      <c r="AB16" s="496" t="s">
        <v>726</v>
      </c>
      <c r="AC16" s="10">
        <v>185</v>
      </c>
      <c r="AD16" s="10">
        <v>185</v>
      </c>
    </row>
    <row r="17" spans="2:30">
      <c r="B17" s="865"/>
      <c r="C17" s="902" t="s">
        <v>695</v>
      </c>
      <c r="D17" s="903"/>
      <c r="E17" s="904"/>
      <c r="F17" s="72"/>
      <c r="G17" s="99"/>
      <c r="H17" s="110"/>
      <c r="I17" s="122">
        <v>12</v>
      </c>
      <c r="J17" s="115">
        <f>$C$4+$E$4</f>
        <v>5</v>
      </c>
      <c r="K17" s="123"/>
      <c r="L17" s="91"/>
      <c r="M17" s="123"/>
      <c r="N17" s="91"/>
      <c r="O17" s="144">
        <f t="shared" si="0"/>
        <v>60</v>
      </c>
      <c r="Q17" s="7"/>
      <c r="AB17" s="496" t="s">
        <v>931</v>
      </c>
      <c r="AC17" s="10">
        <v>155</v>
      </c>
      <c r="AD17" s="10">
        <v>155</v>
      </c>
    </row>
    <row r="18" spans="2:30">
      <c r="B18" s="865"/>
      <c r="C18" s="899" t="s">
        <v>1087</v>
      </c>
      <c r="D18" s="900"/>
      <c r="E18" s="901"/>
      <c r="F18" s="72"/>
      <c r="G18" s="103">
        <v>40</v>
      </c>
      <c r="H18" s="115">
        <f>$C$4+$E$4</f>
        <v>5</v>
      </c>
      <c r="I18" s="123"/>
      <c r="J18" s="110"/>
      <c r="K18" s="123"/>
      <c r="L18" s="91"/>
      <c r="M18" s="123"/>
      <c r="N18" s="91"/>
      <c r="O18" s="144">
        <f t="shared" si="0"/>
        <v>200</v>
      </c>
      <c r="Q18" s="7"/>
      <c r="AB18" s="496"/>
      <c r="AC18" s="10"/>
      <c r="AD18" s="10"/>
    </row>
    <row r="19" spans="2:30" ht="18" thickBot="1">
      <c r="B19" s="906"/>
      <c r="C19" s="893" t="s">
        <v>691</v>
      </c>
      <c r="D19" s="894"/>
      <c r="E19" s="895"/>
      <c r="F19" s="72"/>
      <c r="G19" s="100"/>
      <c r="H19" s="111"/>
      <c r="I19" s="121"/>
      <c r="J19" s="111"/>
      <c r="K19" s="121"/>
      <c r="L19" s="137"/>
      <c r="M19" s="121"/>
      <c r="N19" s="137"/>
      <c r="O19" s="145">
        <f t="shared" si="0"/>
        <v>0</v>
      </c>
      <c r="Q19" s="7"/>
      <c r="AB19" s="497" t="s">
        <v>442</v>
      </c>
      <c r="AC19" s="10">
        <v>366</v>
      </c>
      <c r="AD19" s="10">
        <v>366</v>
      </c>
    </row>
    <row r="20" spans="2:30">
      <c r="B20" s="905" t="str">
        <f>TEXT(C5+2,"m월 d일 aaaa")</f>
        <v>3월 18일 화요일</v>
      </c>
      <c r="C20" s="949" t="s">
        <v>282</v>
      </c>
      <c r="D20" s="950"/>
      <c r="E20" s="951"/>
      <c r="F20" s="72"/>
      <c r="G20" s="98"/>
      <c r="H20" s="112"/>
      <c r="I20" s="119"/>
      <c r="J20" s="109"/>
      <c r="K20" s="128">
        <f>IF(C4+E4&lt;8,'가이드&amp;차량'!C47, IF(C4+E4&lt;=14,'가이드&amp;차량'!C39,'가이드&amp;차량'!C23))+100</f>
        <v>530</v>
      </c>
      <c r="L20" s="90">
        <f>L10</f>
        <v>1</v>
      </c>
      <c r="M20" s="128">
        <f>'가이드&amp;차량'!C6+50</f>
        <v>425</v>
      </c>
      <c r="N20" s="90">
        <f>N10</f>
        <v>1</v>
      </c>
      <c r="O20" s="143">
        <f t="shared" si="0"/>
        <v>955</v>
      </c>
      <c r="Q20" s="159"/>
      <c r="AB20" s="495" t="s">
        <v>921</v>
      </c>
      <c r="AC20" s="10">
        <v>240</v>
      </c>
      <c r="AD20" s="10">
        <v>240</v>
      </c>
    </row>
    <row r="21" spans="2:30">
      <c r="B21" s="865"/>
      <c r="C21" s="882" t="s">
        <v>1088</v>
      </c>
      <c r="D21" s="883"/>
      <c r="E21" s="884"/>
      <c r="F21" s="72"/>
      <c r="G21" s="102"/>
      <c r="H21" s="115"/>
      <c r="I21" s="120"/>
      <c r="J21" s="110"/>
      <c r="K21" s="123"/>
      <c r="L21" s="91"/>
      <c r="M21" s="123"/>
      <c r="N21" s="91"/>
      <c r="O21" s="144">
        <f t="shared" si="0"/>
        <v>0</v>
      </c>
      <c r="Q21" s="7"/>
      <c r="AB21" s="496" t="s">
        <v>932</v>
      </c>
      <c r="AC21" s="10">
        <v>170</v>
      </c>
      <c r="AD21" s="10">
        <v>170</v>
      </c>
    </row>
    <row r="22" spans="2:30">
      <c r="B22" s="865"/>
      <c r="C22" s="879" t="str">
        <f>일정!$C$27</f>
        <v>가든스바이더베이 2돔 ( 쥬랴기 )</v>
      </c>
      <c r="D22" s="891"/>
      <c r="E22" s="892"/>
      <c r="F22" s="72"/>
      <c r="G22" s="103">
        <f>일정!$E$27</f>
        <v>28.3</v>
      </c>
      <c r="H22" s="115">
        <f>$C$4+$E$4</f>
        <v>5</v>
      </c>
      <c r="I22" s="123"/>
      <c r="J22" s="110"/>
      <c r="K22" s="123"/>
      <c r="L22" s="91"/>
      <c r="M22" s="123"/>
      <c r="N22" s="91"/>
      <c r="O22" s="144">
        <f t="shared" si="0"/>
        <v>141.5</v>
      </c>
    </row>
    <row r="23" spans="2:30">
      <c r="B23" s="865"/>
      <c r="C23" s="876" t="s">
        <v>1100</v>
      </c>
      <c r="D23" s="877"/>
      <c r="E23" s="878"/>
      <c r="F23" s="72"/>
      <c r="G23" s="99"/>
      <c r="H23" s="110"/>
      <c r="I23" s="122">
        <f>식사!E7</f>
        <v>18</v>
      </c>
      <c r="J23" s="115">
        <f>$C$4+$E$4</f>
        <v>5</v>
      </c>
      <c r="K23" s="120"/>
      <c r="L23" s="91"/>
      <c r="M23" s="120"/>
      <c r="N23" s="91"/>
      <c r="O23" s="144">
        <f t="shared" si="0"/>
        <v>90</v>
      </c>
      <c r="Q23" s="7"/>
      <c r="AB23" s="496" t="s">
        <v>922</v>
      </c>
      <c r="AC23" s="10">
        <v>185</v>
      </c>
      <c r="AD23" s="10">
        <v>185</v>
      </c>
    </row>
    <row r="24" spans="2:30">
      <c r="B24" s="865"/>
      <c r="C24" s="1146" t="s">
        <v>1089</v>
      </c>
      <c r="D24" s="1147"/>
      <c r="E24" s="1148"/>
      <c r="F24" s="72"/>
      <c r="G24" s="374">
        <f>일정!E11</f>
        <v>20</v>
      </c>
      <c r="H24" s="164">
        <f>$C$4+$E$4</f>
        <v>5</v>
      </c>
      <c r="I24" s="123"/>
      <c r="J24" s="110"/>
      <c r="K24" s="123"/>
      <c r="L24" s="91"/>
      <c r="M24" s="123"/>
      <c r="N24" s="91"/>
      <c r="O24" s="144">
        <f t="shared" si="0"/>
        <v>100</v>
      </c>
      <c r="AB24" s="496" t="s">
        <v>726</v>
      </c>
      <c r="AC24" s="10">
        <v>185</v>
      </c>
      <c r="AD24" s="10">
        <v>185</v>
      </c>
    </row>
    <row r="25" spans="2:30">
      <c r="B25" s="865"/>
      <c r="C25" s="890" t="s">
        <v>687</v>
      </c>
      <c r="D25" s="891"/>
      <c r="E25" s="892"/>
      <c r="F25" s="72"/>
      <c r="G25" s="534"/>
      <c r="H25" s="535"/>
      <c r="I25" s="161"/>
      <c r="J25" s="314"/>
      <c r="K25" s="161"/>
      <c r="L25" s="138"/>
      <c r="M25" s="161"/>
      <c r="N25" s="138"/>
      <c r="O25" s="148">
        <f t="shared" si="0"/>
        <v>0</v>
      </c>
      <c r="Q25" s="7"/>
      <c r="AB25" s="496" t="s">
        <v>931</v>
      </c>
      <c r="AC25" s="10">
        <v>155</v>
      </c>
      <c r="AD25" s="10">
        <v>155</v>
      </c>
    </row>
    <row r="26" spans="2:30">
      <c r="B26" s="865"/>
      <c r="C26" s="902" t="s">
        <v>840</v>
      </c>
      <c r="D26" s="903"/>
      <c r="E26" s="904"/>
      <c r="F26" s="72"/>
      <c r="G26" s="534"/>
      <c r="H26" s="535"/>
      <c r="I26" s="122">
        <f>식사!E3</f>
        <v>25</v>
      </c>
      <c r="J26" s="115">
        <f>$C$4+$E$4</f>
        <v>5</v>
      </c>
      <c r="K26" s="534"/>
      <c r="L26" s="535"/>
      <c r="M26" s="534"/>
      <c r="N26" s="535"/>
      <c r="O26" s="542">
        <f t="shared" si="0"/>
        <v>125</v>
      </c>
      <c r="Q26" s="7"/>
      <c r="AB26" s="497" t="s">
        <v>928</v>
      </c>
      <c r="AC26" s="10">
        <v>280</v>
      </c>
      <c r="AD26" s="10">
        <v>280</v>
      </c>
    </row>
    <row r="27" spans="2:30">
      <c r="B27" s="865"/>
      <c r="C27" s="890" t="s">
        <v>325</v>
      </c>
      <c r="D27" s="891"/>
      <c r="E27" s="892"/>
      <c r="F27" s="72"/>
      <c r="G27" s="534"/>
      <c r="H27" s="535"/>
      <c r="I27" s="540"/>
      <c r="J27" s="535"/>
      <c r="K27" s="534"/>
      <c r="L27" s="535"/>
      <c r="M27" s="534"/>
      <c r="N27" s="535"/>
      <c r="O27" s="542">
        <f t="shared" si="0"/>
        <v>0</v>
      </c>
      <c r="Q27" s="7"/>
      <c r="AB27" s="497"/>
      <c r="AC27" s="10"/>
      <c r="AD27" s="10"/>
    </row>
    <row r="28" spans="2:30" ht="18" thickBot="1">
      <c r="B28" s="906"/>
      <c r="C28" s="893" t="s">
        <v>247</v>
      </c>
      <c r="D28" s="894"/>
      <c r="E28" s="895"/>
      <c r="F28" s="72"/>
      <c r="G28" s="536"/>
      <c r="H28" s="537"/>
      <c r="I28" s="541"/>
      <c r="J28" s="537"/>
      <c r="K28" s="536"/>
      <c r="L28" s="537"/>
      <c r="M28" s="536"/>
      <c r="N28" s="537"/>
      <c r="O28" s="543">
        <f t="shared" si="0"/>
        <v>0</v>
      </c>
      <c r="Q28" s="7"/>
      <c r="AB28" s="497" t="s">
        <v>442</v>
      </c>
      <c r="AC28" s="10">
        <v>366</v>
      </c>
      <c r="AD28" s="10">
        <v>366</v>
      </c>
    </row>
    <row r="29" spans="2:30">
      <c r="B29" s="864" t="str">
        <f>TEXT(C5+3,"m월 d일 aaaa")</f>
        <v>3월 19일 수요일</v>
      </c>
      <c r="C29" s="896" t="s">
        <v>282</v>
      </c>
      <c r="D29" s="897"/>
      <c r="E29" s="898"/>
      <c r="F29" s="72"/>
      <c r="G29" s="538"/>
      <c r="H29" s="539"/>
      <c r="I29" s="538"/>
      <c r="J29" s="539"/>
      <c r="K29" s="545">
        <f>IF(C4+E4&lt;8,'가이드&amp;차량'!C47, IF(C4+E4&lt;=14,'가이드&amp;차량'!C39,'가이드&amp;차량'!C23))</f>
        <v>430</v>
      </c>
      <c r="L29" s="539">
        <f>L10</f>
        <v>1</v>
      </c>
      <c r="M29" s="545">
        <f>'가이드&amp;차량'!C6</f>
        <v>375</v>
      </c>
      <c r="N29" s="539">
        <f>N10</f>
        <v>1</v>
      </c>
      <c r="O29" s="544">
        <f t="shared" si="0"/>
        <v>805</v>
      </c>
      <c r="Q29" s="159"/>
    </row>
    <row r="30" spans="2:30">
      <c r="B30" s="944"/>
      <c r="C30" s="907" t="s">
        <v>1090</v>
      </c>
      <c r="D30" s="908"/>
      <c r="E30" s="909"/>
      <c r="F30" s="72"/>
      <c r="G30" s="534"/>
      <c r="H30" s="535"/>
      <c r="I30" s="534"/>
      <c r="J30" s="535"/>
      <c r="K30" s="534"/>
      <c r="L30" s="535"/>
      <c r="M30" s="534"/>
      <c r="N30" s="535"/>
      <c r="O30" s="542">
        <f t="shared" si="0"/>
        <v>0</v>
      </c>
      <c r="Q30" s="7"/>
    </row>
    <row r="31" spans="2:30">
      <c r="B31" s="888"/>
      <c r="C31" s="902" t="s">
        <v>588</v>
      </c>
      <c r="D31" s="903"/>
      <c r="E31" s="904"/>
      <c r="F31" s="72"/>
      <c r="G31" s="534"/>
      <c r="H31" s="535"/>
      <c r="I31" s="122">
        <f>식사!E25</f>
        <v>22</v>
      </c>
      <c r="J31" s="115">
        <f>$C$4+$E$4</f>
        <v>5</v>
      </c>
      <c r="K31" s="534"/>
      <c r="L31" s="535"/>
      <c r="M31" s="534"/>
      <c r="N31" s="535"/>
      <c r="O31" s="542">
        <f t="shared" si="0"/>
        <v>110</v>
      </c>
      <c r="Q31" s="7"/>
    </row>
    <row r="32" spans="2:30">
      <c r="B32" s="888"/>
      <c r="C32" s="907" t="s">
        <v>1091</v>
      </c>
      <c r="D32" s="908"/>
      <c r="E32" s="909"/>
      <c r="F32" s="72"/>
      <c r="G32" s="534"/>
      <c r="H32" s="535"/>
      <c r="I32" s="534"/>
      <c r="J32" s="535"/>
      <c r="K32" s="534"/>
      <c r="L32" s="535"/>
      <c r="M32" s="534"/>
      <c r="N32" s="535"/>
      <c r="O32" s="542">
        <f t="shared" si="0"/>
        <v>0</v>
      </c>
      <c r="Q32" s="7"/>
    </row>
    <row r="33" spans="2:21">
      <c r="B33" s="888"/>
      <c r="C33" s="902" t="s">
        <v>1099</v>
      </c>
      <c r="D33" s="903"/>
      <c r="E33" s="904"/>
      <c r="F33" s="72"/>
      <c r="G33" s="534"/>
      <c r="H33" s="535"/>
      <c r="I33" s="122">
        <f>식사!E22</f>
        <v>22</v>
      </c>
      <c r="J33" s="115">
        <f>$C$4+$E$4</f>
        <v>5</v>
      </c>
      <c r="K33" s="534"/>
      <c r="L33" s="535"/>
      <c r="M33" s="534"/>
      <c r="N33" s="535"/>
      <c r="O33" s="542">
        <f t="shared" si="0"/>
        <v>110</v>
      </c>
      <c r="Q33" s="7"/>
    </row>
    <row r="34" spans="2:21" ht="18" thickBot="1">
      <c r="B34" s="866"/>
      <c r="C34" s="893" t="s">
        <v>247</v>
      </c>
      <c r="D34" s="894"/>
      <c r="E34" s="895"/>
      <c r="F34" s="72"/>
      <c r="G34" s="536"/>
      <c r="H34" s="537"/>
      <c r="I34" s="536"/>
      <c r="J34" s="537"/>
      <c r="K34" s="536"/>
      <c r="L34" s="537"/>
      <c r="M34" s="536"/>
      <c r="N34" s="537"/>
      <c r="O34" s="543">
        <f t="shared" si="0"/>
        <v>0</v>
      </c>
      <c r="Q34" s="7"/>
    </row>
    <row r="35" spans="2:21">
      <c r="B35" s="864" t="str">
        <f>TEXT(C5+4,"m월 d일 aaaa")</f>
        <v>3월 20일 목요일</v>
      </c>
      <c r="C35" s="896" t="s">
        <v>330</v>
      </c>
      <c r="D35" s="897"/>
      <c r="E35" s="898"/>
      <c r="F35" s="72"/>
      <c r="G35" s="340"/>
      <c r="H35" s="343"/>
      <c r="I35" s="342"/>
      <c r="J35" s="343"/>
      <c r="K35" s="344">
        <f>IF(C4+E4&lt;8,'가이드&amp;차량'!C43,IF(C4+E4&lt;=14,'가이드&amp;차량'!C35,'가이드&amp;차량'!C19))+300</f>
        <v>420</v>
      </c>
      <c r="L35" s="345">
        <f>L10</f>
        <v>1</v>
      </c>
      <c r="M35" s="344">
        <f>'가이드&amp;차량'!C3+200</f>
        <v>350</v>
      </c>
      <c r="N35" s="345">
        <f>N10</f>
        <v>1</v>
      </c>
      <c r="O35" s="466">
        <f t="shared" si="0"/>
        <v>770</v>
      </c>
      <c r="Q35" s="159"/>
    </row>
    <row r="36" spans="2:21">
      <c r="B36" s="888"/>
      <c r="C36" s="882" t="s">
        <v>1092</v>
      </c>
      <c r="D36" s="883"/>
      <c r="E36" s="884"/>
      <c r="F36" s="72"/>
      <c r="G36" s="166"/>
      <c r="H36" s="115"/>
      <c r="I36" s="123"/>
      <c r="J36" s="110"/>
      <c r="K36" s="123"/>
      <c r="L36" s="91"/>
      <c r="M36" s="123"/>
      <c r="N36" s="91"/>
      <c r="O36" s="144">
        <f t="shared" si="0"/>
        <v>0</v>
      </c>
    </row>
    <row r="37" spans="2:21">
      <c r="B37" s="888"/>
      <c r="C37" s="876" t="s">
        <v>697</v>
      </c>
      <c r="D37" s="877"/>
      <c r="E37" s="878"/>
      <c r="F37" s="72"/>
      <c r="G37" s="99"/>
      <c r="H37" s="110"/>
      <c r="I37" s="122">
        <v>12</v>
      </c>
      <c r="J37" s="115">
        <f>$C$4+$E$4</f>
        <v>5</v>
      </c>
      <c r="K37" s="120"/>
      <c r="L37" s="91"/>
      <c r="M37" s="120"/>
      <c r="N37" s="91"/>
      <c r="O37" s="144">
        <f t="shared" si="0"/>
        <v>60</v>
      </c>
    </row>
    <row r="38" spans="2:21">
      <c r="B38" s="888"/>
      <c r="C38" s="899" t="s">
        <v>1093</v>
      </c>
      <c r="D38" s="900"/>
      <c r="E38" s="901"/>
      <c r="F38" s="72"/>
      <c r="G38" s="103">
        <v>3</v>
      </c>
      <c r="H38" s="115">
        <f>$C$4+$E$4</f>
        <v>5</v>
      </c>
      <c r="I38" s="123"/>
      <c r="J38" s="110"/>
      <c r="K38" s="123"/>
      <c r="L38" s="91"/>
      <c r="M38" s="123"/>
      <c r="N38" s="91"/>
      <c r="O38" s="144">
        <f t="shared" si="0"/>
        <v>15</v>
      </c>
    </row>
    <row r="39" spans="2:21">
      <c r="B39" s="888"/>
      <c r="C39" s="907" t="s">
        <v>1094</v>
      </c>
      <c r="D39" s="908"/>
      <c r="E39" s="909"/>
      <c r="F39" s="72"/>
      <c r="G39" s="206"/>
      <c r="H39" s="164"/>
      <c r="I39" s="123"/>
      <c r="J39" s="110"/>
      <c r="K39" s="161"/>
      <c r="L39" s="138"/>
      <c r="M39" s="161"/>
      <c r="N39" s="138"/>
      <c r="O39" s="148">
        <f t="shared" si="0"/>
        <v>0</v>
      </c>
    </row>
    <row r="40" spans="2:21">
      <c r="B40" s="888"/>
      <c r="C40" s="902" t="s">
        <v>1095</v>
      </c>
      <c r="D40" s="903"/>
      <c r="E40" s="904"/>
      <c r="F40" s="72"/>
      <c r="G40" s="104"/>
      <c r="H40" s="116"/>
      <c r="I40" s="122">
        <v>12</v>
      </c>
      <c r="J40" s="115">
        <f>$C$4+$E$4</f>
        <v>5</v>
      </c>
      <c r="K40" s="130"/>
      <c r="L40" s="138"/>
      <c r="M40" s="130"/>
      <c r="N40" s="138"/>
      <c r="O40" s="148">
        <f t="shared" si="0"/>
        <v>60</v>
      </c>
    </row>
    <row r="41" spans="2:21" ht="18" thickBot="1">
      <c r="B41" s="866"/>
      <c r="C41" s="870" t="s">
        <v>962</v>
      </c>
      <c r="D41" s="871"/>
      <c r="E41" s="500">
        <f>상품리스트!I40</f>
        <v>0.98958333333333337</v>
      </c>
      <c r="F41" s="34"/>
      <c r="G41" s="105"/>
      <c r="H41" s="117"/>
      <c r="I41" s="124"/>
      <c r="J41" s="126"/>
      <c r="K41" s="131"/>
      <c r="L41" s="139"/>
      <c r="M41" s="131"/>
      <c r="N41" s="139"/>
      <c r="O41" s="149">
        <f t="shared" si="0"/>
        <v>0</v>
      </c>
      <c r="P41" s="34"/>
      <c r="Q41" s="34"/>
      <c r="R41" s="34"/>
      <c r="S41" s="34"/>
      <c r="T41" s="34"/>
      <c r="U41" s="34"/>
    </row>
    <row r="42" spans="2:21">
      <c r="B42" s="72"/>
      <c r="C42" s="72"/>
      <c r="D42" s="72"/>
      <c r="E42" s="72"/>
      <c r="F42" s="72"/>
      <c r="G42" s="72"/>
      <c r="H42" s="72"/>
      <c r="K42" s="132">
        <f>SUM(K10:K41)</f>
        <v>1830</v>
      </c>
      <c r="L42" s="72"/>
      <c r="M42" s="132">
        <f>SUM(M10:M41)</f>
        <v>1450</v>
      </c>
      <c r="N42" s="72"/>
      <c r="O42" s="150"/>
      <c r="P42" s="156"/>
    </row>
    <row r="43" spans="2:21" ht="18" thickBot="1">
      <c r="O43" s="150"/>
    </row>
    <row r="44" spans="2:21">
      <c r="B44" s="864" t="s">
        <v>246</v>
      </c>
      <c r="C44" s="1149" t="s">
        <v>288</v>
      </c>
      <c r="D44" s="1150"/>
      <c r="E44" s="1151"/>
      <c r="F44" s="34"/>
      <c r="G44" s="1165">
        <f>$C$4+$E$4</f>
        <v>5</v>
      </c>
      <c r="H44" s="1166"/>
      <c r="I44" s="1166"/>
      <c r="J44" s="1167"/>
      <c r="K44" s="806">
        <v>3</v>
      </c>
      <c r="L44" s="1152"/>
      <c r="M44" s="1152"/>
      <c r="N44" s="1002"/>
      <c r="O44" s="546">
        <f>G44*K44</f>
        <v>15</v>
      </c>
    </row>
    <row r="45" spans="2:21">
      <c r="B45" s="865"/>
      <c r="C45" s="1162" t="s">
        <v>1097</v>
      </c>
      <c r="D45" s="1163"/>
      <c r="E45" s="1164"/>
      <c r="F45" s="34"/>
      <c r="G45" s="1168">
        <f>$C$4+$E$4</f>
        <v>5</v>
      </c>
      <c r="H45" s="1169"/>
      <c r="I45" s="1169"/>
      <c r="J45" s="1170"/>
      <c r="K45" s="1156">
        <v>60</v>
      </c>
      <c r="L45" s="1157"/>
      <c r="M45" s="1157"/>
      <c r="N45" s="1158"/>
      <c r="O45" s="548">
        <f>G45*K45</f>
        <v>300</v>
      </c>
    </row>
    <row r="46" spans="2:21">
      <c r="B46" s="865"/>
      <c r="C46" s="1162" t="s">
        <v>1096</v>
      </c>
      <c r="D46" s="1163"/>
      <c r="E46" s="1164"/>
      <c r="F46" s="34"/>
      <c r="G46" s="1168">
        <f>$C$4+$E$4</f>
        <v>5</v>
      </c>
      <c r="H46" s="1169"/>
      <c r="I46" s="1169"/>
      <c r="J46" s="1170"/>
      <c r="K46" s="1159">
        <v>45</v>
      </c>
      <c r="L46" s="1160"/>
      <c r="M46" s="1158">
        <v>2</v>
      </c>
      <c r="N46" s="1161"/>
      <c r="O46" s="548">
        <f>G46*M46*K46</f>
        <v>450</v>
      </c>
    </row>
    <row r="47" spans="2:21" ht="18" thickBot="1">
      <c r="B47" s="821"/>
      <c r="C47" s="1153" t="s">
        <v>451</v>
      </c>
      <c r="D47" s="857"/>
      <c r="E47" s="858"/>
      <c r="F47" s="34"/>
      <c r="G47" s="859">
        <v>50</v>
      </c>
      <c r="H47" s="860"/>
      <c r="I47" s="860"/>
      <c r="J47" s="1154"/>
      <c r="K47" s="1155">
        <f>C4</f>
        <v>5</v>
      </c>
      <c r="L47" s="861"/>
      <c r="M47" s="861"/>
      <c r="N47" s="1010"/>
      <c r="O47" s="547">
        <f>G47*K47</f>
        <v>250</v>
      </c>
    </row>
    <row r="48" spans="2:21" ht="18" thickBot="1">
      <c r="O48" s="150"/>
    </row>
    <row r="49" spans="2:15" ht="16.5" customHeight="1">
      <c r="B49" s="961" t="s">
        <v>337</v>
      </c>
      <c r="C49" s="1021" t="s">
        <v>251</v>
      </c>
      <c r="D49" s="1022"/>
      <c r="E49" s="1023"/>
      <c r="F49" s="165"/>
      <c r="G49" s="967"/>
      <c r="H49" s="1024"/>
      <c r="I49" s="969">
        <f>일정!G24</f>
        <v>30</v>
      </c>
      <c r="J49" s="970"/>
      <c r="K49" s="1044">
        <f>C4</f>
        <v>5</v>
      </c>
      <c r="L49" s="1044"/>
      <c r="M49" s="1044"/>
      <c r="N49" s="1045"/>
      <c r="O49" s="153">
        <f>G49*I49*K49</f>
        <v>0</v>
      </c>
    </row>
    <row r="50" spans="2:15">
      <c r="B50" s="1019"/>
      <c r="C50" s="1094" t="s">
        <v>250</v>
      </c>
      <c r="D50" s="1095"/>
      <c r="E50" s="1096"/>
      <c r="F50" s="165"/>
      <c r="G50" s="977"/>
      <c r="H50" s="1028"/>
      <c r="I50" s="979">
        <f>일정!G30</f>
        <v>28</v>
      </c>
      <c r="J50" s="980"/>
      <c r="K50" s="1046">
        <f>C4</f>
        <v>5</v>
      </c>
      <c r="L50" s="1047"/>
      <c r="M50" s="1047"/>
      <c r="N50" s="1048"/>
      <c r="O50" s="154">
        <f>G50*I50*K50</f>
        <v>0</v>
      </c>
    </row>
    <row r="51" spans="2:15">
      <c r="B51" s="1019"/>
      <c r="C51" s="1094" t="s">
        <v>249</v>
      </c>
      <c r="D51" s="1095"/>
      <c r="E51" s="1096"/>
      <c r="F51" s="165"/>
      <c r="G51" s="977"/>
      <c r="H51" s="1028"/>
      <c r="I51" s="979">
        <f>일정!G35</f>
        <v>36</v>
      </c>
      <c r="J51" s="980"/>
      <c r="K51" s="1046">
        <f>C4</f>
        <v>5</v>
      </c>
      <c r="L51" s="1047"/>
      <c r="M51" s="1047"/>
      <c r="N51" s="1048"/>
      <c r="O51" s="154">
        <f>G51*I51*K51</f>
        <v>0</v>
      </c>
    </row>
    <row r="52" spans="2:15">
      <c r="B52" s="1019"/>
      <c r="C52" s="1025" t="s">
        <v>336</v>
      </c>
      <c r="D52" s="1026"/>
      <c r="E52" s="1027"/>
      <c r="F52" s="165"/>
      <c r="G52" s="977"/>
      <c r="H52" s="1028"/>
      <c r="I52" s="979">
        <f>일정!G13</f>
        <v>19</v>
      </c>
      <c r="J52" s="980"/>
      <c r="K52" s="1046">
        <f>C4</f>
        <v>5</v>
      </c>
      <c r="L52" s="1047"/>
      <c r="M52" s="1047"/>
      <c r="N52" s="1048"/>
      <c r="O52" s="154">
        <f>G52*I52*K52</f>
        <v>0</v>
      </c>
    </row>
    <row r="53" spans="2:15" ht="18" thickBot="1">
      <c r="B53" s="1020"/>
      <c r="C53" s="1030" t="s">
        <v>252</v>
      </c>
      <c r="D53" s="1031"/>
      <c r="E53" s="1032"/>
      <c r="F53" s="165"/>
      <c r="G53" s="989"/>
      <c r="H53" s="1033"/>
      <c r="I53" s="991">
        <f>일정!G29</f>
        <v>40</v>
      </c>
      <c r="J53" s="992"/>
      <c r="K53" s="1049">
        <f>C4</f>
        <v>5</v>
      </c>
      <c r="L53" s="1050"/>
      <c r="M53" s="1050"/>
      <c r="N53" s="1051"/>
      <c r="O53" s="215">
        <f>G53*I53*K53</f>
        <v>0</v>
      </c>
    </row>
  </sheetData>
  <mergeCells count="92">
    <mergeCell ref="I52:J52"/>
    <mergeCell ref="I53:J53"/>
    <mergeCell ref="B13:B19"/>
    <mergeCell ref="C13:E13"/>
    <mergeCell ref="C14:E14"/>
    <mergeCell ref="C15:E15"/>
    <mergeCell ref="C16:E16"/>
    <mergeCell ref="C17:E17"/>
    <mergeCell ref="C19:E19"/>
    <mergeCell ref="C18:E18"/>
    <mergeCell ref="G44:J44"/>
    <mergeCell ref="G45:J45"/>
    <mergeCell ref="G46:J46"/>
    <mergeCell ref="C27:E27"/>
    <mergeCell ref="C46:E46"/>
    <mergeCell ref="C51:E51"/>
    <mergeCell ref="C53:E53"/>
    <mergeCell ref="G53:H53"/>
    <mergeCell ref="C52:E52"/>
    <mergeCell ref="G52:H52"/>
    <mergeCell ref="C49:E49"/>
    <mergeCell ref="G49:H49"/>
    <mergeCell ref="I49:J49"/>
    <mergeCell ref="K49:N49"/>
    <mergeCell ref="C50:E50"/>
    <mergeCell ref="G50:H50"/>
    <mergeCell ref="I50:J50"/>
    <mergeCell ref="K50:N50"/>
    <mergeCell ref="K53:N53"/>
    <mergeCell ref="K51:N51"/>
    <mergeCell ref="B44:B47"/>
    <mergeCell ref="C44:E44"/>
    <mergeCell ref="K44:N44"/>
    <mergeCell ref="C47:E47"/>
    <mergeCell ref="G47:J47"/>
    <mergeCell ref="K47:N47"/>
    <mergeCell ref="K45:N45"/>
    <mergeCell ref="K46:L46"/>
    <mergeCell ref="M46:N46"/>
    <mergeCell ref="C45:E45"/>
    <mergeCell ref="G51:H51"/>
    <mergeCell ref="I51:J51"/>
    <mergeCell ref="K52:N52"/>
    <mergeCell ref="B49:B53"/>
    <mergeCell ref="B35:B41"/>
    <mergeCell ref="C35:E35"/>
    <mergeCell ref="C36:E36"/>
    <mergeCell ref="C37:E37"/>
    <mergeCell ref="C38:E38"/>
    <mergeCell ref="C39:E39"/>
    <mergeCell ref="C40:E40"/>
    <mergeCell ref="C41:D41"/>
    <mergeCell ref="C26:E26"/>
    <mergeCell ref="C28:E28"/>
    <mergeCell ref="B29:B34"/>
    <mergeCell ref="C29:E29"/>
    <mergeCell ref="C30:E30"/>
    <mergeCell ref="C31:E31"/>
    <mergeCell ref="C32:E32"/>
    <mergeCell ref="C33:E33"/>
    <mergeCell ref="C34:E34"/>
    <mergeCell ref="B20:B28"/>
    <mergeCell ref="C20:E20"/>
    <mergeCell ref="C21:E21"/>
    <mergeCell ref="C23:E23"/>
    <mergeCell ref="C24:E24"/>
    <mergeCell ref="C25:E25"/>
    <mergeCell ref="C22:E22"/>
    <mergeCell ref="H7:K7"/>
    <mergeCell ref="M8:N8"/>
    <mergeCell ref="O8:O9"/>
    <mergeCell ref="B10:B12"/>
    <mergeCell ref="C11:E11"/>
    <mergeCell ref="C12:E12"/>
    <mergeCell ref="G8:H8"/>
    <mergeCell ref="I8:J8"/>
    <mergeCell ref="K8:L8"/>
    <mergeCell ref="C10:D10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4CC22A36-77C7-43E7-A41B-02DFA738AABD}"/>
  </hyperlink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2377C-90AE-422C-820A-D89D5398FF92}">
  <dimension ref="A1:AD45"/>
  <sheetViews>
    <sheetView workbookViewId="0">
      <selection activeCell="G32" sqref="G32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  <col min="27" max="27" width="2.1640625" customWidth="1"/>
    <col min="28" max="28" width="19.1640625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2.5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1051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Aloft Novena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180</v>
      </c>
      <c r="M2" s="140">
        <f>$I$1+$K$1</f>
        <v>2.5</v>
      </c>
      <c r="N2" s="106">
        <f>L2*M2</f>
        <v>450</v>
      </c>
      <c r="O2" s="929">
        <f>SUM(N2:N6)</f>
        <v>1350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918</v>
      </c>
      <c r="AC2" s="10">
        <v>180</v>
      </c>
      <c r="AD2" s="10">
        <v>180</v>
      </c>
    </row>
    <row r="3" spans="1:30" ht="28">
      <c r="B3" s="74" t="s">
        <v>239</v>
      </c>
      <c r="C3" s="938" t="s">
        <v>1062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Aloft Novena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180</v>
      </c>
      <c r="M3" s="140">
        <f>$I$1+$K$1</f>
        <v>2.5</v>
      </c>
      <c r="N3" s="106">
        <f>L3*M3</f>
        <v>450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5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927" t="str">
        <f>J2</f>
        <v>Aloft Novena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180</v>
      </c>
      <c r="M4" s="141">
        <f>$I$1+$K$1</f>
        <v>2.5</v>
      </c>
      <c r="N4" s="106">
        <f>L4*M4</f>
        <v>450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/>
      <c r="I5" s="926"/>
      <c r="J5" s="939"/>
      <c r="K5" s="940"/>
      <c r="L5" s="135"/>
      <c r="M5" s="140"/>
      <c r="N5" s="106"/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(SUM(O10:O45)+O2)/C4+R6+T6</f>
        <v>1312.1</v>
      </c>
      <c r="D6" s="86" t="s">
        <v>254</v>
      </c>
      <c r="E6" s="94">
        <f>C6*$E$1</f>
        <v>1443310</v>
      </c>
      <c r="F6" s="72"/>
      <c r="G6" s="922"/>
      <c r="H6" s="925"/>
      <c r="I6" s="926"/>
      <c r="J6" s="935"/>
      <c r="K6" s="935"/>
      <c r="L6" s="136"/>
      <c r="M6" s="89"/>
      <c r="N6" s="107"/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0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67" t="s">
        <v>947</v>
      </c>
      <c r="D10" s="916"/>
      <c r="E10" s="499">
        <f>상품리스트!F41</f>
        <v>0.97569444444444442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120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270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6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430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805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865"/>
      <c r="C14" s="882" t="s">
        <v>813</v>
      </c>
      <c r="D14" s="883"/>
      <c r="E14" s="884"/>
      <c r="F14" s="72"/>
      <c r="G14" s="101">
        <f>일정!E10+일정!E19+일정!E20</f>
        <v>76.3</v>
      </c>
      <c r="H14" s="115">
        <f>$C$4+$E$4</f>
        <v>5</v>
      </c>
      <c r="I14" s="123"/>
      <c r="J14" s="110"/>
      <c r="K14" s="123"/>
      <c r="L14" s="91"/>
      <c r="M14" s="123"/>
      <c r="N14" s="91"/>
      <c r="O14" s="144">
        <f>(G14*H14)+(I14*J14)+(K14*L14)+(M14*N14)</f>
        <v>381.5</v>
      </c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</row>
    <row r="15" spans="1:30">
      <c r="B15" s="865"/>
      <c r="C15" s="907" t="s">
        <v>322</v>
      </c>
      <c r="D15" s="900"/>
      <c r="E15" s="901"/>
      <c r="F15" s="72"/>
      <c r="G15" s="102"/>
      <c r="H15" s="115"/>
      <c r="I15" s="120"/>
      <c r="J15" s="110"/>
      <c r="K15" s="123"/>
      <c r="L15" s="91"/>
      <c r="M15" s="123"/>
      <c r="N15" s="91"/>
      <c r="O15" s="144">
        <f t="shared" si="0"/>
        <v>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932</v>
      </c>
      <c r="AC15" s="10">
        <v>170</v>
      </c>
      <c r="AD15" s="10">
        <v>170</v>
      </c>
    </row>
    <row r="16" spans="1:30">
      <c r="B16" s="865"/>
      <c r="C16" s="876" t="s">
        <v>632</v>
      </c>
      <c r="D16" s="877"/>
      <c r="E16" s="878"/>
      <c r="F16" s="72"/>
      <c r="G16" s="99"/>
      <c r="H16" s="110"/>
      <c r="I16" s="122">
        <f>IF(C4+E4&lt;10,식사!E27,식사!E28)</f>
        <v>45</v>
      </c>
      <c r="J16" s="115">
        <f>$C$4+$E$4</f>
        <v>5</v>
      </c>
      <c r="K16" s="120"/>
      <c r="L16" s="91"/>
      <c r="M16" s="120"/>
      <c r="N16" s="91"/>
      <c r="O16" s="144">
        <f t="shared" si="0"/>
        <v>225</v>
      </c>
      <c r="Q16" s="7"/>
      <c r="AB16" s="496" t="s">
        <v>922</v>
      </c>
      <c r="AC16" s="10">
        <v>185</v>
      </c>
      <c r="AD16" s="10">
        <v>185</v>
      </c>
    </row>
    <row r="17" spans="2:30">
      <c r="B17" s="865"/>
      <c r="C17" s="890" t="s">
        <v>1052</v>
      </c>
      <c r="D17" s="891"/>
      <c r="E17" s="892"/>
      <c r="F17" s="72"/>
      <c r="G17" s="102"/>
      <c r="H17" s="115"/>
      <c r="I17" s="123"/>
      <c r="J17" s="110"/>
      <c r="K17" s="123"/>
      <c r="L17" s="91"/>
      <c r="M17" s="123"/>
      <c r="N17" s="91"/>
      <c r="O17" s="144">
        <f>(G17*H17)+(I17*J17)+(K17*L17)+(M17*N17)</f>
        <v>0</v>
      </c>
      <c r="Q17" s="7"/>
      <c r="AB17" s="496" t="s">
        <v>931</v>
      </c>
      <c r="AC17" s="10">
        <v>155</v>
      </c>
      <c r="AD17" s="10">
        <v>155</v>
      </c>
    </row>
    <row r="18" spans="2:30">
      <c r="B18" s="865"/>
      <c r="C18" s="876" t="s">
        <v>784</v>
      </c>
      <c r="D18" s="877"/>
      <c r="E18" s="878"/>
      <c r="F18" s="72"/>
      <c r="G18" s="123"/>
      <c r="H18" s="110"/>
      <c r="I18" s="122">
        <f>식사!E7</f>
        <v>18</v>
      </c>
      <c r="J18" s="115">
        <f>$C$4+$E$4</f>
        <v>5</v>
      </c>
      <c r="K18" s="120"/>
      <c r="L18" s="91"/>
      <c r="M18" s="120"/>
      <c r="N18" s="91"/>
      <c r="O18" s="144">
        <f t="shared" si="0"/>
        <v>90</v>
      </c>
      <c r="Q18" s="7"/>
      <c r="AB18" s="497" t="s">
        <v>442</v>
      </c>
      <c r="AC18" s="10">
        <v>366</v>
      </c>
      <c r="AD18" s="10">
        <v>366</v>
      </c>
    </row>
    <row r="19" spans="2:30">
      <c r="B19" s="865"/>
      <c r="C19" s="941" t="s">
        <v>325</v>
      </c>
      <c r="D19" s="911"/>
      <c r="E19" s="912"/>
      <c r="F19" s="72"/>
      <c r="G19" s="205"/>
      <c r="H19" s="115"/>
      <c r="I19" s="102"/>
      <c r="J19" s="115"/>
      <c r="K19" s="120"/>
      <c r="L19" s="91"/>
      <c r="M19" s="120"/>
      <c r="N19" s="91"/>
      <c r="O19" s="144">
        <f t="shared" si="0"/>
        <v>0</v>
      </c>
      <c r="Q19" s="7"/>
    </row>
    <row r="20" spans="2:30" ht="18" thickBot="1">
      <c r="B20" s="906"/>
      <c r="C20" s="893" t="s">
        <v>1005</v>
      </c>
      <c r="D20" s="894"/>
      <c r="E20" s="895"/>
      <c r="F20" s="72"/>
      <c r="G20" s="102"/>
      <c r="H20" s="115"/>
      <c r="I20" s="123"/>
      <c r="J20" s="110"/>
      <c r="K20" s="123"/>
      <c r="L20" s="91"/>
      <c r="M20" s="123"/>
      <c r="N20" s="91"/>
      <c r="O20" s="144">
        <f t="shared" si="0"/>
        <v>0</v>
      </c>
      <c r="Q20" s="7"/>
    </row>
    <row r="21" spans="2:30">
      <c r="B21" s="864" t="str">
        <f>TEXT(C5+2,"m월 d일 aaaa")</f>
        <v>3월 18일 화요일</v>
      </c>
      <c r="C21" s="896" t="s">
        <v>240</v>
      </c>
      <c r="D21" s="897"/>
      <c r="E21" s="898"/>
      <c r="F21" s="72"/>
      <c r="G21" s="353"/>
      <c r="H21" s="109"/>
      <c r="I21" s="119"/>
      <c r="J21" s="109"/>
      <c r="K21" s="128">
        <f>IF(C4+E4&lt;8,'가이드&amp;차량'!C47, IF(C4+E4&lt;=14,'가이드&amp;차량'!C39,'가이드&amp;차량'!C23))</f>
        <v>430</v>
      </c>
      <c r="L21" s="90">
        <f>L10</f>
        <v>1</v>
      </c>
      <c r="M21" s="128">
        <f>'가이드&amp;차량'!C6</f>
        <v>375</v>
      </c>
      <c r="N21" s="90">
        <f>N10</f>
        <v>1</v>
      </c>
      <c r="O21" s="143">
        <f t="shared" si="0"/>
        <v>805</v>
      </c>
      <c r="Q21" s="159" t="s">
        <v>277</v>
      </c>
    </row>
    <row r="22" spans="2:30">
      <c r="B22" s="888"/>
      <c r="C22" s="899" t="s">
        <v>329</v>
      </c>
      <c r="D22" s="883"/>
      <c r="E22" s="884"/>
      <c r="F22" s="72"/>
      <c r="G22" s="101">
        <f>일정!E40</f>
        <v>24.5</v>
      </c>
      <c r="H22" s="115">
        <f>$C$4+$E$4</f>
        <v>5</v>
      </c>
      <c r="I22" s="123"/>
      <c r="J22" s="110"/>
      <c r="K22" s="123"/>
      <c r="L22" s="91"/>
      <c r="M22" s="123"/>
      <c r="N22" s="91"/>
      <c r="O22" s="144">
        <f t="shared" si="0"/>
        <v>122.5</v>
      </c>
      <c r="Q22" s="7"/>
    </row>
    <row r="23" spans="2:30">
      <c r="B23" s="888"/>
      <c r="C23" s="902" t="s">
        <v>326</v>
      </c>
      <c r="D23" s="903"/>
      <c r="E23" s="904"/>
      <c r="F23" s="72"/>
      <c r="G23" s="123"/>
      <c r="H23" s="110"/>
      <c r="I23" s="122">
        <f>식사!E36</f>
        <v>20</v>
      </c>
      <c r="J23" s="115">
        <f>$C$4+$E$4</f>
        <v>5</v>
      </c>
      <c r="K23" s="123"/>
      <c r="L23" s="91"/>
      <c r="M23" s="102"/>
      <c r="N23" s="91"/>
      <c r="O23" s="146">
        <f t="shared" si="0"/>
        <v>100</v>
      </c>
      <c r="Q23" s="7"/>
    </row>
    <row r="24" spans="2:30">
      <c r="B24" s="888"/>
      <c r="C24" s="1016" t="s">
        <v>1054</v>
      </c>
      <c r="D24" s="1017"/>
      <c r="E24" s="1018"/>
      <c r="F24" s="72"/>
      <c r="G24" s="102"/>
      <c r="H24" s="115"/>
      <c r="I24" s="102"/>
      <c r="J24" s="115"/>
      <c r="K24" s="123"/>
      <c r="L24" s="91"/>
      <c r="M24" s="102"/>
      <c r="N24" s="91"/>
      <c r="O24" s="146">
        <f t="shared" si="0"/>
        <v>0</v>
      </c>
      <c r="Q24" s="7"/>
    </row>
    <row r="25" spans="2:30">
      <c r="B25" s="888"/>
      <c r="C25" s="899" t="s">
        <v>1055</v>
      </c>
      <c r="D25" s="900"/>
      <c r="E25" s="901"/>
      <c r="F25" s="72"/>
      <c r="G25" s="101">
        <f>I42+5</f>
        <v>35</v>
      </c>
      <c r="H25" s="115">
        <f>$C$4+$E$4</f>
        <v>5</v>
      </c>
      <c r="I25" s="102"/>
      <c r="J25" s="115"/>
      <c r="K25" s="123"/>
      <c r="L25" s="91"/>
      <c r="M25" s="102"/>
      <c r="N25" s="91"/>
      <c r="O25" s="146">
        <f t="shared" si="0"/>
        <v>175</v>
      </c>
      <c r="Q25" s="7"/>
    </row>
    <row r="26" spans="2:30">
      <c r="B26" s="888"/>
      <c r="C26" s="902" t="s">
        <v>1056</v>
      </c>
      <c r="D26" s="903"/>
      <c r="E26" s="904"/>
      <c r="F26" s="72"/>
      <c r="G26" s="123"/>
      <c r="H26" s="110"/>
      <c r="I26" s="122">
        <f>식사!E16</f>
        <v>30</v>
      </c>
      <c r="J26" s="115">
        <f>$C$4+$E$4</f>
        <v>5</v>
      </c>
      <c r="K26" s="123"/>
      <c r="L26" s="91"/>
      <c r="M26" s="123"/>
      <c r="N26" s="91"/>
      <c r="O26" s="146">
        <f t="shared" si="0"/>
        <v>150</v>
      </c>
      <c r="Q26" s="7"/>
    </row>
    <row r="27" spans="2:30">
      <c r="B27" s="889"/>
      <c r="C27" s="899" t="s">
        <v>1057</v>
      </c>
      <c r="D27" s="900"/>
      <c r="E27" s="901"/>
      <c r="F27" s="72"/>
      <c r="G27" s="101">
        <f>I44+I45</f>
        <v>55</v>
      </c>
      <c r="H27" s="115">
        <f>$C$4+$E$4</f>
        <v>5</v>
      </c>
      <c r="I27" s="123"/>
      <c r="J27" s="91"/>
      <c r="K27" s="161"/>
      <c r="L27" s="138"/>
      <c r="M27" s="161"/>
      <c r="N27" s="138"/>
      <c r="O27" s="146">
        <f t="shared" si="0"/>
        <v>275</v>
      </c>
      <c r="Q27" s="7"/>
    </row>
    <row r="28" spans="2:30" ht="18" thickBot="1">
      <c r="B28" s="866"/>
      <c r="C28" s="917" t="s">
        <v>248</v>
      </c>
      <c r="D28" s="918"/>
      <c r="E28" s="919"/>
      <c r="F28" s="72"/>
      <c r="G28" s="129"/>
      <c r="H28" s="111"/>
      <c r="I28" s="124"/>
      <c r="J28" s="126"/>
      <c r="K28" s="129"/>
      <c r="L28" s="137"/>
      <c r="M28" s="124"/>
      <c r="N28" s="137"/>
      <c r="O28" s="147">
        <f t="shared" si="0"/>
        <v>0</v>
      </c>
      <c r="Q28" s="7"/>
    </row>
    <row r="29" spans="2:30">
      <c r="B29" s="864" t="str">
        <f>TEXT(C5+3,"m월 d일 aaaa")</f>
        <v>3월 19일 수요일</v>
      </c>
      <c r="C29" s="896" t="s">
        <v>330</v>
      </c>
      <c r="D29" s="897"/>
      <c r="E29" s="898"/>
      <c r="F29" s="72"/>
      <c r="G29" s="353"/>
      <c r="H29" s="109"/>
      <c r="I29" s="119"/>
      <c r="J29" s="109"/>
      <c r="K29" s="128">
        <f>IF(C4+E4&lt;8,'가이드&amp;차량'!C47, IF(C4+E4&lt;=14,'가이드&amp;차량'!C39,'가이드&amp;차량'!C23))</f>
        <v>430</v>
      </c>
      <c r="L29" s="90">
        <f>L10</f>
        <v>1</v>
      </c>
      <c r="M29" s="128">
        <f>'가이드&amp;차량'!C6+'가이드&amp;차량'!C3</f>
        <v>525</v>
      </c>
      <c r="N29" s="90">
        <f>N10</f>
        <v>1</v>
      </c>
      <c r="O29" s="143">
        <f t="shared" si="0"/>
        <v>955</v>
      </c>
      <c r="Q29" s="159" t="s">
        <v>278</v>
      </c>
    </row>
    <row r="30" spans="2:30">
      <c r="B30" s="944"/>
      <c r="C30" s="882" t="s">
        <v>1058</v>
      </c>
      <c r="D30" s="883"/>
      <c r="E30" s="884"/>
      <c r="F30" s="72"/>
      <c r="G30" s="465"/>
      <c r="H30" s="343"/>
      <c r="I30" s="342"/>
      <c r="J30" s="343"/>
      <c r="K30" s="344"/>
      <c r="L30" s="345"/>
      <c r="M30" s="344"/>
      <c r="N30" s="345"/>
      <c r="O30" s="144">
        <f t="shared" si="0"/>
        <v>0</v>
      </c>
      <c r="Q30" s="159"/>
    </row>
    <row r="31" spans="2:30">
      <c r="B31" s="888"/>
      <c r="C31" s="902" t="s">
        <v>1059</v>
      </c>
      <c r="D31" s="903"/>
      <c r="E31" s="904"/>
      <c r="F31" s="72"/>
      <c r="G31" s="123"/>
      <c r="H31" s="110"/>
      <c r="I31" s="122">
        <f>식사!E24</f>
        <v>32</v>
      </c>
      <c r="J31" s="115">
        <f>$C$4+$E$4</f>
        <v>5</v>
      </c>
      <c r="K31" s="120"/>
      <c r="L31" s="91"/>
      <c r="M31" s="120"/>
      <c r="N31" s="91"/>
      <c r="O31" s="144">
        <f t="shared" si="0"/>
        <v>160</v>
      </c>
    </row>
    <row r="32" spans="2:30">
      <c r="B32" s="888"/>
      <c r="C32" s="879" t="str">
        <f>일정!C27</f>
        <v>가든스바이더베이 2돔 ( 쥬랴기 )</v>
      </c>
      <c r="D32" s="891"/>
      <c r="E32" s="892"/>
      <c r="F32" s="72"/>
      <c r="G32" s="101">
        <f>일정!E27</f>
        <v>28.3</v>
      </c>
      <c r="H32" s="115">
        <f>$C$4+$E$4</f>
        <v>5</v>
      </c>
      <c r="I32" s="123"/>
      <c r="J32" s="110"/>
      <c r="K32" s="123"/>
      <c r="L32" s="91"/>
      <c r="M32" s="123"/>
      <c r="N32" s="91"/>
      <c r="O32" s="144">
        <f>(G32*H32)+(I32*J32)+(K32*L32)+(M32*N32)</f>
        <v>141.5</v>
      </c>
      <c r="Q32" s="7"/>
      <c r="AB32" s="497" t="s">
        <v>928</v>
      </c>
      <c r="AC32" s="10">
        <v>280</v>
      </c>
      <c r="AD32" s="10">
        <v>280</v>
      </c>
    </row>
    <row r="33" spans="2:21">
      <c r="B33" s="888"/>
      <c r="C33" s="907" t="s">
        <v>786</v>
      </c>
      <c r="D33" s="908"/>
      <c r="E33" s="909"/>
      <c r="F33" s="72"/>
      <c r="G33" s="206"/>
      <c r="H33" s="164"/>
      <c r="I33" s="123"/>
      <c r="J33" s="110"/>
      <c r="K33" s="161"/>
      <c r="L33" s="138"/>
      <c r="M33" s="161"/>
      <c r="N33" s="138"/>
      <c r="O33" s="148">
        <f t="shared" si="0"/>
        <v>0</v>
      </c>
    </row>
    <row r="34" spans="2:21">
      <c r="B34" s="888"/>
      <c r="C34" s="902" t="s">
        <v>1060</v>
      </c>
      <c r="D34" s="903"/>
      <c r="E34" s="904"/>
      <c r="F34" s="72"/>
      <c r="G34" s="104"/>
      <c r="H34" s="116"/>
      <c r="I34" s="122">
        <f>식사!E20</f>
        <v>20</v>
      </c>
      <c r="J34" s="115">
        <f>$C$4+$E$4</f>
        <v>5</v>
      </c>
      <c r="K34" s="130"/>
      <c r="L34" s="138"/>
      <c r="M34" s="130"/>
      <c r="N34" s="138"/>
      <c r="O34" s="148">
        <f t="shared" si="0"/>
        <v>100</v>
      </c>
    </row>
    <row r="35" spans="2:21">
      <c r="B35" s="889"/>
      <c r="C35" s="907" t="s">
        <v>1061</v>
      </c>
      <c r="D35" s="908"/>
      <c r="E35" s="909"/>
      <c r="F35" s="72"/>
      <c r="G35" s="101">
        <f>I43</f>
        <v>28</v>
      </c>
      <c r="H35" s="115">
        <f>$C$4+$E$4</f>
        <v>5</v>
      </c>
      <c r="I35" s="123"/>
      <c r="J35" s="110"/>
      <c r="K35" s="161"/>
      <c r="L35" s="138"/>
      <c r="M35" s="161"/>
      <c r="N35" s="138"/>
      <c r="O35" s="148">
        <f>(G35*H35)+(I35*J35)+(K35*L35)+(M35*N35)</f>
        <v>140</v>
      </c>
    </row>
    <row r="36" spans="2:21" ht="18" thickBot="1">
      <c r="B36" s="866"/>
      <c r="C36" s="870" t="s">
        <v>596</v>
      </c>
      <c r="D36" s="871"/>
      <c r="E36" s="500">
        <f>상품리스트!I41</f>
        <v>1.7361111111111112E-2</v>
      </c>
      <c r="F36" s="34"/>
      <c r="G36" s="105"/>
      <c r="H36" s="117"/>
      <c r="I36" s="124"/>
      <c r="J36" s="126"/>
      <c r="K36" s="131"/>
      <c r="L36" s="139"/>
      <c r="M36" s="131"/>
      <c r="N36" s="139"/>
      <c r="O36" s="149">
        <f t="shared" si="0"/>
        <v>0</v>
      </c>
      <c r="P36" s="34"/>
      <c r="Q36" s="34"/>
      <c r="R36" s="34"/>
      <c r="S36" s="34"/>
      <c r="T36" s="34"/>
      <c r="U36" s="34"/>
    </row>
    <row r="37" spans="2:21">
      <c r="B37" s="72"/>
      <c r="C37" s="72"/>
      <c r="D37" s="72"/>
      <c r="E37" s="72"/>
      <c r="F37" s="72"/>
      <c r="G37" s="72"/>
      <c r="H37" s="72"/>
      <c r="K37" s="132">
        <f>SUM(K10:K36)</f>
        <v>1410</v>
      </c>
      <c r="L37" s="72"/>
      <c r="M37" s="132">
        <f>SUM(M10:M36)</f>
        <v>1425</v>
      </c>
      <c r="N37" s="72"/>
      <c r="O37" s="150"/>
      <c r="P37" s="156"/>
    </row>
    <row r="38" spans="2:21" ht="18" thickBot="1">
      <c r="O38" s="150"/>
    </row>
    <row r="39" spans="2:21">
      <c r="B39" s="993" t="s">
        <v>246</v>
      </c>
      <c r="C39" s="995" t="s">
        <v>288</v>
      </c>
      <c r="D39" s="996"/>
      <c r="E39" s="997"/>
      <c r="F39" s="34"/>
      <c r="G39" s="998">
        <f>$C$4+$E$4</f>
        <v>5</v>
      </c>
      <c r="H39" s="999"/>
      <c r="I39" s="1000">
        <v>3</v>
      </c>
      <c r="J39" s="1001"/>
      <c r="K39" s="1002">
        <v>1</v>
      </c>
      <c r="L39" s="1003"/>
      <c r="M39" s="1003"/>
      <c r="N39" s="830"/>
      <c r="O39" s="151">
        <f>G39*I39*K39</f>
        <v>15</v>
      </c>
    </row>
    <row r="40" spans="2:21" ht="18" thickBot="1">
      <c r="B40" s="994"/>
      <c r="C40" s="1004" t="s">
        <v>451</v>
      </c>
      <c r="D40" s="1005"/>
      <c r="E40" s="1006"/>
      <c r="F40" s="34"/>
      <c r="G40" s="1007">
        <v>50</v>
      </c>
      <c r="H40" s="1008"/>
      <c r="I40" s="1008"/>
      <c r="J40" s="1009"/>
      <c r="K40" s="1010">
        <f>C4</f>
        <v>5</v>
      </c>
      <c r="L40" s="1011"/>
      <c r="M40" s="1011"/>
      <c r="N40" s="1012"/>
      <c r="O40" s="152">
        <f>G40*K40</f>
        <v>250</v>
      </c>
    </row>
    <row r="41" spans="2:21" ht="18" thickBot="1">
      <c r="O41" s="150"/>
    </row>
    <row r="42" spans="2:21">
      <c r="B42" s="961" t="s">
        <v>337</v>
      </c>
      <c r="C42" s="1021" t="s">
        <v>251</v>
      </c>
      <c r="D42" s="1022"/>
      <c r="E42" s="1023"/>
      <c r="F42" s="511"/>
      <c r="G42" s="967"/>
      <c r="H42" s="1024"/>
      <c r="I42" s="969">
        <f>일정!G24</f>
        <v>30</v>
      </c>
      <c r="J42" s="970"/>
      <c r="K42" s="972">
        <f>C4</f>
        <v>5</v>
      </c>
      <c r="L42" s="972"/>
      <c r="M42" s="972"/>
      <c r="N42" s="973"/>
      <c r="O42" s="153">
        <f>G42*I42*K42</f>
        <v>0</v>
      </c>
    </row>
    <row r="43" spans="2:21">
      <c r="B43" s="1019"/>
      <c r="C43" s="1025" t="s">
        <v>250</v>
      </c>
      <c r="D43" s="1026"/>
      <c r="E43" s="1027"/>
      <c r="F43" s="165"/>
      <c r="G43" s="977">
        <v>0</v>
      </c>
      <c r="H43" s="1028"/>
      <c r="I43" s="979">
        <f>일정!G30</f>
        <v>28</v>
      </c>
      <c r="J43" s="980"/>
      <c r="K43" s="982">
        <f>C4</f>
        <v>5</v>
      </c>
      <c r="L43" s="982"/>
      <c r="M43" s="982"/>
      <c r="N43" s="983"/>
      <c r="O43" s="154">
        <f>G43*I43*K43</f>
        <v>0</v>
      </c>
    </row>
    <row r="44" spans="2:21">
      <c r="B44" s="1019"/>
      <c r="C44" s="1025" t="s">
        <v>249</v>
      </c>
      <c r="D44" s="1026"/>
      <c r="E44" s="1027"/>
      <c r="F44" s="165"/>
      <c r="G44" s="984">
        <v>0</v>
      </c>
      <c r="H44" s="1029"/>
      <c r="I44" s="979">
        <f>일정!G35</f>
        <v>36</v>
      </c>
      <c r="J44" s="980"/>
      <c r="K44" s="982">
        <f>C4</f>
        <v>5</v>
      </c>
      <c r="L44" s="982"/>
      <c r="M44" s="982"/>
      <c r="N44" s="983"/>
      <c r="O44" s="154">
        <f>G44*I44*K44</f>
        <v>0</v>
      </c>
    </row>
    <row r="45" spans="2:21" ht="18" thickBot="1">
      <c r="B45" s="1020"/>
      <c r="C45" s="1030" t="s">
        <v>336</v>
      </c>
      <c r="D45" s="1031"/>
      <c r="E45" s="1032"/>
      <c r="F45" s="512"/>
      <c r="G45" s="989"/>
      <c r="H45" s="1033"/>
      <c r="I45" s="991">
        <v>19</v>
      </c>
      <c r="J45" s="992"/>
      <c r="K45" s="959">
        <f>C4</f>
        <v>5</v>
      </c>
      <c r="L45" s="959"/>
      <c r="M45" s="959"/>
      <c r="N45" s="960"/>
      <c r="O45" s="215">
        <f>G45*I45*K45</f>
        <v>0</v>
      </c>
    </row>
  </sheetData>
  <mergeCells count="76"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  <mergeCell ref="H7:K7"/>
    <mergeCell ref="M8:N8"/>
    <mergeCell ref="O8:O9"/>
    <mergeCell ref="B10:B12"/>
    <mergeCell ref="C10:D10"/>
    <mergeCell ref="C11:E11"/>
    <mergeCell ref="C12:E12"/>
    <mergeCell ref="G8:H8"/>
    <mergeCell ref="I8:J8"/>
    <mergeCell ref="K8:L8"/>
    <mergeCell ref="B13:B20"/>
    <mergeCell ref="C13:E13"/>
    <mergeCell ref="C15:E15"/>
    <mergeCell ref="C16:E16"/>
    <mergeCell ref="C18:E18"/>
    <mergeCell ref="C19:E19"/>
    <mergeCell ref="C20:E20"/>
    <mergeCell ref="B21:B28"/>
    <mergeCell ref="C21:E21"/>
    <mergeCell ref="C22:E22"/>
    <mergeCell ref="C23:E23"/>
    <mergeCell ref="C24:E24"/>
    <mergeCell ref="C26:E26"/>
    <mergeCell ref="C28:E28"/>
    <mergeCell ref="B29:B36"/>
    <mergeCell ref="C29:E29"/>
    <mergeCell ref="C31:E31"/>
    <mergeCell ref="C33:E33"/>
    <mergeCell ref="C34:E34"/>
    <mergeCell ref="C36:D36"/>
    <mergeCell ref="C35:E35"/>
    <mergeCell ref="B39:B40"/>
    <mergeCell ref="C39:E39"/>
    <mergeCell ref="G39:H39"/>
    <mergeCell ref="I39:J39"/>
    <mergeCell ref="K39:N39"/>
    <mergeCell ref="C40:E40"/>
    <mergeCell ref="G40:J40"/>
    <mergeCell ref="K40:N40"/>
    <mergeCell ref="B42:B45"/>
    <mergeCell ref="C42:E42"/>
    <mergeCell ref="G42:H42"/>
    <mergeCell ref="I42:J42"/>
    <mergeCell ref="K42:N42"/>
    <mergeCell ref="C43:E43"/>
    <mergeCell ref="G43:H43"/>
    <mergeCell ref="I43:J43"/>
    <mergeCell ref="K43:N43"/>
    <mergeCell ref="C44:E44"/>
    <mergeCell ref="G44:H44"/>
    <mergeCell ref="I44:J44"/>
    <mergeCell ref="K44:N44"/>
    <mergeCell ref="C45:E45"/>
    <mergeCell ref="G45:H45"/>
    <mergeCell ref="I45:J45"/>
    <mergeCell ref="K45:N45"/>
    <mergeCell ref="C14:E14"/>
    <mergeCell ref="C17:E17"/>
    <mergeCell ref="C32:E32"/>
    <mergeCell ref="C25:E25"/>
    <mergeCell ref="C27:E27"/>
    <mergeCell ref="C30:E30"/>
  </mergeCells>
  <phoneticPr fontId="1" type="noConversion"/>
  <hyperlinks>
    <hyperlink ref="A1" location="상품리스트!A1" display="home" xr:uid="{DBB19485-22E1-47AA-AD42-70238CE6D10F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0D36-67FE-46EB-AAF5-B15443DA5CD9}">
  <dimension ref="A1:AD43"/>
  <sheetViews>
    <sheetView workbookViewId="0">
      <selection activeCell="C16" sqref="C16:G16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0" width="7.6640625" customWidth="1"/>
    <col min="11" max="11" width="8.33203125" customWidth="1"/>
    <col min="12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5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879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Momentus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180</v>
      </c>
      <c r="M2" s="140">
        <f>$I$1+$K$1</f>
        <v>5</v>
      </c>
      <c r="N2" s="106">
        <f>L2*M2</f>
        <v>900</v>
      </c>
      <c r="O2" s="929">
        <f>SUM(N2:N6)</f>
        <v>4700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926</v>
      </c>
      <c r="AC2" s="10">
        <v>190</v>
      </c>
      <c r="AD2" s="10">
        <v>180</v>
      </c>
    </row>
    <row r="3" spans="1:30" ht="28">
      <c r="B3" s="74" t="s">
        <v>239</v>
      </c>
      <c r="C3" s="938" t="s">
        <v>534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Momentus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190</v>
      </c>
      <c r="M3" s="140">
        <f>$I$1+$K$1</f>
        <v>5</v>
      </c>
      <c r="N3" s="106">
        <f>L3*M3</f>
        <v>950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10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927" t="str">
        <f>J2</f>
        <v>Momentus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190</v>
      </c>
      <c r="M4" s="141">
        <f>$I$1+$K$1</f>
        <v>5</v>
      </c>
      <c r="N4" s="106">
        <f>L4*M4</f>
        <v>950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>
        <f>H4+1</f>
        <v>45735</v>
      </c>
      <c r="I5" s="926"/>
      <c r="J5" s="939" t="str">
        <f>J2</f>
        <v>Momentus</v>
      </c>
      <c r="K5" s="940"/>
      <c r="L5" s="135">
        <f>IF(
    (IF(WEEKDAY(H5, 2) &lt;= 5, AC2, AD2) +
    IF(AND(H5 &gt;= W3, H5 &lt;= X3), Z3, 0) +
    IF(AND(H5 &gt;= W4, H5 &lt;= X4), Z4, 0) +
    IF(AND(H5 &gt;= W5, H5 &lt;= X5), Z5, 0) +
    IF(AND(H5 &gt;= W6, H5 &lt;= X6), Z6, 0) +
    IF(AND(H5 &gt;= W7, H5 &lt;= X7), Z7, 0) +
    IF(AND(H5 &gt;= W8, H5 &lt;= X8), Z8, 0) +
    IF(AND(H5 &gt;= W9, H5 &lt;= X9), Z9, 0) +
    IF(AND(H5 &gt;= W10, H5 &lt;= X10), Z10, 0)) &lt; 1,
    "Surcharge Check",
    (IF(WEEKDAY(H5, 2) &lt;= 5, AC2, AD2) +
    IF(AND(H5 &gt;= W3, H5 &lt;= X3), Z3, 0) +
    IF(AND(H5 &gt;= W4, H5 &lt;= X4), Z4, 0) +
    IF(AND(H5 &gt;= W5, H5 &lt;= X5), Z5, 0) +
    IF(AND(H5 &gt;= W6, H5 &lt;= X6), Z6, 0) +
    IF(AND(H5 &gt;= W7, H5 &lt;= X7), Z7, 0) +
    IF(AND(H5 &gt;= W8, H5 &lt;= X8), Z8, 0) +
    IF(AND(H5 &gt;= W9, H5 &lt;= X9), Z9, 0) +
    IF(AND(H5 &gt;= W10, H5 &lt;= X10), Z10, 0))
)</f>
        <v>190</v>
      </c>
      <c r="M5" s="140">
        <f>$I$1+$K$1</f>
        <v>5</v>
      </c>
      <c r="N5" s="106">
        <f>L5*M5</f>
        <v>950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(SUM(O10:O43)+O2)/C4+R5+T6</f>
        <v>965.8</v>
      </c>
      <c r="D6" s="86" t="s">
        <v>254</v>
      </c>
      <c r="E6" s="94">
        <f>C6*$E$1</f>
        <v>1062380</v>
      </c>
      <c r="F6" s="72"/>
      <c r="G6" s="922"/>
      <c r="H6" s="925">
        <f>H5+1</f>
        <v>45736</v>
      </c>
      <c r="I6" s="926"/>
      <c r="J6" s="935" t="str">
        <f>J2</f>
        <v>Momentus</v>
      </c>
      <c r="K6" s="935"/>
      <c r="L6" s="136">
        <f>IF(
    (IF(WEEKDAY(H6, 2) &lt;= 5, AC2, AD2) +
    IF(AND(H6 &gt;= W3, H6 &lt;= X3), Z3, 0) +
    IF(AND(H6 &gt;= W4, H6 &lt;= X4), Z4, 0) +
    IF(AND(H6 &gt;= W5, H6 &lt;= X5), Z5, 0) +
    IF(AND(H6 &gt;= W6, H6 &lt;= X6), Z6, 0) +
    IF(AND(H6 &gt;= W7, H6 &lt;= X7), Z7, 0) +
    IF(AND(H6 &gt;= W8, H6 &lt;= X8), Z8, 0) +
    IF(AND(H6 &gt;= W9, H6 &lt;= X9), Z9, 0) +
    IF(AND(H6 &gt;= W10, H6 &lt;= X10), Z10, 0)) &lt; 1,
    "Surcharge Check",
    (IF(WEEKDAY(H6, 2) &lt;= 5, AC2, AD2) +
    IF(AND(H6 &gt;= W3, H6 &lt;= X3), Z3, 0) +
    IF(AND(H6 &gt;= W4, H6 &lt;= X4), Z4, 0) +
    IF(AND(H6 &gt;= W5, H6 &lt;= X5), Z5, 0) +
    IF(AND(H6 &gt;= W6, H6 &lt;= X6), Z6, 0) +
    IF(AND(H6 &gt;= W7, H6 &lt;= X7), Z7, 0) +
    IF(AND(H6 &gt;= W8, H6 &lt;= X8), Z8, 0) +
    IF(AND(H6 &gt;= W9, H6 &lt;= X9), Z9, 0) +
    IF(AND(H6 &gt;= W10, H6 &lt;= X10), Z10, 0))
)</f>
        <v>190</v>
      </c>
      <c r="M6" s="89">
        <f>$I$1+$K$1</f>
        <v>5</v>
      </c>
      <c r="N6" s="107">
        <f>L6*M6</f>
        <v>950</v>
      </c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2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96" t="s">
        <v>552</v>
      </c>
      <c r="D10" s="897"/>
      <c r="E10" s="898"/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200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350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3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530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905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865"/>
      <c r="C14" s="907" t="s">
        <v>881</v>
      </c>
      <c r="D14" s="900"/>
      <c r="E14" s="901"/>
      <c r="F14" s="72"/>
      <c r="G14" s="102"/>
      <c r="H14" s="115"/>
      <c r="I14" s="120"/>
      <c r="J14" s="110"/>
      <c r="K14" s="123"/>
      <c r="L14" s="91"/>
      <c r="M14" s="123"/>
      <c r="N14" s="91"/>
      <c r="O14" s="144">
        <f t="shared" si="0"/>
        <v>0</v>
      </c>
      <c r="Q14" s="7"/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865"/>
      <c r="C15" s="876" t="s">
        <v>882</v>
      </c>
      <c r="D15" s="877"/>
      <c r="E15" s="878"/>
      <c r="F15" s="72"/>
      <c r="G15" s="99"/>
      <c r="H15" s="110"/>
      <c r="I15" s="122">
        <f>식사!E9</f>
        <v>65</v>
      </c>
      <c r="J15" s="115">
        <f>$C$4+$E$4</f>
        <v>10</v>
      </c>
      <c r="K15" s="120"/>
      <c r="L15" s="91"/>
      <c r="M15" s="120"/>
      <c r="N15" s="91"/>
      <c r="O15" s="144">
        <f t="shared" si="0"/>
        <v>650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922</v>
      </c>
      <c r="AC15" s="10">
        <v>185</v>
      </c>
      <c r="AD15" s="10">
        <v>185</v>
      </c>
    </row>
    <row r="16" spans="1:30">
      <c r="B16" s="865"/>
      <c r="C16" s="879" t="str">
        <f>일정!$C$27</f>
        <v>가든스바이더베이 2돔 ( 쥬랴기 )</v>
      </c>
      <c r="D16" s="891"/>
      <c r="E16" s="892"/>
      <c r="F16" s="72"/>
      <c r="G16" s="103">
        <f>일정!$E$27</f>
        <v>28.3</v>
      </c>
      <c r="H16" s="115">
        <f>$C$4+$E$4</f>
        <v>10</v>
      </c>
      <c r="I16" s="123"/>
      <c r="J16" s="110"/>
      <c r="K16" s="123"/>
      <c r="L16" s="91"/>
      <c r="M16" s="123"/>
      <c r="N16" s="91"/>
      <c r="O16" s="144">
        <f t="shared" si="0"/>
        <v>283</v>
      </c>
      <c r="AB16" s="496" t="s">
        <v>726</v>
      </c>
      <c r="AC16" s="10">
        <v>185</v>
      </c>
      <c r="AD16" s="10">
        <v>185</v>
      </c>
    </row>
    <row r="17" spans="2:30">
      <c r="B17" s="865"/>
      <c r="C17" s="890" t="s">
        <v>505</v>
      </c>
      <c r="D17" s="891"/>
      <c r="E17" s="892"/>
      <c r="F17" s="72"/>
      <c r="G17" s="102"/>
      <c r="H17" s="115"/>
      <c r="I17" s="123"/>
      <c r="J17" s="110"/>
      <c r="K17" s="123"/>
      <c r="L17" s="91"/>
      <c r="M17" s="123"/>
      <c r="N17" s="91"/>
      <c r="O17" s="144">
        <f t="shared" si="0"/>
        <v>0</v>
      </c>
      <c r="Q17" s="7"/>
      <c r="AB17" s="496" t="s">
        <v>931</v>
      </c>
      <c r="AC17" s="10">
        <v>155</v>
      </c>
      <c r="AD17" s="10">
        <v>155</v>
      </c>
    </row>
    <row r="18" spans="2:30">
      <c r="B18" s="865"/>
      <c r="C18" s="876" t="s">
        <v>651</v>
      </c>
      <c r="D18" s="877"/>
      <c r="E18" s="878"/>
      <c r="F18" s="72"/>
      <c r="G18" s="99"/>
      <c r="H18" s="110"/>
      <c r="I18" s="122">
        <f>식사!E21</f>
        <v>18</v>
      </c>
      <c r="J18" s="115">
        <f>$C$4+$E$4</f>
        <v>10</v>
      </c>
      <c r="K18" s="120"/>
      <c r="L18" s="91"/>
      <c r="M18" s="120"/>
      <c r="N18" s="91"/>
      <c r="O18" s="144">
        <f t="shared" si="0"/>
        <v>180</v>
      </c>
      <c r="Q18" s="7"/>
      <c r="AB18" s="496" t="s">
        <v>923</v>
      </c>
      <c r="AC18" s="10">
        <v>185</v>
      </c>
      <c r="AD18" s="10">
        <v>185</v>
      </c>
    </row>
    <row r="19" spans="2:30">
      <c r="B19" s="865"/>
      <c r="C19" s="941" t="s">
        <v>325</v>
      </c>
      <c r="D19" s="911"/>
      <c r="E19" s="912"/>
      <c r="F19" s="72"/>
      <c r="G19" s="205"/>
      <c r="H19" s="115"/>
      <c r="I19" s="102"/>
      <c r="J19" s="115"/>
      <c r="K19" s="120"/>
      <c r="L19" s="91"/>
      <c r="M19" s="120"/>
      <c r="N19" s="91"/>
      <c r="O19" s="144">
        <f t="shared" si="0"/>
        <v>0</v>
      </c>
      <c r="Q19" s="7"/>
      <c r="AB19" s="497" t="s">
        <v>928</v>
      </c>
      <c r="AC19" s="10">
        <v>280</v>
      </c>
      <c r="AD19" s="10">
        <v>280</v>
      </c>
    </row>
    <row r="20" spans="2:30" ht="18" thickBot="1">
      <c r="B20" s="906"/>
      <c r="C20" s="893" t="s">
        <v>1005</v>
      </c>
      <c r="D20" s="894"/>
      <c r="E20" s="895"/>
      <c r="F20" s="72"/>
      <c r="G20" s="102"/>
      <c r="H20" s="115"/>
      <c r="I20" s="123"/>
      <c r="J20" s="110"/>
      <c r="K20" s="123"/>
      <c r="L20" s="91"/>
      <c r="M20" s="123"/>
      <c r="N20" s="91"/>
      <c r="O20" s="144">
        <f t="shared" si="0"/>
        <v>0</v>
      </c>
      <c r="Q20" s="7"/>
      <c r="AB20" s="497" t="s">
        <v>442</v>
      </c>
      <c r="AC20" s="10">
        <v>366</v>
      </c>
      <c r="AD20" s="10">
        <v>366</v>
      </c>
    </row>
    <row r="21" spans="2:30">
      <c r="B21" s="864" t="str">
        <f>TEXT(C5+2,"m월 d일 aaaa")</f>
        <v>3월 18일 화요일</v>
      </c>
      <c r="C21" s="905" t="s">
        <v>623</v>
      </c>
      <c r="D21" s="1038"/>
      <c r="E21" s="1039"/>
      <c r="F21" s="72"/>
      <c r="G21" s="1171"/>
      <c r="H21" s="1172"/>
      <c r="I21" s="1172"/>
      <c r="J21" s="1172"/>
      <c r="K21" s="1172"/>
      <c r="L21" s="1172"/>
      <c r="M21" s="1172"/>
      <c r="N21" s="1173"/>
      <c r="O21" s="143">
        <f t="shared" si="0"/>
        <v>0</v>
      </c>
      <c r="Q21" s="159" t="s">
        <v>277</v>
      </c>
    </row>
    <row r="22" spans="2:30">
      <c r="B22" s="944"/>
      <c r="C22" s="865"/>
      <c r="D22" s="1040"/>
      <c r="E22" s="1041"/>
      <c r="F22" s="72"/>
      <c r="G22" s="1174"/>
      <c r="H22" s="1175"/>
      <c r="I22" s="1175"/>
      <c r="J22" s="1175"/>
      <c r="K22" s="1175"/>
      <c r="L22" s="1175"/>
      <c r="M22" s="1175"/>
      <c r="N22" s="1176"/>
      <c r="O22" s="146">
        <f t="shared" si="0"/>
        <v>0</v>
      </c>
      <c r="Q22" s="7"/>
    </row>
    <row r="23" spans="2:30">
      <c r="B23" s="888"/>
      <c r="C23" s="865"/>
      <c r="D23" s="1040"/>
      <c r="E23" s="1041"/>
      <c r="F23" s="72"/>
      <c r="G23" s="1174"/>
      <c r="H23" s="1175"/>
      <c r="I23" s="1175"/>
      <c r="J23" s="1175"/>
      <c r="K23" s="1175"/>
      <c r="L23" s="1175"/>
      <c r="M23" s="1175"/>
      <c r="N23" s="1176"/>
      <c r="O23" s="146">
        <f t="shared" si="0"/>
        <v>0</v>
      </c>
      <c r="Q23" s="7"/>
    </row>
    <row r="24" spans="2:30">
      <c r="B24" s="888"/>
      <c r="C24" s="865"/>
      <c r="D24" s="1040"/>
      <c r="E24" s="1041"/>
      <c r="F24" s="72"/>
      <c r="G24" s="1174"/>
      <c r="H24" s="1175"/>
      <c r="I24" s="1175"/>
      <c r="J24" s="1175"/>
      <c r="K24" s="1175"/>
      <c r="L24" s="1175"/>
      <c r="M24" s="1175"/>
      <c r="N24" s="1176"/>
      <c r="O24" s="146">
        <f t="shared" si="0"/>
        <v>0</v>
      </c>
      <c r="Q24" s="7"/>
    </row>
    <row r="25" spans="2:30">
      <c r="B25" s="888"/>
      <c r="C25" s="865"/>
      <c r="D25" s="1040"/>
      <c r="E25" s="1041"/>
      <c r="F25" s="72"/>
      <c r="G25" s="1174"/>
      <c r="H25" s="1175"/>
      <c r="I25" s="1175"/>
      <c r="J25" s="1175"/>
      <c r="K25" s="1175"/>
      <c r="L25" s="1175"/>
      <c r="M25" s="1175"/>
      <c r="N25" s="1176"/>
      <c r="O25" s="146">
        <f t="shared" si="0"/>
        <v>0</v>
      </c>
      <c r="Q25" s="7"/>
    </row>
    <row r="26" spans="2:30">
      <c r="B26" s="888"/>
      <c r="C26" s="865"/>
      <c r="D26" s="1040"/>
      <c r="E26" s="1041"/>
      <c r="F26" s="72"/>
      <c r="G26" s="1174"/>
      <c r="H26" s="1175"/>
      <c r="I26" s="1175"/>
      <c r="J26" s="1175"/>
      <c r="K26" s="1175"/>
      <c r="L26" s="1175"/>
      <c r="M26" s="1175"/>
      <c r="N26" s="1176"/>
      <c r="O26" s="146">
        <f t="shared" si="0"/>
        <v>0</v>
      </c>
      <c r="Q26" s="7"/>
    </row>
    <row r="27" spans="2:30" ht="18" thickBot="1">
      <c r="B27" s="866"/>
      <c r="C27" s="906"/>
      <c r="D27" s="1042"/>
      <c r="E27" s="1043"/>
      <c r="F27" s="72"/>
      <c r="G27" s="1177"/>
      <c r="H27" s="1178"/>
      <c r="I27" s="1178"/>
      <c r="J27" s="1178"/>
      <c r="K27" s="1178"/>
      <c r="L27" s="1178"/>
      <c r="M27" s="1178"/>
      <c r="N27" s="1179"/>
      <c r="O27" s="147">
        <f t="shared" si="0"/>
        <v>0</v>
      </c>
      <c r="Q27" s="7"/>
    </row>
    <row r="28" spans="2:30">
      <c r="B28" s="864" t="str">
        <f>TEXT(C5+3,"m월 d일 aaaa")</f>
        <v>3월 19일 수요일</v>
      </c>
      <c r="C28" s="896" t="s">
        <v>330</v>
      </c>
      <c r="D28" s="897"/>
      <c r="E28" s="898"/>
      <c r="F28" s="72"/>
      <c r="G28" s="98"/>
      <c r="H28" s="109"/>
      <c r="I28" s="119"/>
      <c r="J28" s="109"/>
      <c r="K28" s="128">
        <f>IF(C4+E4&lt;8,'가이드&amp;차량'!C47, IF(C4+E4&lt;=14,'가이드&amp;차량'!C39,'가이드&amp;차량'!C23))</f>
        <v>530</v>
      </c>
      <c r="L28" s="90">
        <f>L10</f>
        <v>1</v>
      </c>
      <c r="M28" s="128">
        <f>'가이드&amp;차량'!C6+'가이드&amp;차량'!C3</f>
        <v>525</v>
      </c>
      <c r="N28" s="90">
        <f>N10</f>
        <v>1</v>
      </c>
      <c r="O28" s="143">
        <f t="shared" si="0"/>
        <v>1055</v>
      </c>
      <c r="Q28" s="159" t="s">
        <v>278</v>
      </c>
    </row>
    <row r="29" spans="2:30">
      <c r="B29" s="888"/>
      <c r="C29" s="882" t="s">
        <v>883</v>
      </c>
      <c r="D29" s="883"/>
      <c r="E29" s="884"/>
      <c r="F29" s="72"/>
      <c r="G29" s="166"/>
      <c r="H29" s="115"/>
      <c r="I29" s="123"/>
      <c r="J29" s="110"/>
      <c r="K29" s="123"/>
      <c r="L29" s="91"/>
      <c r="M29" s="123"/>
      <c r="N29" s="91"/>
      <c r="O29" s="144">
        <f t="shared" si="0"/>
        <v>0</v>
      </c>
    </row>
    <row r="30" spans="2:30">
      <c r="B30" s="888"/>
      <c r="C30" s="876" t="s">
        <v>588</v>
      </c>
      <c r="D30" s="877"/>
      <c r="E30" s="878"/>
      <c r="F30" s="72"/>
      <c r="G30" s="99"/>
      <c r="H30" s="110"/>
      <c r="I30" s="122">
        <f>식사!E25</f>
        <v>22</v>
      </c>
      <c r="J30" s="115">
        <f>$C$4+$E$4</f>
        <v>10</v>
      </c>
      <c r="K30" s="120"/>
      <c r="L30" s="91"/>
      <c r="M30" s="120"/>
      <c r="N30" s="91"/>
      <c r="O30" s="144">
        <f t="shared" si="0"/>
        <v>220</v>
      </c>
    </row>
    <row r="31" spans="2:30">
      <c r="B31" s="888"/>
      <c r="C31" s="899" t="s">
        <v>885</v>
      </c>
      <c r="D31" s="900"/>
      <c r="E31" s="901"/>
      <c r="F31" s="72"/>
      <c r="G31" s="103">
        <f>일정!E10+일정!E20</f>
        <v>53.5</v>
      </c>
      <c r="H31" s="115">
        <f>$C$4+$E$4</f>
        <v>10</v>
      </c>
      <c r="I31" s="123"/>
      <c r="J31" s="110"/>
      <c r="K31" s="123"/>
      <c r="L31" s="91"/>
      <c r="M31" s="123"/>
      <c r="N31" s="91"/>
      <c r="O31" s="144">
        <f t="shared" si="0"/>
        <v>535</v>
      </c>
    </row>
    <row r="32" spans="2:30">
      <c r="B32" s="888"/>
      <c r="C32" s="902" t="s">
        <v>884</v>
      </c>
      <c r="D32" s="903"/>
      <c r="E32" s="904"/>
      <c r="F32" s="72"/>
      <c r="G32" s="104"/>
      <c r="H32" s="116"/>
      <c r="I32" s="122">
        <v>20</v>
      </c>
      <c r="J32" s="115">
        <f>$C$4+$E$4</f>
        <v>10</v>
      </c>
      <c r="K32" s="130"/>
      <c r="L32" s="138"/>
      <c r="M32" s="130"/>
      <c r="N32" s="138"/>
      <c r="O32" s="148">
        <f t="shared" si="0"/>
        <v>200</v>
      </c>
    </row>
    <row r="33" spans="2:21" ht="18" thickBot="1">
      <c r="B33" s="866"/>
      <c r="C33" s="1067" t="s">
        <v>284</v>
      </c>
      <c r="D33" s="935"/>
      <c r="E33" s="1068"/>
      <c r="F33" s="34"/>
      <c r="G33" s="105"/>
      <c r="H33" s="117"/>
      <c r="I33" s="124"/>
      <c r="J33" s="126"/>
      <c r="K33" s="131"/>
      <c r="L33" s="139"/>
      <c r="M33" s="131"/>
      <c r="N33" s="139"/>
      <c r="O33" s="149">
        <f t="shared" si="0"/>
        <v>0</v>
      </c>
      <c r="P33" s="34"/>
      <c r="Q33" s="34"/>
      <c r="R33" s="34"/>
      <c r="S33" s="34"/>
      <c r="T33" s="34"/>
      <c r="U33" s="34"/>
    </row>
    <row r="34" spans="2:21">
      <c r="B34" s="72"/>
      <c r="C34" s="72"/>
      <c r="D34" s="72"/>
      <c r="E34" s="72"/>
      <c r="F34" s="72"/>
      <c r="G34" s="72"/>
      <c r="H34" s="72"/>
      <c r="K34" s="132">
        <f>SUM(K10:K33)</f>
        <v>1260</v>
      </c>
      <c r="L34" s="72"/>
      <c r="M34" s="132">
        <f>SUM(M10:M33)</f>
        <v>1050</v>
      </c>
      <c r="N34" s="72"/>
      <c r="O34" s="150"/>
      <c r="P34" s="156"/>
    </row>
    <row r="35" spans="2:21" ht="18" thickBot="1">
      <c r="O35" s="150"/>
    </row>
    <row r="36" spans="2:21">
      <c r="B36" s="872" t="s">
        <v>246</v>
      </c>
      <c r="C36" s="873" t="s">
        <v>288</v>
      </c>
      <c r="D36" s="874"/>
      <c r="E36" s="875"/>
      <c r="F36" s="34"/>
      <c r="G36" s="862">
        <f>$C$4+$E$4</f>
        <v>10</v>
      </c>
      <c r="H36" s="863"/>
      <c r="I36" s="854">
        <v>3</v>
      </c>
      <c r="J36" s="854"/>
      <c r="K36" s="855">
        <v>1</v>
      </c>
      <c r="L36" s="855"/>
      <c r="M36" s="855"/>
      <c r="N36" s="855"/>
      <c r="O36" s="151">
        <f>G36*I36*K36</f>
        <v>30</v>
      </c>
    </row>
    <row r="37" spans="2:21" ht="18" thickBot="1">
      <c r="B37" s="827"/>
      <c r="C37" s="856" t="s">
        <v>451</v>
      </c>
      <c r="D37" s="857"/>
      <c r="E37" s="858"/>
      <c r="F37" s="34"/>
      <c r="G37" s="859">
        <v>50</v>
      </c>
      <c r="H37" s="860"/>
      <c r="I37" s="860"/>
      <c r="J37" s="860"/>
      <c r="K37" s="861">
        <f>C4</f>
        <v>10</v>
      </c>
      <c r="L37" s="861"/>
      <c r="M37" s="861"/>
      <c r="N37" s="861"/>
      <c r="O37" s="152">
        <f>G37*K37</f>
        <v>500</v>
      </c>
    </row>
    <row r="38" spans="2:21" ht="18" thickBot="1">
      <c r="O38" s="150"/>
    </row>
    <row r="39" spans="2:21" ht="16.5" customHeight="1">
      <c r="B39" s="961" t="s">
        <v>337</v>
      </c>
      <c r="C39" s="1021" t="s">
        <v>251</v>
      </c>
      <c r="D39" s="1022"/>
      <c r="E39" s="1023"/>
      <c r="F39" s="165"/>
      <c r="G39" s="967"/>
      <c r="H39" s="1024"/>
      <c r="I39" s="969">
        <f>일정!G24</f>
        <v>30</v>
      </c>
      <c r="J39" s="970"/>
      <c r="K39" s="1044">
        <f>C4</f>
        <v>10</v>
      </c>
      <c r="L39" s="1044"/>
      <c r="M39" s="1044"/>
      <c r="N39" s="1045"/>
      <c r="O39" s="153">
        <f>G39*I39*K39</f>
        <v>0</v>
      </c>
    </row>
    <row r="40" spans="2:21">
      <c r="B40" s="1019"/>
      <c r="C40" s="1025" t="s">
        <v>250</v>
      </c>
      <c r="D40" s="1026"/>
      <c r="E40" s="1027"/>
      <c r="F40" s="165"/>
      <c r="G40" s="977"/>
      <c r="H40" s="1028"/>
      <c r="I40" s="979">
        <f>일정!G30</f>
        <v>28</v>
      </c>
      <c r="J40" s="980"/>
      <c r="K40" s="1046">
        <f>C4</f>
        <v>10</v>
      </c>
      <c r="L40" s="1047"/>
      <c r="M40" s="1047"/>
      <c r="N40" s="1048"/>
      <c r="O40" s="154">
        <f>G40*I40*K40</f>
        <v>0</v>
      </c>
    </row>
    <row r="41" spans="2:21">
      <c r="B41" s="1019"/>
      <c r="C41" s="1025" t="s">
        <v>249</v>
      </c>
      <c r="D41" s="1026"/>
      <c r="E41" s="1027"/>
      <c r="F41" s="165"/>
      <c r="G41" s="977"/>
      <c r="H41" s="1028"/>
      <c r="I41" s="979">
        <f>일정!G35</f>
        <v>36</v>
      </c>
      <c r="J41" s="980"/>
      <c r="K41" s="1046">
        <f>C4</f>
        <v>10</v>
      </c>
      <c r="L41" s="1047"/>
      <c r="M41" s="1047"/>
      <c r="N41" s="1048"/>
      <c r="O41" s="154">
        <f>G41*I41*K41</f>
        <v>0</v>
      </c>
    </row>
    <row r="42" spans="2:21">
      <c r="B42" s="1019"/>
      <c r="C42" s="1025" t="s">
        <v>336</v>
      </c>
      <c r="D42" s="1026"/>
      <c r="E42" s="1027"/>
      <c r="F42" s="165"/>
      <c r="G42" s="977"/>
      <c r="H42" s="1028"/>
      <c r="I42" s="979">
        <f>일정!G13</f>
        <v>19</v>
      </c>
      <c r="J42" s="980"/>
      <c r="K42" s="1046">
        <f>C4</f>
        <v>10</v>
      </c>
      <c r="L42" s="1047"/>
      <c r="M42" s="1047"/>
      <c r="N42" s="1048"/>
      <c r="O42" s="154">
        <f>G42*I42*K42</f>
        <v>0</v>
      </c>
    </row>
    <row r="43" spans="2:21" ht="18" thickBot="1">
      <c r="B43" s="1020"/>
      <c r="C43" s="1030" t="s">
        <v>252</v>
      </c>
      <c r="D43" s="1031"/>
      <c r="E43" s="1032"/>
      <c r="F43" s="165"/>
      <c r="G43" s="989"/>
      <c r="H43" s="1033"/>
      <c r="I43" s="991">
        <f>일정!G29</f>
        <v>40</v>
      </c>
      <c r="J43" s="992"/>
      <c r="K43" s="1049">
        <f>C4</f>
        <v>10</v>
      </c>
      <c r="L43" s="1050"/>
      <c r="M43" s="1050"/>
      <c r="N43" s="1051"/>
      <c r="O43" s="215">
        <f>G43*I43*K43</f>
        <v>0</v>
      </c>
    </row>
  </sheetData>
  <mergeCells count="72"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  <mergeCell ref="H7:K7"/>
    <mergeCell ref="M8:N8"/>
    <mergeCell ref="O8:O9"/>
    <mergeCell ref="B10:B12"/>
    <mergeCell ref="C10:E10"/>
    <mergeCell ref="C11:E11"/>
    <mergeCell ref="C12:E12"/>
    <mergeCell ref="G8:H8"/>
    <mergeCell ref="I8:J8"/>
    <mergeCell ref="K8:L8"/>
    <mergeCell ref="B21:B27"/>
    <mergeCell ref="B13:B20"/>
    <mergeCell ref="C13:E13"/>
    <mergeCell ref="C14:E14"/>
    <mergeCell ref="C15:E15"/>
    <mergeCell ref="C16:E16"/>
    <mergeCell ref="C17:E17"/>
    <mergeCell ref="C18:E18"/>
    <mergeCell ref="C19:E19"/>
    <mergeCell ref="C20:E20"/>
    <mergeCell ref="C21:E27"/>
    <mergeCell ref="B28:B33"/>
    <mergeCell ref="C28:E28"/>
    <mergeCell ref="C29:E29"/>
    <mergeCell ref="C30:E30"/>
    <mergeCell ref="C31:E31"/>
    <mergeCell ref="C32:E32"/>
    <mergeCell ref="C33:E33"/>
    <mergeCell ref="B36:B37"/>
    <mergeCell ref="C36:E36"/>
    <mergeCell ref="G36:H36"/>
    <mergeCell ref="I36:J36"/>
    <mergeCell ref="K36:N36"/>
    <mergeCell ref="C37:E37"/>
    <mergeCell ref="G37:J37"/>
    <mergeCell ref="K37:N37"/>
    <mergeCell ref="B39:B43"/>
    <mergeCell ref="C39:E39"/>
    <mergeCell ref="G39:H39"/>
    <mergeCell ref="I39:J39"/>
    <mergeCell ref="K39:N39"/>
    <mergeCell ref="C40:E40"/>
    <mergeCell ref="G40:H40"/>
    <mergeCell ref="I40:J40"/>
    <mergeCell ref="K40:N40"/>
    <mergeCell ref="C41:E41"/>
    <mergeCell ref="C43:E43"/>
    <mergeCell ref="G43:H43"/>
    <mergeCell ref="I43:J43"/>
    <mergeCell ref="K43:N43"/>
    <mergeCell ref="G21:N27"/>
    <mergeCell ref="G41:H41"/>
    <mergeCell ref="I41:J41"/>
    <mergeCell ref="K41:N41"/>
    <mergeCell ref="C42:E42"/>
    <mergeCell ref="G42:H42"/>
    <mergeCell ref="I42:J42"/>
    <mergeCell ref="K42:N42"/>
  </mergeCells>
  <phoneticPr fontId="1" type="noConversion"/>
  <hyperlinks>
    <hyperlink ref="A1" location="상품리스트!A1" display="home" xr:uid="{A8EDC189-7C2E-47E7-9F8D-8274D50E2789}"/>
  </hyperlink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F350B-0F0A-4306-B811-C7B1EF1DC1AF}">
  <dimension ref="A1:AD43"/>
  <sheetViews>
    <sheetView topLeftCell="A3" workbookViewId="0">
      <selection activeCell="C16" sqref="C16:G16"/>
    </sheetView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0" width="7.6640625" customWidth="1"/>
    <col min="11" max="11" width="8.33203125" customWidth="1"/>
    <col min="12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</cols>
  <sheetData>
    <row r="1" spans="1:30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4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  <c r="AC1" s="44" t="s">
        <v>916</v>
      </c>
      <c r="AD1" s="44" t="s">
        <v>917</v>
      </c>
    </row>
    <row r="2" spans="1:30">
      <c r="B2" s="73" t="s">
        <v>238</v>
      </c>
      <c r="C2" s="923" t="s">
        <v>1071</v>
      </c>
      <c r="D2" s="923"/>
      <c r="E2" s="924"/>
      <c r="F2" s="72"/>
      <c r="G2" s="921"/>
      <c r="H2" s="925">
        <f>C5</f>
        <v>45732</v>
      </c>
      <c r="I2" s="926"/>
      <c r="J2" s="927" t="str">
        <f>AB2</f>
        <v>Momentus</v>
      </c>
      <c r="K2" s="928"/>
      <c r="L2" s="134">
        <f>IF(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 &lt; 1,
    "Surcharge Check",
    (IF(WEEKDAY(H2, 2) &lt;= 5, AC2, AD2) +
    IF(AND(H2 &gt;= W3, H2 &lt;= X3), Z3, 0) +
    IF(AND(H2 &gt;= W4, H2 &lt;= X4), Z4, 0) +
    IF(AND(H2 &gt;= W5, H2 &lt;= X5), Z5, 0) +
    IF(AND(H2 &gt;= W6, H2 &lt;= X6), Z6, 0) +
    IF(AND(H2 &gt;= W7, H2 &lt;= X7), Z7, 0) +
    IF(AND(H2 &gt;= W8, H2 &lt;= X8), Z8, 0) +
    IF(AND(H2 &gt;= W9, H2 &lt;= X9), Z9, 0) +
    IF(AND(H2 &gt;= W10, H2 &lt;= X10), Z10, 0))
)</f>
        <v>180</v>
      </c>
      <c r="M2" s="140">
        <f>$I$1+$K$1</f>
        <v>4</v>
      </c>
      <c r="N2" s="106">
        <f>L2*M2</f>
        <v>720</v>
      </c>
      <c r="O2" s="929">
        <f>SUM(N2:N6)</f>
        <v>3760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  <c r="AB2" s="494" t="s">
        <v>926</v>
      </c>
      <c r="AC2" s="10">
        <v>190</v>
      </c>
      <c r="AD2" s="10">
        <v>180</v>
      </c>
    </row>
    <row r="3" spans="1:30" ht="28">
      <c r="B3" s="74" t="s">
        <v>239</v>
      </c>
      <c r="C3" s="938" t="s">
        <v>1073</v>
      </c>
      <c r="D3" s="938"/>
      <c r="E3" s="770"/>
      <c r="F3" s="72"/>
      <c r="G3" s="921"/>
      <c r="H3" s="925">
        <f>H2+1</f>
        <v>45733</v>
      </c>
      <c r="I3" s="926"/>
      <c r="J3" s="927" t="str">
        <f>J2</f>
        <v>Momentus</v>
      </c>
      <c r="K3" s="928"/>
      <c r="L3" s="134">
        <f>IF(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 &lt; 1,
    "Surcharge Check",
    (IF(WEEKDAY(H3, 2) &lt;= 5, AC2, AD2) +
    IF(AND(H3 &gt;= W3, H3 &lt;= X3), Z3, 0) +
    IF(AND(H3 &gt;= W4, H3 &lt;= X4), Z4, 0) +
    IF(AND(H3 &gt;= W5, H3 &lt;= X5), Z5, 0) +
    IF(AND(H3 &gt;= W6, H3 &lt;= X6), Z6, 0) +
    IF(AND(H3 &gt;= W7, H3 &lt;= X7), Z7, 0) +
    IF(AND(H3 &gt;= W8, H3 &lt;= X8), Z8, 0) +
    IF(AND(H3 &gt;= W9, H3 &lt;= X9), Z9, 0) +
    IF(AND(H3 &gt;= W10, H3 &lt;= X10), Z10, 0))
)</f>
        <v>190</v>
      </c>
      <c r="M3" s="140">
        <f>$I$1+$K$1</f>
        <v>4</v>
      </c>
      <c r="N3" s="106">
        <f>L3*M3</f>
        <v>760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  <c r="Z3">
        <v>-2000</v>
      </c>
    </row>
    <row r="4" spans="1:30" ht="18" thickBot="1">
      <c r="B4" s="75" t="s">
        <v>241</v>
      </c>
      <c r="C4" s="81">
        <v>8</v>
      </c>
      <c r="D4" s="84" t="s">
        <v>253</v>
      </c>
      <c r="E4" s="92">
        <v>0</v>
      </c>
      <c r="F4" s="72"/>
      <c r="G4" s="921"/>
      <c r="H4" s="925">
        <f>H3+1</f>
        <v>45734</v>
      </c>
      <c r="I4" s="926"/>
      <c r="J4" s="927" t="str">
        <f>J2</f>
        <v>Momentus</v>
      </c>
      <c r="K4" s="928"/>
      <c r="L4" s="134">
        <f>IF(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 &lt; 1,
    "Surcharge Check",
    (IF(WEEKDAY(H4, 2) &lt;= 5, AC2, AD2) +
    IF(AND(H4 &gt;= W3, H4 &lt;= X3), Z3, 0) +
    IF(AND(H4 &gt;= W4, H4 &lt;= X4), Z4, 0) +
    IF(AND(H4 &gt;= W5, H4 &lt;= X5), Z5, 0) +
    IF(AND(H4 &gt;= W6, H4 &lt;= X6), Z6, 0) +
    IF(AND(H4 &gt;= W7, H4 &lt;= X7), Z7, 0) +
    IF(AND(H4 &gt;= W8, H4 &lt;= X8), Z8, 0) +
    IF(AND(H4 &gt;= W9, H4 &lt;= X9), Z9, 0) +
    IF(AND(H4 &gt;= W10, H4 &lt;= X10), Z10, 0))
)</f>
        <v>190</v>
      </c>
      <c r="M4" s="141">
        <f>$I$1+$K$1</f>
        <v>4</v>
      </c>
      <c r="N4" s="106">
        <f>L4*M4</f>
        <v>760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  <c r="Z4">
        <v>-2000</v>
      </c>
      <c r="AB4" s="494" t="s">
        <v>926</v>
      </c>
      <c r="AC4" s="10">
        <v>190</v>
      </c>
      <c r="AD4" s="10">
        <v>180</v>
      </c>
    </row>
    <row r="5" spans="1:30" ht="18" thickBot="1">
      <c r="B5" s="76" t="s">
        <v>242</v>
      </c>
      <c r="C5" s="82">
        <v>45732</v>
      </c>
      <c r="D5" s="85">
        <v>3</v>
      </c>
      <c r="E5" s="93">
        <f>C5+D5</f>
        <v>45735</v>
      </c>
      <c r="F5" s="72"/>
      <c r="G5" s="921"/>
      <c r="H5" s="925">
        <f>H4+1</f>
        <v>45735</v>
      </c>
      <c r="I5" s="926"/>
      <c r="J5" s="939" t="str">
        <f>J2</f>
        <v>Momentus</v>
      </c>
      <c r="K5" s="940"/>
      <c r="L5" s="135">
        <f>IF(
    (IF(WEEKDAY(H5, 2) &lt;= 5, AC2, AD2) +
    IF(AND(H5 &gt;= W3, H5 &lt;= X3), Z3, 0) +
    IF(AND(H5 &gt;= W4, H5 &lt;= X4), Z4, 0) +
    IF(AND(H5 &gt;= W5, H5 &lt;= X5), Z5, 0) +
    IF(AND(H5 &gt;= W6, H5 &lt;= X6), Z6, 0) +
    IF(AND(H5 &gt;= W7, H5 &lt;= X7), Z7, 0) +
    IF(AND(H5 &gt;= W8, H5 &lt;= X8), Z8, 0) +
    IF(AND(H5 &gt;= W9, H5 &lt;= X9), Z9, 0) +
    IF(AND(H5 &gt;= W10, H5 &lt;= X10), Z10, 0)) &lt; 1,
    "Surcharge Check",
    (IF(WEEKDAY(H5, 2) &lt;= 5, AC2, AD2) +
    IF(AND(H5 &gt;= W3, H5 &lt;= X3), Z3, 0) +
    IF(AND(H5 &gt;= W4, H5 &lt;= X4), Z4, 0) +
    IF(AND(H5 &gt;= W5, H5 &lt;= X5), Z5, 0) +
    IF(AND(H5 &gt;= W6, H5 &lt;= X6), Z6, 0) +
    IF(AND(H5 &gt;= W7, H5 &lt;= X7), Z7, 0) +
    IF(AND(H5 &gt;= W8, H5 &lt;= X8), Z8, 0) +
    IF(AND(H5 &gt;= W9, H5 &lt;= X9), Z9, 0) +
    IF(AND(H5 &gt;= W10, H5 &lt;= X10), Z10, 0))
)</f>
        <v>190</v>
      </c>
      <c r="M5" s="140">
        <f>$I$1+$K$1</f>
        <v>4</v>
      </c>
      <c r="N5" s="106">
        <f>L5*M5</f>
        <v>760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  <c r="Z5">
        <v>-2000</v>
      </c>
      <c r="AB5" s="494" t="s">
        <v>918</v>
      </c>
      <c r="AC5" s="10">
        <v>180</v>
      </c>
      <c r="AD5" s="10">
        <v>180</v>
      </c>
    </row>
    <row r="6" spans="1:30" ht="17.25" customHeight="1" thickBot="1">
      <c r="B6" s="77" t="s">
        <v>243</v>
      </c>
      <c r="C6" s="83">
        <f>(SUM(O10:O43)+O2)/C4+R2+T6</f>
        <v>1136.175</v>
      </c>
      <c r="D6" s="86" t="s">
        <v>254</v>
      </c>
      <c r="E6" s="94">
        <f>C6*$E$1</f>
        <v>1249792.5</v>
      </c>
      <c r="F6" s="72"/>
      <c r="G6" s="922"/>
      <c r="H6" s="925">
        <f>H5+1</f>
        <v>45736</v>
      </c>
      <c r="I6" s="926"/>
      <c r="J6" s="935" t="str">
        <f>J2</f>
        <v>Momentus</v>
      </c>
      <c r="K6" s="935"/>
      <c r="L6" s="136">
        <f>IF(
    (IF(WEEKDAY(H6, 2) &lt;= 5, AC2, AD2) +
    IF(AND(H6 &gt;= W3, H6 &lt;= X3), Z3, 0) +
    IF(AND(H6 &gt;= W4, H6 &lt;= X4), Z4, 0) +
    IF(AND(H6 &gt;= W5, H6 &lt;= X5), Z5, 0) +
    IF(AND(H6 &gt;= W6, H6 &lt;= X6), Z6, 0) +
    IF(AND(H6 &gt;= W7, H6 &lt;= X7), Z7, 0) +
    IF(AND(H6 &gt;= W8, H6 &lt;= X8), Z8, 0) +
    IF(AND(H6 &gt;= W9, H6 &lt;= X9), Z9, 0) +
    IF(AND(H6 &gt;= W10, H6 &lt;= X10), Z10, 0)) &lt; 1,
    "Surcharge Check",
    (IF(WEEKDAY(H6, 2) &lt;= 5, AC2, AD2) +
    IF(AND(H6 &gt;= W3, H6 &lt;= X3), Z3, 0) +
    IF(AND(H6 &gt;= W4, H6 &lt;= X4), Z4, 0) +
    IF(AND(H6 &gt;= W5, H6 &lt;= X5), Z5, 0) +
    IF(AND(H6 &gt;= W6, H6 &lt;= X6), Z6, 0) +
    IF(AND(H6 &gt;= W7, H6 &lt;= X7), Z7, 0) +
    IF(AND(H6 &gt;= W8, H6 &lt;= X8), Z8, 0) +
    IF(AND(H6 &gt;= W9, H6 &lt;= X9), Z9, 0) +
    IF(AND(H6 &gt;= W10, H6 &lt;= X10), Z10, 0))
)</f>
        <v>190</v>
      </c>
      <c r="M6" s="89">
        <f>$I$1+$K$1</f>
        <v>4</v>
      </c>
      <c r="N6" s="107">
        <f>L6*M6</f>
        <v>760</v>
      </c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  <c r="Z6">
        <v>-2000</v>
      </c>
      <c r="AB6" s="494" t="s">
        <v>925</v>
      </c>
      <c r="AC6" s="10">
        <v>195</v>
      </c>
      <c r="AD6" s="10">
        <v>195</v>
      </c>
    </row>
    <row r="7" spans="1:30" ht="18" thickBot="1">
      <c r="B7" s="78" t="s">
        <v>244</v>
      </c>
      <c r="C7" s="183">
        <v>5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  <c r="Z7">
        <v>-2000</v>
      </c>
      <c r="AB7" s="494" t="s">
        <v>924</v>
      </c>
      <c r="AC7" s="10">
        <v>210</v>
      </c>
      <c r="AD7" s="10">
        <v>210</v>
      </c>
    </row>
    <row r="8" spans="1:30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262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  <c r="Z8">
        <v>-2000</v>
      </c>
      <c r="AB8" s="494" t="s">
        <v>920</v>
      </c>
      <c r="AC8" s="10">
        <v>230</v>
      </c>
      <c r="AD8" s="10">
        <v>230</v>
      </c>
    </row>
    <row r="9" spans="1:30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  <c r="Z9">
        <v>-2000</v>
      </c>
      <c r="AB9" s="494" t="s">
        <v>927</v>
      </c>
      <c r="AC9" s="10">
        <v>225</v>
      </c>
      <c r="AD9" s="10">
        <v>225</v>
      </c>
    </row>
    <row r="10" spans="1:30">
      <c r="B10" s="905" t="str">
        <f>TEXT(C5,"m월 d일 aaaa")</f>
        <v>3월 16일 일요일</v>
      </c>
      <c r="C10" s="867" t="s">
        <v>947</v>
      </c>
      <c r="D10" s="916"/>
      <c r="E10" s="499">
        <f>상품리스트!F43</f>
        <v>0.97569444444444442</v>
      </c>
      <c r="F10" s="72"/>
      <c r="G10" s="98"/>
      <c r="H10" s="109"/>
      <c r="I10" s="119"/>
      <c r="J10" s="109"/>
      <c r="K10" s="128">
        <f>IF(C4+E4&lt;8,'가이드&amp;차량'!C43, IF(C4+E4&lt;=14,'가이드&amp;차량'!C35,'가이드&amp;차량'!C19))</f>
        <v>200</v>
      </c>
      <c r="L10" s="90">
        <v>1</v>
      </c>
      <c r="M10" s="128">
        <f>'가이드&amp;차량'!C3</f>
        <v>150</v>
      </c>
      <c r="N10" s="90">
        <v>1</v>
      </c>
      <c r="O10" s="143">
        <f>(G10*H10)+(I10*J10)+(K10*L10)+(M10*N10)</f>
        <v>350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  <c r="Z10">
        <v>-2000</v>
      </c>
      <c r="AB10" s="494" t="s">
        <v>930</v>
      </c>
      <c r="AC10" s="10">
        <v>220</v>
      </c>
      <c r="AD10" s="10">
        <v>220</v>
      </c>
    </row>
    <row r="11" spans="1:30">
      <c r="B11" s="865"/>
      <c r="C11" s="882" t="s">
        <v>276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33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  <c r="AB11" s="495" t="s">
        <v>919</v>
      </c>
      <c r="AC11" s="10">
        <v>230</v>
      </c>
      <c r="AD11" s="10">
        <v>230</v>
      </c>
    </row>
    <row r="12" spans="1:30" ht="18" thickBot="1">
      <c r="B12" s="906"/>
      <c r="C12" s="917" t="s">
        <v>247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  <c r="AB12" s="495" t="s">
        <v>929</v>
      </c>
      <c r="AC12" s="10">
        <v>240</v>
      </c>
      <c r="AD12" s="10">
        <v>240</v>
      </c>
    </row>
    <row r="13" spans="1:30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f>IF(C4+E4&lt;8,'가이드&amp;차량'!C47, IF(C4+E4&lt;=14,'가이드&amp;차량'!C39,'가이드&amp;차량'!C23))</f>
        <v>530</v>
      </c>
      <c r="L13" s="90">
        <f>L10</f>
        <v>1</v>
      </c>
      <c r="M13" s="128">
        <f>'가이드&amp;차량'!C6</f>
        <v>375</v>
      </c>
      <c r="N13" s="90">
        <f>N10</f>
        <v>1</v>
      </c>
      <c r="O13" s="143">
        <f t="shared" si="0"/>
        <v>905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  <c r="AB13" s="495" t="s">
        <v>921</v>
      </c>
      <c r="AC13" s="10">
        <v>240</v>
      </c>
      <c r="AD13" s="10">
        <v>240</v>
      </c>
    </row>
    <row r="14" spans="1:30">
      <c r="B14" s="865"/>
      <c r="C14" s="907" t="s">
        <v>1075</v>
      </c>
      <c r="D14" s="900"/>
      <c r="E14" s="901"/>
      <c r="F14" s="72"/>
      <c r="G14" s="102"/>
      <c r="H14" s="115"/>
      <c r="I14" s="120"/>
      <c r="J14" s="110"/>
      <c r="K14" s="123"/>
      <c r="L14" s="91"/>
      <c r="M14" s="123"/>
      <c r="N14" s="91"/>
      <c r="O14" s="144">
        <f t="shared" si="0"/>
        <v>0</v>
      </c>
      <c r="Q14" s="7"/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  <c r="AB14" s="496" t="s">
        <v>932</v>
      </c>
      <c r="AC14" s="10">
        <v>170</v>
      </c>
      <c r="AD14" s="10">
        <v>170</v>
      </c>
    </row>
    <row r="15" spans="1:30">
      <c r="B15" s="865"/>
      <c r="C15" s="876" t="s">
        <v>1076</v>
      </c>
      <c r="D15" s="877"/>
      <c r="E15" s="878"/>
      <c r="F15" s="72"/>
      <c r="G15" s="99"/>
      <c r="H15" s="110"/>
      <c r="I15" s="122">
        <f>식사!E27</f>
        <v>45</v>
      </c>
      <c r="J15" s="115">
        <f>$C$4+$E$4</f>
        <v>8</v>
      </c>
      <c r="K15" s="120"/>
      <c r="L15" s="91"/>
      <c r="M15" s="120"/>
      <c r="N15" s="91"/>
      <c r="O15" s="144">
        <f t="shared" si="0"/>
        <v>360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  <c r="AB15" s="496" t="s">
        <v>922</v>
      </c>
      <c r="AC15" s="10">
        <v>185</v>
      </c>
      <c r="AD15" s="10">
        <v>185</v>
      </c>
    </row>
    <row r="16" spans="1:30">
      <c r="B16" s="865"/>
      <c r="C16" s="879" t="str">
        <f>일정!$C$27</f>
        <v>가든스바이더베이 2돔 ( 쥬랴기 )</v>
      </c>
      <c r="D16" s="891"/>
      <c r="E16" s="892"/>
      <c r="F16" s="72"/>
      <c r="G16" s="103">
        <f>일정!$E$27</f>
        <v>28.3</v>
      </c>
      <c r="H16" s="115">
        <f>$C$4+$E$4</f>
        <v>8</v>
      </c>
      <c r="I16" s="123"/>
      <c r="J16" s="110"/>
      <c r="K16" s="123"/>
      <c r="L16" s="91"/>
      <c r="M16" s="123"/>
      <c r="N16" s="91"/>
      <c r="O16" s="144">
        <f t="shared" si="0"/>
        <v>226.4</v>
      </c>
      <c r="AB16" s="496" t="s">
        <v>726</v>
      </c>
      <c r="AC16" s="10">
        <v>185</v>
      </c>
      <c r="AD16" s="10">
        <v>185</v>
      </c>
    </row>
    <row r="17" spans="2:30">
      <c r="B17" s="865"/>
      <c r="C17" s="876" t="s">
        <v>651</v>
      </c>
      <c r="D17" s="877"/>
      <c r="E17" s="878"/>
      <c r="F17" s="72"/>
      <c r="G17" s="99"/>
      <c r="H17" s="110"/>
      <c r="I17" s="122">
        <f>식사!E21</f>
        <v>18</v>
      </c>
      <c r="J17" s="115">
        <f>$C$4+$E$4</f>
        <v>8</v>
      </c>
      <c r="K17" s="120"/>
      <c r="L17" s="91"/>
      <c r="M17" s="120"/>
      <c r="N17" s="91"/>
      <c r="O17" s="144">
        <f t="shared" si="0"/>
        <v>144</v>
      </c>
      <c r="Q17" s="7"/>
      <c r="AB17" s="496" t="s">
        <v>931</v>
      </c>
      <c r="AC17" s="10">
        <v>155</v>
      </c>
      <c r="AD17" s="10">
        <v>155</v>
      </c>
    </row>
    <row r="18" spans="2:30">
      <c r="B18" s="865"/>
      <c r="C18" s="941" t="s">
        <v>325</v>
      </c>
      <c r="D18" s="911"/>
      <c r="E18" s="912"/>
      <c r="F18" s="72"/>
      <c r="G18" s="205"/>
      <c r="H18" s="115"/>
      <c r="I18" s="102"/>
      <c r="J18" s="115"/>
      <c r="K18" s="120"/>
      <c r="L18" s="91"/>
      <c r="M18" s="120"/>
      <c r="N18" s="91"/>
      <c r="O18" s="144">
        <f t="shared" si="0"/>
        <v>0</v>
      </c>
      <c r="Q18" s="7"/>
      <c r="AB18" s="496" t="s">
        <v>923</v>
      </c>
      <c r="AC18" s="10">
        <v>185</v>
      </c>
      <c r="AD18" s="10">
        <v>185</v>
      </c>
    </row>
    <row r="19" spans="2:30" ht="18" thickBot="1">
      <c r="B19" s="906"/>
      <c r="C19" s="893" t="s">
        <v>1005</v>
      </c>
      <c r="D19" s="894"/>
      <c r="E19" s="895"/>
      <c r="F19" s="72"/>
      <c r="G19" s="102"/>
      <c r="H19" s="115"/>
      <c r="I19" s="123"/>
      <c r="J19" s="110"/>
      <c r="K19" s="123"/>
      <c r="L19" s="91"/>
      <c r="M19" s="123"/>
      <c r="N19" s="91"/>
      <c r="O19" s="144">
        <f t="shared" si="0"/>
        <v>0</v>
      </c>
      <c r="Q19" s="7"/>
      <c r="AB19" s="497" t="s">
        <v>928</v>
      </c>
      <c r="AC19" s="10">
        <v>280</v>
      </c>
      <c r="AD19" s="10">
        <v>280</v>
      </c>
    </row>
    <row r="20" spans="2:30">
      <c r="B20" s="864" t="str">
        <f>TEXT(C5+2,"m월 d일 aaaa")</f>
        <v>3월 18일 화요일</v>
      </c>
      <c r="C20" s="896" t="s">
        <v>240</v>
      </c>
      <c r="D20" s="897"/>
      <c r="E20" s="898"/>
      <c r="F20" s="72"/>
      <c r="G20" s="98"/>
      <c r="H20" s="109"/>
      <c r="I20" s="119"/>
      <c r="J20" s="109"/>
      <c r="K20" s="128">
        <f>IF(C4+E4&lt;8,'가이드&amp;차량'!C47, IF(C4+E4&lt;=14,'가이드&amp;차량'!C39,'가이드&amp;차량'!C23))</f>
        <v>530</v>
      </c>
      <c r="L20" s="90">
        <f>L10</f>
        <v>1</v>
      </c>
      <c r="M20" s="128">
        <f>'가이드&amp;차량'!C6</f>
        <v>375</v>
      </c>
      <c r="N20" s="90">
        <f>N10</f>
        <v>1</v>
      </c>
      <c r="O20" s="143">
        <f t="shared" si="0"/>
        <v>905</v>
      </c>
      <c r="Q20" s="159" t="s">
        <v>277</v>
      </c>
      <c r="AB20" s="497" t="s">
        <v>442</v>
      </c>
      <c r="AC20" s="10">
        <v>366</v>
      </c>
      <c r="AD20" s="10">
        <v>366</v>
      </c>
    </row>
    <row r="21" spans="2:30">
      <c r="B21" s="888"/>
      <c r="C21" s="899" t="s">
        <v>622</v>
      </c>
      <c r="D21" s="900"/>
      <c r="E21" s="901"/>
      <c r="F21" s="72"/>
      <c r="G21" s="103">
        <f>일정!E38</f>
        <v>23.5</v>
      </c>
      <c r="H21" s="115">
        <f>$C$4+$E$4</f>
        <v>8</v>
      </c>
      <c r="I21" s="123"/>
      <c r="J21" s="110"/>
      <c r="K21" s="123"/>
      <c r="L21" s="91"/>
      <c r="M21" s="123"/>
      <c r="N21" s="91"/>
      <c r="O21" s="144">
        <f t="shared" si="0"/>
        <v>188</v>
      </c>
      <c r="Q21" s="7"/>
    </row>
    <row r="22" spans="2:30">
      <c r="B22" s="888"/>
      <c r="C22" s="902" t="s">
        <v>912</v>
      </c>
      <c r="D22" s="903"/>
      <c r="E22" s="904"/>
      <c r="F22" s="72"/>
      <c r="G22" s="99"/>
      <c r="H22" s="110"/>
      <c r="I22" s="122">
        <f>식사!E7</f>
        <v>18</v>
      </c>
      <c r="J22" s="115">
        <f>$C$4+$E$4</f>
        <v>8</v>
      </c>
      <c r="K22" s="123"/>
      <c r="L22" s="91"/>
      <c r="M22" s="102"/>
      <c r="N22" s="91"/>
      <c r="O22" s="146">
        <f t="shared" si="0"/>
        <v>144</v>
      </c>
      <c r="Q22" s="7"/>
    </row>
    <row r="23" spans="2:30">
      <c r="B23" s="888"/>
      <c r="C23" s="882" t="s">
        <v>1077</v>
      </c>
      <c r="D23" s="883"/>
      <c r="E23" s="884"/>
      <c r="F23" s="72"/>
      <c r="G23" s="102"/>
      <c r="H23" s="115"/>
      <c r="I23" s="102"/>
      <c r="J23" s="115"/>
      <c r="K23" s="123"/>
      <c r="L23" s="91"/>
      <c r="M23" s="102"/>
      <c r="N23" s="91"/>
      <c r="O23" s="146">
        <f t="shared" si="0"/>
        <v>0</v>
      </c>
      <c r="Q23" s="7"/>
    </row>
    <row r="24" spans="2:30">
      <c r="B24" s="888"/>
      <c r="C24" s="907" t="s">
        <v>553</v>
      </c>
      <c r="D24" s="908"/>
      <c r="E24" s="909"/>
      <c r="F24" s="72"/>
      <c r="G24" s="102"/>
      <c r="H24" s="115"/>
      <c r="I24" s="102"/>
      <c r="J24" s="115"/>
      <c r="K24" s="123"/>
      <c r="L24" s="91"/>
      <c r="M24" s="102"/>
      <c r="N24" s="91"/>
      <c r="O24" s="146">
        <f t="shared" si="0"/>
        <v>0</v>
      </c>
      <c r="Q24" s="7"/>
    </row>
    <row r="25" spans="2:30">
      <c r="B25" s="888"/>
      <c r="C25" s="902" t="s">
        <v>1060</v>
      </c>
      <c r="D25" s="903"/>
      <c r="E25" s="904"/>
      <c r="F25" s="72"/>
      <c r="G25" s="99"/>
      <c r="H25" s="110"/>
      <c r="I25" s="122">
        <f>식사!E20</f>
        <v>20</v>
      </c>
      <c r="J25" s="115">
        <f>$C$4+$E$4</f>
        <v>8</v>
      </c>
      <c r="K25" s="123"/>
      <c r="L25" s="91"/>
      <c r="M25" s="123"/>
      <c r="N25" s="91"/>
      <c r="O25" s="146">
        <f t="shared" si="0"/>
        <v>160</v>
      </c>
      <c r="Q25" s="7"/>
    </row>
    <row r="26" spans="2:30">
      <c r="B26" s="889"/>
      <c r="C26" s="907" t="s">
        <v>1078</v>
      </c>
      <c r="D26" s="908"/>
      <c r="E26" s="909"/>
      <c r="F26" s="72"/>
      <c r="G26" s="104"/>
      <c r="H26" s="314"/>
      <c r="I26" s="161"/>
      <c r="J26" s="138"/>
      <c r="K26" s="161"/>
      <c r="L26" s="138"/>
      <c r="M26" s="161"/>
      <c r="N26" s="138"/>
      <c r="O26" s="162">
        <f t="shared" si="0"/>
        <v>0</v>
      </c>
      <c r="Q26" s="7"/>
    </row>
    <row r="27" spans="2:30" ht="18" thickBot="1">
      <c r="B27" s="866"/>
      <c r="C27" s="917" t="s">
        <v>248</v>
      </c>
      <c r="D27" s="918"/>
      <c r="E27" s="919"/>
      <c r="F27" s="72"/>
      <c r="G27" s="100"/>
      <c r="H27" s="111"/>
      <c r="I27" s="124"/>
      <c r="J27" s="126"/>
      <c r="K27" s="129"/>
      <c r="L27" s="137"/>
      <c r="M27" s="124"/>
      <c r="N27" s="137"/>
      <c r="O27" s="147">
        <f t="shared" si="0"/>
        <v>0</v>
      </c>
      <c r="Q27" s="7"/>
    </row>
    <row r="28" spans="2:30">
      <c r="B28" s="864" t="str">
        <f>TEXT(C5+3,"m월 d일 aaaa")</f>
        <v>3월 19일 수요일</v>
      </c>
      <c r="C28" s="896" t="s">
        <v>330</v>
      </c>
      <c r="D28" s="897"/>
      <c r="E28" s="898"/>
      <c r="F28" s="72"/>
      <c r="G28" s="98"/>
      <c r="H28" s="109"/>
      <c r="I28" s="119"/>
      <c r="J28" s="109"/>
      <c r="K28" s="128">
        <f>IF(C4+E4&lt;8,'가이드&amp;차량'!C47, IF(C4+E4&lt;=14,'가이드&amp;차량'!C39,'가이드&amp;차량'!C23))</f>
        <v>530</v>
      </c>
      <c r="L28" s="90">
        <f>L10</f>
        <v>1</v>
      </c>
      <c r="M28" s="128">
        <f>'가이드&amp;차량'!C6+'가이드&amp;차량'!C3</f>
        <v>525</v>
      </c>
      <c r="N28" s="90">
        <f>N10</f>
        <v>1</v>
      </c>
      <c r="O28" s="143">
        <f t="shared" si="0"/>
        <v>1055</v>
      </c>
      <c r="Q28" s="159" t="s">
        <v>278</v>
      </c>
    </row>
    <row r="29" spans="2:30">
      <c r="B29" s="888"/>
      <c r="C29" s="882" t="s">
        <v>883</v>
      </c>
      <c r="D29" s="883"/>
      <c r="E29" s="884"/>
      <c r="F29" s="72"/>
      <c r="G29" s="166"/>
      <c r="H29" s="115"/>
      <c r="I29" s="123"/>
      <c r="J29" s="110"/>
      <c r="K29" s="123"/>
      <c r="L29" s="91"/>
      <c r="M29" s="123"/>
      <c r="N29" s="91"/>
      <c r="O29" s="144">
        <f t="shared" si="0"/>
        <v>0</v>
      </c>
    </row>
    <row r="30" spans="2:30">
      <c r="B30" s="888"/>
      <c r="C30" s="876" t="s">
        <v>1079</v>
      </c>
      <c r="D30" s="877"/>
      <c r="E30" s="878"/>
      <c r="F30" s="72"/>
      <c r="G30" s="99"/>
      <c r="H30" s="110"/>
      <c r="I30" s="122">
        <f>식사!E13</f>
        <v>20</v>
      </c>
      <c r="J30" s="115">
        <f>$C$4+$E$4</f>
        <v>8</v>
      </c>
      <c r="K30" s="120"/>
      <c r="L30" s="91"/>
      <c r="M30" s="120"/>
      <c r="N30" s="91"/>
      <c r="O30" s="144">
        <f t="shared" si="0"/>
        <v>160</v>
      </c>
    </row>
    <row r="31" spans="2:30">
      <c r="B31" s="888"/>
      <c r="C31" s="899" t="s">
        <v>885</v>
      </c>
      <c r="D31" s="900"/>
      <c r="E31" s="901"/>
      <c r="F31" s="72"/>
      <c r="G31" s="103">
        <f>일정!E10+일정!E20</f>
        <v>53.5</v>
      </c>
      <c r="H31" s="115">
        <f>$C$4+$E$4</f>
        <v>8</v>
      </c>
      <c r="I31" s="123"/>
      <c r="J31" s="110"/>
      <c r="K31" s="123"/>
      <c r="L31" s="91"/>
      <c r="M31" s="123"/>
      <c r="N31" s="91"/>
      <c r="O31" s="144">
        <f t="shared" si="0"/>
        <v>428</v>
      </c>
    </row>
    <row r="32" spans="2:30">
      <c r="B32" s="888"/>
      <c r="C32" s="902" t="s">
        <v>884</v>
      </c>
      <c r="D32" s="903"/>
      <c r="E32" s="904"/>
      <c r="F32" s="72"/>
      <c r="G32" s="104"/>
      <c r="H32" s="116"/>
      <c r="I32" s="122">
        <v>20</v>
      </c>
      <c r="J32" s="115">
        <f>$C$4+$E$4</f>
        <v>8</v>
      </c>
      <c r="K32" s="130"/>
      <c r="L32" s="138"/>
      <c r="M32" s="130"/>
      <c r="N32" s="138"/>
      <c r="O32" s="148">
        <f t="shared" si="0"/>
        <v>160</v>
      </c>
    </row>
    <row r="33" spans="2:21" ht="18" thickBot="1">
      <c r="B33" s="866"/>
      <c r="C33" s="870" t="s">
        <v>596</v>
      </c>
      <c r="D33" s="871"/>
      <c r="E33" s="500">
        <f>상품리스트!I43</f>
        <v>1.7361111111111112E-2</v>
      </c>
      <c r="F33" s="34"/>
      <c r="G33" s="105"/>
      <c r="H33" s="117"/>
      <c r="I33" s="124"/>
      <c r="J33" s="126"/>
      <c r="K33" s="131"/>
      <c r="L33" s="139"/>
      <c r="M33" s="131"/>
      <c r="N33" s="139"/>
      <c r="O33" s="149">
        <f t="shared" si="0"/>
        <v>0</v>
      </c>
      <c r="P33" s="34"/>
      <c r="Q33" s="34"/>
      <c r="R33" s="34"/>
      <c r="S33" s="34"/>
      <c r="T33" s="34"/>
      <c r="U33" s="34"/>
    </row>
    <row r="34" spans="2:21">
      <c r="B34" s="72"/>
      <c r="C34" s="72"/>
      <c r="D34" s="72"/>
      <c r="E34" s="72"/>
      <c r="F34" s="72"/>
      <c r="G34" s="72"/>
      <c r="H34" s="72"/>
      <c r="K34" s="132">
        <f>SUM(K10:K33)</f>
        <v>1790</v>
      </c>
      <c r="L34" s="72"/>
      <c r="M34" s="132">
        <f>SUM(M10:M33)</f>
        <v>1425</v>
      </c>
      <c r="N34" s="72"/>
      <c r="O34" s="150"/>
      <c r="P34" s="156"/>
    </row>
    <row r="35" spans="2:21" ht="18" thickBot="1">
      <c r="O35" s="150"/>
    </row>
    <row r="36" spans="2:21">
      <c r="B36" s="872" t="s">
        <v>246</v>
      </c>
      <c r="C36" s="873" t="s">
        <v>288</v>
      </c>
      <c r="D36" s="874"/>
      <c r="E36" s="875"/>
      <c r="F36" s="34"/>
      <c r="G36" s="862">
        <f>$C$4+$E$4</f>
        <v>8</v>
      </c>
      <c r="H36" s="863"/>
      <c r="I36" s="854">
        <v>3</v>
      </c>
      <c r="J36" s="854"/>
      <c r="K36" s="855">
        <v>1</v>
      </c>
      <c r="L36" s="855"/>
      <c r="M36" s="855"/>
      <c r="N36" s="855"/>
      <c r="O36" s="151">
        <f>G36*I36*K36</f>
        <v>24</v>
      </c>
    </row>
    <row r="37" spans="2:21" ht="18" thickBot="1">
      <c r="B37" s="827"/>
      <c r="C37" s="856" t="s">
        <v>451</v>
      </c>
      <c r="D37" s="857"/>
      <c r="E37" s="858"/>
      <c r="F37" s="34"/>
      <c r="G37" s="859">
        <v>50</v>
      </c>
      <c r="H37" s="860"/>
      <c r="I37" s="860"/>
      <c r="J37" s="860"/>
      <c r="K37" s="861">
        <f>C4</f>
        <v>8</v>
      </c>
      <c r="L37" s="861"/>
      <c r="M37" s="861"/>
      <c r="N37" s="861"/>
      <c r="O37" s="152">
        <f>G37*K37</f>
        <v>400</v>
      </c>
    </row>
    <row r="38" spans="2:21" ht="18" thickBot="1">
      <c r="O38" s="150"/>
    </row>
    <row r="39" spans="2:21" ht="16.5" customHeight="1">
      <c r="B39" s="961" t="s">
        <v>337</v>
      </c>
      <c r="C39" s="1021" t="s">
        <v>251</v>
      </c>
      <c r="D39" s="1022"/>
      <c r="E39" s="1023"/>
      <c r="F39" s="165"/>
      <c r="G39" s="967"/>
      <c r="H39" s="1024"/>
      <c r="I39" s="969">
        <f>일정!G24</f>
        <v>30</v>
      </c>
      <c r="J39" s="970"/>
      <c r="K39" s="1044">
        <f>C4</f>
        <v>8</v>
      </c>
      <c r="L39" s="1044"/>
      <c r="M39" s="1044"/>
      <c r="N39" s="1045"/>
      <c r="O39" s="153">
        <f>G39*I39*K39</f>
        <v>0</v>
      </c>
    </row>
    <row r="40" spans="2:21">
      <c r="B40" s="1019"/>
      <c r="C40" s="1025" t="s">
        <v>250</v>
      </c>
      <c r="D40" s="1026"/>
      <c r="E40" s="1027"/>
      <c r="F40" s="165"/>
      <c r="G40" s="977"/>
      <c r="H40" s="1028"/>
      <c r="I40" s="979">
        <f>일정!G30</f>
        <v>28</v>
      </c>
      <c r="J40" s="980"/>
      <c r="K40" s="1046">
        <f>C4</f>
        <v>8</v>
      </c>
      <c r="L40" s="1047"/>
      <c r="M40" s="1047"/>
      <c r="N40" s="1048"/>
      <c r="O40" s="154">
        <f>G40*I40*K40</f>
        <v>0</v>
      </c>
    </row>
    <row r="41" spans="2:21">
      <c r="B41" s="1019"/>
      <c r="C41" s="1025" t="s">
        <v>249</v>
      </c>
      <c r="D41" s="1026"/>
      <c r="E41" s="1027"/>
      <c r="F41" s="165"/>
      <c r="G41" s="977"/>
      <c r="H41" s="1028"/>
      <c r="I41" s="979">
        <f>일정!G35</f>
        <v>36</v>
      </c>
      <c r="J41" s="980"/>
      <c r="K41" s="1046">
        <f>C4</f>
        <v>8</v>
      </c>
      <c r="L41" s="1047"/>
      <c r="M41" s="1047"/>
      <c r="N41" s="1048"/>
      <c r="O41" s="154">
        <f>G41*I41*K41</f>
        <v>0</v>
      </c>
    </row>
    <row r="42" spans="2:21">
      <c r="B42" s="1019"/>
      <c r="C42" s="1025" t="s">
        <v>336</v>
      </c>
      <c r="D42" s="1026"/>
      <c r="E42" s="1027"/>
      <c r="F42" s="165"/>
      <c r="G42" s="977"/>
      <c r="H42" s="1028"/>
      <c r="I42" s="979">
        <f>일정!G13</f>
        <v>19</v>
      </c>
      <c r="J42" s="980"/>
      <c r="K42" s="1046">
        <f>C4</f>
        <v>8</v>
      </c>
      <c r="L42" s="1047"/>
      <c r="M42" s="1047"/>
      <c r="N42" s="1048"/>
      <c r="O42" s="154">
        <f>G42*I42*K42</f>
        <v>0</v>
      </c>
    </row>
    <row r="43" spans="2:21" ht="18" thickBot="1">
      <c r="B43" s="1020"/>
      <c r="C43" s="1030" t="s">
        <v>252</v>
      </c>
      <c r="D43" s="1031"/>
      <c r="E43" s="1032"/>
      <c r="F43" s="165"/>
      <c r="G43" s="989"/>
      <c r="H43" s="1033"/>
      <c r="I43" s="991">
        <f>일정!G29</f>
        <v>40</v>
      </c>
      <c r="J43" s="992"/>
      <c r="K43" s="1049">
        <f>C4</f>
        <v>8</v>
      </c>
      <c r="L43" s="1050"/>
      <c r="M43" s="1050"/>
      <c r="N43" s="1051"/>
      <c r="O43" s="215">
        <f>G43*I43*K43</f>
        <v>0</v>
      </c>
    </row>
  </sheetData>
  <mergeCells count="77">
    <mergeCell ref="C43:E43"/>
    <mergeCell ref="C42:E42"/>
    <mergeCell ref="G42:H42"/>
    <mergeCell ref="I42:J42"/>
    <mergeCell ref="K42:N42"/>
    <mergeCell ref="I43:J43"/>
    <mergeCell ref="K43:N43"/>
    <mergeCell ref="C27:E27"/>
    <mergeCell ref="C33:D33"/>
    <mergeCell ref="B39:B43"/>
    <mergeCell ref="C39:E39"/>
    <mergeCell ref="G39:H39"/>
    <mergeCell ref="C41:E41"/>
    <mergeCell ref="G43:H43"/>
    <mergeCell ref="G41:H41"/>
    <mergeCell ref="B20:B27"/>
    <mergeCell ref="B28:B33"/>
    <mergeCell ref="C28:E28"/>
    <mergeCell ref="C29:E29"/>
    <mergeCell ref="C30:E30"/>
    <mergeCell ref="C31:E31"/>
    <mergeCell ref="C32:E32"/>
    <mergeCell ref="C20:E20"/>
    <mergeCell ref="I41:J41"/>
    <mergeCell ref="K41:N41"/>
    <mergeCell ref="B36:B37"/>
    <mergeCell ref="C36:E36"/>
    <mergeCell ref="G36:H36"/>
    <mergeCell ref="I36:J36"/>
    <mergeCell ref="K36:N36"/>
    <mergeCell ref="C37:E37"/>
    <mergeCell ref="G37:J37"/>
    <mergeCell ref="K37:N37"/>
    <mergeCell ref="I39:J39"/>
    <mergeCell ref="K39:N39"/>
    <mergeCell ref="C40:E40"/>
    <mergeCell ref="G40:H40"/>
    <mergeCell ref="I40:J40"/>
    <mergeCell ref="K40:N40"/>
    <mergeCell ref="C26:E26"/>
    <mergeCell ref="B13:B19"/>
    <mergeCell ref="C13:E13"/>
    <mergeCell ref="C14:E14"/>
    <mergeCell ref="C15:E15"/>
    <mergeCell ref="C16:E16"/>
    <mergeCell ref="C17:E17"/>
    <mergeCell ref="C18:E18"/>
    <mergeCell ref="C19:E19"/>
    <mergeCell ref="C21:E21"/>
    <mergeCell ref="C22:E22"/>
    <mergeCell ref="C23:E23"/>
    <mergeCell ref="C24:E24"/>
    <mergeCell ref="C25:E25"/>
    <mergeCell ref="H7:K7"/>
    <mergeCell ref="M8:N8"/>
    <mergeCell ref="O8:O9"/>
    <mergeCell ref="B10:B12"/>
    <mergeCell ref="C11:E11"/>
    <mergeCell ref="C12:E12"/>
    <mergeCell ref="G8:H8"/>
    <mergeCell ref="I8:J8"/>
    <mergeCell ref="K8:L8"/>
    <mergeCell ref="C10:D10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29203913-8734-46AC-8D32-91D50BBFC4EB}"/>
  </hyperlink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0AFC1-A4BC-4CDE-9C49-9657594C7AA9}">
  <dimension ref="A1:Y45"/>
  <sheetViews>
    <sheetView workbookViewId="0"/>
  </sheetViews>
  <sheetFormatPr baseColWidth="10" defaultColWidth="8.83203125" defaultRowHeight="17"/>
  <cols>
    <col min="1" max="1" width="6.33203125" bestFit="1" customWidth="1"/>
    <col min="2" max="2" width="15.5" bestFit="1" customWidth="1"/>
    <col min="3" max="3" width="12.1640625" customWidth="1"/>
    <col min="4" max="4" width="15.6640625" bestFit="1" customWidth="1"/>
    <col min="5" max="5" width="15.5" customWidth="1"/>
    <col min="6" max="6" width="4.6640625" customWidth="1"/>
    <col min="7" max="15" width="7.6640625" customWidth="1"/>
    <col min="16" max="16" width="2.83203125" customWidth="1"/>
    <col min="18" max="18" width="3.33203125" customWidth="1"/>
    <col min="20" max="20" width="3.83203125" bestFit="1" customWidth="1"/>
    <col min="21" max="21" width="1.6640625" customWidth="1"/>
    <col min="22" max="22" width="17.6640625" bestFit="1" customWidth="1"/>
    <col min="23" max="24" width="8.6640625" bestFit="1" customWidth="1"/>
    <col min="25" max="25" width="20" bestFit="1" customWidth="1"/>
  </cols>
  <sheetData>
    <row r="1" spans="1:25" ht="17.25" customHeight="1" thickBot="1">
      <c r="A1" s="181" t="s">
        <v>297</v>
      </c>
      <c r="B1" s="72"/>
      <c r="C1" s="72"/>
      <c r="D1" s="72"/>
      <c r="E1" s="186">
        <f>'가이드&amp;차량'!B1</f>
        <v>1100</v>
      </c>
      <c r="F1" s="72"/>
      <c r="G1" s="920" t="s">
        <v>274</v>
      </c>
      <c r="H1" s="158" t="s">
        <v>272</v>
      </c>
      <c r="I1" s="118">
        <f>C4/2</f>
        <v>5</v>
      </c>
      <c r="J1" s="125" t="s">
        <v>273</v>
      </c>
      <c r="K1" s="127">
        <v>0</v>
      </c>
      <c r="L1" s="133" t="s">
        <v>258</v>
      </c>
      <c r="M1" s="80" t="s">
        <v>261</v>
      </c>
      <c r="N1" s="80" t="s">
        <v>263</v>
      </c>
      <c r="O1" s="142" t="s">
        <v>264</v>
      </c>
      <c r="P1" s="155"/>
      <c r="Q1" s="157"/>
      <c r="V1" s="160" t="s">
        <v>275</v>
      </c>
    </row>
    <row r="2" spans="1:25">
      <c r="B2" s="73" t="s">
        <v>238</v>
      </c>
      <c r="C2" s="923" t="s">
        <v>894</v>
      </c>
      <c r="D2" s="923"/>
      <c r="E2" s="924"/>
      <c r="F2" s="72"/>
      <c r="G2" s="921"/>
      <c r="H2" s="1083" t="str">
        <f>TEXT(C5,"m월 d일 aaaa")</f>
        <v>3월 16일 일요일</v>
      </c>
      <c r="I2" s="1084"/>
      <c r="J2" s="927" t="s">
        <v>892</v>
      </c>
      <c r="K2" s="928"/>
      <c r="L2" s="134">
        <v>100</v>
      </c>
      <c r="M2" s="140">
        <f>$I$1+$K$1</f>
        <v>5</v>
      </c>
      <c r="N2" s="106">
        <f>L2*M2</f>
        <v>500</v>
      </c>
      <c r="O2" s="929">
        <f>SUM(N2:N6)</f>
        <v>2475</v>
      </c>
      <c r="Q2" s="188" t="s">
        <v>303</v>
      </c>
      <c r="R2" s="188">
        <v>-40</v>
      </c>
      <c r="S2" s="188" t="s">
        <v>266</v>
      </c>
      <c r="T2" s="188">
        <v>-30</v>
      </c>
      <c r="U2" s="7"/>
      <c r="V2" s="188" t="s">
        <v>14</v>
      </c>
      <c r="W2" s="188" t="s">
        <v>15</v>
      </c>
      <c r="X2" s="188" t="s">
        <v>16</v>
      </c>
      <c r="Y2" s="188" t="s">
        <v>17</v>
      </c>
    </row>
    <row r="3" spans="1:25" ht="28">
      <c r="B3" s="74" t="s">
        <v>239</v>
      </c>
      <c r="C3" s="938" t="s">
        <v>895</v>
      </c>
      <c r="D3" s="938"/>
      <c r="E3" s="770"/>
      <c r="F3" s="72"/>
      <c r="G3" s="921"/>
      <c r="H3" s="1083" t="str">
        <f>TEXT(C5+1,"m월 d일 aaaa")</f>
        <v>3월 17일 월요일</v>
      </c>
      <c r="I3" s="1083"/>
      <c r="J3" s="927" t="s">
        <v>892</v>
      </c>
      <c r="K3" s="928"/>
      <c r="L3" s="134">
        <v>100</v>
      </c>
      <c r="M3" s="140">
        <f>$I$1+$K$1</f>
        <v>5</v>
      </c>
      <c r="N3" s="106">
        <f>L3*M3</f>
        <v>500</v>
      </c>
      <c r="O3" s="930"/>
      <c r="Q3" s="188" t="s">
        <v>299</v>
      </c>
      <c r="R3" s="188">
        <v>-30</v>
      </c>
      <c r="S3" s="188" t="s">
        <v>267</v>
      </c>
      <c r="T3" s="188">
        <v>-20</v>
      </c>
      <c r="U3" s="7"/>
      <c r="V3" s="190" t="str">
        <f>서차지!B3</f>
        <v>World Paralympic Swimming</v>
      </c>
      <c r="W3" s="189">
        <f>서차지!C3</f>
        <v>45921</v>
      </c>
      <c r="X3" s="189">
        <f>서차지!D3</f>
        <v>45562</v>
      </c>
      <c r="Y3" s="188" t="str">
        <f>서차지!E3</f>
        <v>21 – 27 September 2025</v>
      </c>
    </row>
    <row r="4" spans="1:25" ht="18" thickBot="1">
      <c r="B4" s="75" t="s">
        <v>241</v>
      </c>
      <c r="C4" s="81">
        <v>10</v>
      </c>
      <c r="D4" s="84" t="s">
        <v>253</v>
      </c>
      <c r="E4" s="92">
        <v>0</v>
      </c>
      <c r="F4" s="72"/>
      <c r="G4" s="921"/>
      <c r="H4" s="1083" t="str">
        <f>TEXT(C5+2,"m월 d일 aaaa")</f>
        <v>3월 18일 화요일</v>
      </c>
      <c r="I4" s="1084"/>
      <c r="J4" s="927" t="s">
        <v>893</v>
      </c>
      <c r="K4" s="928"/>
      <c r="L4" s="134">
        <v>115</v>
      </c>
      <c r="M4" s="141">
        <f>$I$1+$K$1</f>
        <v>5</v>
      </c>
      <c r="N4" s="106">
        <f>L4*M4</f>
        <v>575</v>
      </c>
      <c r="O4" s="930"/>
      <c r="Q4" s="188" t="s">
        <v>300</v>
      </c>
      <c r="R4" s="188">
        <v>-20</v>
      </c>
      <c r="S4" s="188" t="s">
        <v>268</v>
      </c>
      <c r="T4" s="188">
        <v>-10</v>
      </c>
      <c r="U4" s="7"/>
      <c r="V4" s="190" t="str">
        <f>서차지!B4</f>
        <v>Singapore Formula One (F1)</v>
      </c>
      <c r="W4" s="189">
        <f>서차지!C4</f>
        <v>45932</v>
      </c>
      <c r="X4" s="189">
        <f>서차지!D4</f>
        <v>45935</v>
      </c>
      <c r="Y4" s="188" t="str">
        <f>서차지!E4</f>
        <v>　02 Oct - 05 Oct, 2025</v>
      </c>
    </row>
    <row r="5" spans="1:25" ht="18" thickBot="1">
      <c r="B5" s="76" t="s">
        <v>242</v>
      </c>
      <c r="C5" s="82">
        <v>45732</v>
      </c>
      <c r="D5" s="85">
        <v>4</v>
      </c>
      <c r="E5" s="93">
        <f>C5+D5</f>
        <v>45736</v>
      </c>
      <c r="F5" s="72"/>
      <c r="G5" s="921"/>
      <c r="H5" s="1083" t="str">
        <f>TEXT(C5+3,"m월 d일 aaaa")</f>
        <v>3월 19일 수요일</v>
      </c>
      <c r="I5" s="1083"/>
      <c r="J5" s="927" t="s">
        <v>878</v>
      </c>
      <c r="K5" s="928"/>
      <c r="L5" s="134">
        <v>180</v>
      </c>
      <c r="M5" s="140">
        <f>$I$1+$K$1</f>
        <v>5</v>
      </c>
      <c r="N5" s="106">
        <f>L5*M5</f>
        <v>900</v>
      </c>
      <c r="O5" s="930"/>
      <c r="Q5" s="188" t="s">
        <v>301</v>
      </c>
      <c r="R5" s="188">
        <v>0</v>
      </c>
      <c r="S5" s="188" t="s">
        <v>269</v>
      </c>
      <c r="T5" s="188">
        <v>0</v>
      </c>
      <c r="U5" s="7"/>
      <c r="V5" s="190" t="str">
        <f>서차지!B5</f>
        <v>ITB Asia</v>
      </c>
      <c r="W5" s="189">
        <f>서차지!C5</f>
        <v>45944</v>
      </c>
      <c r="X5" s="189">
        <f>서차지!D5</f>
        <v>45947</v>
      </c>
      <c r="Y5" s="188" t="str">
        <f>서차지!E5</f>
        <v>23 - 25 October 2025</v>
      </c>
    </row>
    <row r="6" spans="1:25" ht="17.25" customHeight="1" thickBot="1">
      <c r="B6" s="77" t="s">
        <v>243</v>
      </c>
      <c r="C6" s="83">
        <f>(SUM(O10:O45)+O2)/C4+R6+T6</f>
        <v>1181.0999999999999</v>
      </c>
      <c r="D6" s="86" t="s">
        <v>254</v>
      </c>
      <c r="E6" s="94">
        <f>C6*$E$1</f>
        <v>1299210</v>
      </c>
      <c r="F6" s="72"/>
      <c r="G6" s="922"/>
      <c r="H6" s="1085" t="str">
        <f>TEXT(C5+4,"m월 d일 aaaa")</f>
        <v>3월 20일 목요일</v>
      </c>
      <c r="I6" s="1086"/>
      <c r="J6" s="935"/>
      <c r="K6" s="935"/>
      <c r="L6" s="136">
        <v>0</v>
      </c>
      <c r="M6" s="89">
        <f>$I$1+$K$1</f>
        <v>5</v>
      </c>
      <c r="N6" s="107">
        <f>L6*M6</f>
        <v>0</v>
      </c>
      <c r="O6" s="931"/>
      <c r="Q6" s="188" t="s">
        <v>302</v>
      </c>
      <c r="R6" s="188">
        <v>5</v>
      </c>
      <c r="S6" s="188" t="s">
        <v>270</v>
      </c>
      <c r="T6" s="188">
        <v>5</v>
      </c>
      <c r="U6" s="7"/>
      <c r="V6" s="190" t="str">
        <f>서차지!B6</f>
        <v>FHA-HoReCa</v>
      </c>
      <c r="W6" s="189">
        <f>서차지!C6</f>
        <v>45950</v>
      </c>
      <c r="X6" s="189">
        <f>서차지!D6</f>
        <v>45953</v>
      </c>
      <c r="Y6" s="188">
        <f>서차지!E6</f>
        <v>0</v>
      </c>
    </row>
    <row r="7" spans="1:25" ht="18" thickBot="1">
      <c r="B7" s="78" t="s">
        <v>244</v>
      </c>
      <c r="C7" s="183">
        <v>0</v>
      </c>
      <c r="D7" s="87" t="s">
        <v>255</v>
      </c>
      <c r="E7" s="95">
        <v>0</v>
      </c>
      <c r="F7" s="72"/>
      <c r="G7" s="45"/>
      <c r="H7" s="913"/>
      <c r="I7" s="913"/>
      <c r="J7" s="913"/>
      <c r="K7" s="913"/>
      <c r="L7" s="72"/>
      <c r="M7" s="34"/>
      <c r="N7" s="34"/>
      <c r="O7" s="34"/>
      <c r="R7" s="72"/>
      <c r="V7" s="190" t="str">
        <f>서차지!B7</f>
        <v>FinTech 2025</v>
      </c>
      <c r="W7" s="189">
        <f>서차지!C7</f>
        <v>45972</v>
      </c>
      <c r="X7" s="189">
        <f>서차지!D7</f>
        <v>45974</v>
      </c>
      <c r="Y7" s="188">
        <f>서차지!E7</f>
        <v>0</v>
      </c>
    </row>
    <row r="8" spans="1:25" ht="18" thickBot="1">
      <c r="B8" s="72"/>
      <c r="C8" s="72"/>
      <c r="D8" s="72"/>
      <c r="E8" s="72"/>
      <c r="F8" s="72"/>
      <c r="G8" s="806" t="s">
        <v>257</v>
      </c>
      <c r="H8" s="766"/>
      <c r="I8" s="806" t="s">
        <v>259</v>
      </c>
      <c r="J8" s="766"/>
      <c r="K8" s="806" t="s">
        <v>260</v>
      </c>
      <c r="L8" s="766"/>
      <c r="M8" s="806" t="s">
        <v>897</v>
      </c>
      <c r="N8" s="766"/>
      <c r="O8" s="914" t="s">
        <v>265</v>
      </c>
      <c r="R8" s="72"/>
      <c r="V8" s="190" t="str">
        <f>서차지!B8</f>
        <v>Christmas Day</v>
      </c>
      <c r="W8" s="189">
        <f>서차지!C8</f>
        <v>46015</v>
      </c>
      <c r="X8" s="189">
        <f>서차지!D8</f>
        <v>46016</v>
      </c>
      <c r="Y8" s="188">
        <f>서차지!E8</f>
        <v>0</v>
      </c>
    </row>
    <row r="9" spans="1:25" ht="18" thickBot="1">
      <c r="B9" s="79" t="s">
        <v>245</v>
      </c>
      <c r="C9" s="184">
        <f>E1</f>
        <v>1100</v>
      </c>
      <c r="D9" s="88" t="s">
        <v>256</v>
      </c>
      <c r="E9" s="96">
        <v>3.5</v>
      </c>
      <c r="F9" s="72"/>
      <c r="G9" s="97" t="s">
        <v>258</v>
      </c>
      <c r="H9" s="108" t="s">
        <v>225</v>
      </c>
      <c r="I9" s="97" t="s">
        <v>258</v>
      </c>
      <c r="J9" s="108" t="s">
        <v>225</v>
      </c>
      <c r="K9" s="97" t="s">
        <v>258</v>
      </c>
      <c r="L9" s="108" t="s">
        <v>225</v>
      </c>
      <c r="M9" s="97" t="s">
        <v>258</v>
      </c>
      <c r="N9" s="108" t="s">
        <v>225</v>
      </c>
      <c r="O9" s="915"/>
      <c r="R9" s="72"/>
      <c r="V9" s="190" t="str">
        <f>서차지!B9</f>
        <v>Year End</v>
      </c>
      <c r="W9" s="189">
        <f>서차지!C9</f>
        <v>46021</v>
      </c>
      <c r="X9" s="189">
        <f>서차지!D9</f>
        <v>46023</v>
      </c>
      <c r="Y9" s="188">
        <f>서차지!E9</f>
        <v>0</v>
      </c>
    </row>
    <row r="10" spans="1:25">
      <c r="B10" s="905" t="str">
        <f>TEXT(C5,"m월 d일 aaaa")</f>
        <v>3월 16일 일요일</v>
      </c>
      <c r="C10" s="896" t="s">
        <v>896</v>
      </c>
      <c r="D10" s="897"/>
      <c r="E10" s="898"/>
      <c r="F10" s="72"/>
      <c r="G10" s="98"/>
      <c r="H10" s="109"/>
      <c r="I10" s="119"/>
      <c r="J10" s="109"/>
      <c r="K10" s="128">
        <v>280</v>
      </c>
      <c r="L10" s="90">
        <v>1</v>
      </c>
      <c r="M10" s="128">
        <v>220</v>
      </c>
      <c r="N10" s="90">
        <v>1</v>
      </c>
      <c r="O10" s="143">
        <f>(G10*H10)+(I10*J10)+(K10*L10)+(M10*N10)</f>
        <v>500</v>
      </c>
      <c r="R10" s="72"/>
      <c r="V10" s="190" t="str">
        <f>서차지!B10</f>
        <v>Year End</v>
      </c>
      <c r="W10" s="189">
        <f>서차지!C10</f>
        <v>46022</v>
      </c>
      <c r="X10" s="189">
        <f>서차지!D10</f>
        <v>46022</v>
      </c>
      <c r="Y10" s="188">
        <f>서차지!E10</f>
        <v>0</v>
      </c>
    </row>
    <row r="11" spans="1:25">
      <c r="B11" s="865"/>
      <c r="C11" s="882" t="s">
        <v>898</v>
      </c>
      <c r="D11" s="883"/>
      <c r="E11" s="884"/>
      <c r="F11" s="72"/>
      <c r="G11" s="99"/>
      <c r="H11" s="110"/>
      <c r="I11" s="120"/>
      <c r="J11" s="110"/>
      <c r="K11" s="120"/>
      <c r="L11" s="91"/>
      <c r="M11" s="120"/>
      <c r="N11" s="91"/>
      <c r="O11" s="144">
        <f t="shared" ref="O11:O41" si="0">(G11*H11)+(I11*J11)+(K11*L11)+(M11*N11)</f>
        <v>0</v>
      </c>
      <c r="R11" s="72"/>
      <c r="V11" s="190" t="str">
        <f>서차지!B11</f>
        <v>Singapore Airshow 2026</v>
      </c>
      <c r="W11" s="189">
        <f>서차지!C11</f>
        <v>46056</v>
      </c>
      <c r="X11" s="189">
        <f>서차지!D11</f>
        <v>46059</v>
      </c>
      <c r="Y11" s="188" t="str">
        <f>서차지!E11</f>
        <v>3 - 6 Feb 2026</v>
      </c>
    </row>
    <row r="12" spans="1:25" ht="18" thickBot="1">
      <c r="B12" s="906"/>
      <c r="C12" s="917" t="s">
        <v>899</v>
      </c>
      <c r="D12" s="918"/>
      <c r="E12" s="919"/>
      <c r="F12" s="72"/>
      <c r="G12" s="100"/>
      <c r="H12" s="111"/>
      <c r="I12" s="121"/>
      <c r="J12" s="111"/>
      <c r="K12" s="121"/>
      <c r="L12" s="137"/>
      <c r="M12" s="121"/>
      <c r="N12" s="137"/>
      <c r="O12" s="145">
        <f t="shared" si="0"/>
        <v>0</v>
      </c>
      <c r="V12" s="190" t="str">
        <f>서차지!B12</f>
        <v>Chinese New Year</v>
      </c>
      <c r="W12" s="189">
        <f>서차지!C12</f>
        <v>46069</v>
      </c>
      <c r="X12" s="189">
        <f>서차지!D12</f>
        <v>46077</v>
      </c>
      <c r="Y12" s="188" t="str">
        <f>서차지!E12</f>
        <v>16 - 24 Feb 2026</v>
      </c>
    </row>
    <row r="13" spans="1:25">
      <c r="B13" s="905" t="str">
        <f>TEXT(C5+1,"m월 d일 aaaa")</f>
        <v>3월 17일 월요일</v>
      </c>
      <c r="C13" s="896" t="s">
        <v>282</v>
      </c>
      <c r="D13" s="897"/>
      <c r="E13" s="898"/>
      <c r="F13" s="72"/>
      <c r="G13" s="98"/>
      <c r="H13" s="112"/>
      <c r="I13" s="119"/>
      <c r="J13" s="109"/>
      <c r="K13" s="128">
        <v>430</v>
      </c>
      <c r="L13" s="90">
        <f>L10</f>
        <v>1</v>
      </c>
      <c r="M13" s="128">
        <v>260</v>
      </c>
      <c r="N13" s="90">
        <f>N10</f>
        <v>1</v>
      </c>
      <c r="O13" s="143">
        <f t="shared" si="0"/>
        <v>690</v>
      </c>
      <c r="Q13" s="159" t="s">
        <v>277</v>
      </c>
      <c r="V13" s="190" t="str">
        <f>서차지!B13</f>
        <v xml:space="preserve">Food &amp; Hotel Beverage </v>
      </c>
      <c r="W13" s="189">
        <f>서차지!C13</f>
        <v>0</v>
      </c>
      <c r="X13" s="189">
        <f>서차지!D13</f>
        <v>0</v>
      </c>
      <c r="Y13" s="188">
        <f>서차지!E13</f>
        <v>0</v>
      </c>
    </row>
    <row r="14" spans="1:25">
      <c r="B14" s="865"/>
      <c r="C14" s="907" t="s">
        <v>900</v>
      </c>
      <c r="D14" s="900"/>
      <c r="E14" s="901"/>
      <c r="F14" s="72"/>
      <c r="G14" s="101">
        <v>560</v>
      </c>
      <c r="H14" s="492">
        <v>1</v>
      </c>
      <c r="I14" s="120"/>
      <c r="J14" s="110"/>
      <c r="K14" s="123"/>
      <c r="L14" s="91"/>
      <c r="M14" s="123"/>
      <c r="N14" s="91"/>
      <c r="O14" s="144">
        <f t="shared" si="0"/>
        <v>560</v>
      </c>
      <c r="Q14" s="7"/>
      <c r="V14" s="190" t="str">
        <f>서차지!B14</f>
        <v>CommunicAsia</v>
      </c>
      <c r="W14" s="189">
        <f>서차지!C14</f>
        <v>0</v>
      </c>
      <c r="X14" s="189">
        <f>서차지!D14</f>
        <v>0</v>
      </c>
      <c r="Y14" s="188">
        <f>서차지!E14</f>
        <v>0</v>
      </c>
    </row>
    <row r="15" spans="1:25">
      <c r="B15" s="865"/>
      <c r="C15" s="876" t="s">
        <v>901</v>
      </c>
      <c r="D15" s="877"/>
      <c r="E15" s="878"/>
      <c r="F15" s="72"/>
      <c r="G15" s="99"/>
      <c r="H15" s="110"/>
      <c r="I15" s="122">
        <v>18</v>
      </c>
      <c r="J15" s="115">
        <f>$C$4+$E$4</f>
        <v>10</v>
      </c>
      <c r="K15" s="120"/>
      <c r="L15" s="91"/>
      <c r="M15" s="120"/>
      <c r="N15" s="91"/>
      <c r="O15" s="144">
        <f t="shared" si="0"/>
        <v>180</v>
      </c>
      <c r="Q15" s="7"/>
      <c r="V15" s="190" t="str">
        <f>서차지!B15</f>
        <v>National Day</v>
      </c>
      <c r="W15" s="189">
        <f>서차지!C15</f>
        <v>0</v>
      </c>
      <c r="X15" s="189">
        <f>서차지!D15</f>
        <v>0</v>
      </c>
      <c r="Y15" s="188">
        <f>서차지!E15</f>
        <v>0</v>
      </c>
    </row>
    <row r="16" spans="1:25">
      <c r="B16" s="865"/>
      <c r="C16" s="890" t="s">
        <v>902</v>
      </c>
      <c r="D16" s="891"/>
      <c r="E16" s="892"/>
      <c r="F16" s="72"/>
      <c r="G16" s="102"/>
      <c r="H16" s="115"/>
      <c r="I16" s="123"/>
      <c r="J16" s="110"/>
      <c r="K16" s="123"/>
      <c r="L16" s="91"/>
      <c r="M16" s="123"/>
      <c r="N16" s="91"/>
      <c r="O16" s="144">
        <f t="shared" si="0"/>
        <v>0</v>
      </c>
      <c r="Q16" s="7"/>
    </row>
    <row r="17" spans="2:17">
      <c r="B17" s="865"/>
      <c r="C17" s="876" t="s">
        <v>905</v>
      </c>
      <c r="D17" s="877"/>
      <c r="E17" s="878"/>
      <c r="F17" s="72"/>
      <c r="G17" s="123"/>
      <c r="H17" s="110"/>
      <c r="I17" s="122">
        <v>16</v>
      </c>
      <c r="J17" s="115">
        <f>$C$4+$E$4</f>
        <v>10</v>
      </c>
      <c r="K17" s="120"/>
      <c r="L17" s="91"/>
      <c r="M17" s="120"/>
      <c r="N17" s="91"/>
      <c r="O17" s="144">
        <f t="shared" si="0"/>
        <v>160</v>
      </c>
      <c r="Q17" s="7"/>
    </row>
    <row r="18" spans="2:17" ht="18" thickBot="1">
      <c r="B18" s="906"/>
      <c r="C18" s="893" t="s">
        <v>648</v>
      </c>
      <c r="D18" s="894"/>
      <c r="E18" s="895"/>
      <c r="F18" s="72"/>
      <c r="G18" s="102"/>
      <c r="H18" s="115"/>
      <c r="I18" s="123"/>
      <c r="J18" s="110"/>
      <c r="K18" s="123"/>
      <c r="L18" s="91"/>
      <c r="M18" s="123"/>
      <c r="N18" s="91"/>
      <c r="O18" s="144">
        <f t="shared" si="0"/>
        <v>0</v>
      </c>
      <c r="Q18" s="7"/>
    </row>
    <row r="19" spans="2:17">
      <c r="B19" s="864" t="str">
        <f>TEXT(C5+2,"m월 d일 aaaa")</f>
        <v>3월 18일 화요일</v>
      </c>
      <c r="C19" s="896" t="s">
        <v>240</v>
      </c>
      <c r="D19" s="897"/>
      <c r="E19" s="898"/>
      <c r="F19" s="72"/>
      <c r="G19" s="353"/>
      <c r="H19" s="109"/>
      <c r="I19" s="119"/>
      <c r="J19" s="109"/>
      <c r="K19" s="128">
        <v>430</v>
      </c>
      <c r="L19" s="90">
        <v>1</v>
      </c>
      <c r="M19" s="128">
        <v>260</v>
      </c>
      <c r="N19" s="90">
        <v>1</v>
      </c>
      <c r="O19" s="143">
        <f t="shared" si="0"/>
        <v>690</v>
      </c>
      <c r="Q19" s="159" t="s">
        <v>277</v>
      </c>
    </row>
    <row r="20" spans="2:17">
      <c r="B20" s="888"/>
      <c r="C20" s="907" t="s">
        <v>903</v>
      </c>
      <c r="D20" s="900"/>
      <c r="E20" s="901"/>
      <c r="F20" s="72"/>
      <c r="G20" s="102"/>
      <c r="H20" s="115"/>
      <c r="I20" s="123"/>
      <c r="J20" s="110"/>
      <c r="K20" s="123"/>
      <c r="L20" s="91"/>
      <c r="M20" s="123"/>
      <c r="N20" s="91"/>
      <c r="O20" s="144">
        <f t="shared" si="0"/>
        <v>0</v>
      </c>
      <c r="Q20" s="7"/>
    </row>
    <row r="21" spans="2:17">
      <c r="B21" s="888"/>
      <c r="C21" s="907" t="s">
        <v>904</v>
      </c>
      <c r="D21" s="900"/>
      <c r="E21" s="901"/>
      <c r="F21" s="72"/>
      <c r="G21" s="101">
        <v>560</v>
      </c>
      <c r="H21" s="492">
        <v>1</v>
      </c>
      <c r="I21" s="123"/>
      <c r="J21" s="110"/>
      <c r="K21" s="123"/>
      <c r="L21" s="91"/>
      <c r="M21" s="123"/>
      <c r="N21" s="91"/>
      <c r="O21" s="144">
        <f t="shared" si="0"/>
        <v>560</v>
      </c>
      <c r="Q21" s="7"/>
    </row>
    <row r="22" spans="2:17">
      <c r="B22" s="888"/>
      <c r="C22" s="876" t="s">
        <v>906</v>
      </c>
      <c r="D22" s="877"/>
      <c r="E22" s="878"/>
      <c r="F22" s="72"/>
      <c r="G22" s="123"/>
      <c r="H22" s="110"/>
      <c r="I22" s="122">
        <v>16</v>
      </c>
      <c r="J22" s="115">
        <f>$C$4+$E$4</f>
        <v>10</v>
      </c>
      <c r="K22" s="123"/>
      <c r="L22" s="91"/>
      <c r="M22" s="102"/>
      <c r="N22" s="91"/>
      <c r="O22" s="144">
        <f t="shared" si="0"/>
        <v>160</v>
      </c>
      <c r="Q22" s="7"/>
    </row>
    <row r="23" spans="2:17">
      <c r="B23" s="888"/>
      <c r="C23" s="907" t="s">
        <v>908</v>
      </c>
      <c r="D23" s="900"/>
      <c r="E23" s="901"/>
      <c r="F23" s="72"/>
      <c r="G23" s="102"/>
      <c r="H23" s="115"/>
      <c r="I23" s="102"/>
      <c r="J23" s="115"/>
      <c r="K23" s="123"/>
      <c r="L23" s="91"/>
      <c r="M23" s="102"/>
      <c r="N23" s="91"/>
      <c r="O23" s="146">
        <f t="shared" si="0"/>
        <v>0</v>
      </c>
      <c r="Q23" s="7"/>
    </row>
    <row r="24" spans="2:17">
      <c r="B24" s="888"/>
      <c r="C24" s="876" t="s">
        <v>907</v>
      </c>
      <c r="D24" s="877"/>
      <c r="E24" s="878"/>
      <c r="F24" s="72"/>
      <c r="G24" s="123"/>
      <c r="H24" s="110"/>
      <c r="I24" s="122">
        <v>18</v>
      </c>
      <c r="J24" s="115">
        <f>$C$4+$E$4</f>
        <v>10</v>
      </c>
      <c r="K24" s="123"/>
      <c r="L24" s="91"/>
      <c r="M24" s="123"/>
      <c r="N24" s="91"/>
      <c r="O24" s="146">
        <f t="shared" si="0"/>
        <v>180</v>
      </c>
      <c r="Q24" s="7"/>
    </row>
    <row r="25" spans="2:17" ht="18" thickBot="1">
      <c r="B25" s="866"/>
      <c r="C25" s="917" t="s">
        <v>899</v>
      </c>
      <c r="D25" s="918"/>
      <c r="E25" s="919"/>
      <c r="F25" s="72"/>
      <c r="G25" s="129"/>
      <c r="H25" s="111"/>
      <c r="I25" s="124"/>
      <c r="J25" s="126"/>
      <c r="K25" s="129"/>
      <c r="L25" s="137"/>
      <c r="M25" s="124"/>
      <c r="N25" s="137"/>
      <c r="O25" s="147">
        <f t="shared" si="0"/>
        <v>0</v>
      </c>
      <c r="Q25" s="7"/>
    </row>
    <row r="26" spans="2:17">
      <c r="B26" s="864" t="str">
        <f>TEXT(C5+3,"m월 d일 aaaa")</f>
        <v>3월 19일 수요일</v>
      </c>
      <c r="C26" s="896" t="s">
        <v>240</v>
      </c>
      <c r="D26" s="897"/>
      <c r="E26" s="898"/>
      <c r="F26" s="72"/>
      <c r="G26" s="353"/>
      <c r="H26" s="109"/>
      <c r="I26" s="119"/>
      <c r="J26" s="109"/>
      <c r="K26" s="128">
        <v>1000</v>
      </c>
      <c r="L26" s="90">
        <f>L10</f>
        <v>1</v>
      </c>
      <c r="M26" s="128">
        <v>320</v>
      </c>
      <c r="N26" s="90">
        <f>N10</f>
        <v>1</v>
      </c>
      <c r="O26" s="143">
        <f t="shared" si="0"/>
        <v>1320</v>
      </c>
      <c r="Q26" s="159" t="s">
        <v>278</v>
      </c>
    </row>
    <row r="27" spans="2:17">
      <c r="B27" s="888"/>
      <c r="C27" s="907" t="s">
        <v>909</v>
      </c>
      <c r="D27" s="900"/>
      <c r="E27" s="901"/>
      <c r="F27" s="72"/>
      <c r="G27" s="123"/>
      <c r="H27" s="110"/>
      <c r="I27" s="123"/>
      <c r="J27" s="110"/>
      <c r="K27" s="123"/>
      <c r="L27" s="91"/>
      <c r="M27" s="123"/>
      <c r="N27" s="91"/>
      <c r="O27" s="144">
        <f t="shared" si="0"/>
        <v>0</v>
      </c>
      <c r="Q27" s="7"/>
    </row>
    <row r="28" spans="2:17">
      <c r="B28" s="888"/>
      <c r="C28" s="876" t="s">
        <v>906</v>
      </c>
      <c r="D28" s="877"/>
      <c r="E28" s="878"/>
      <c r="F28" s="72"/>
      <c r="G28" s="123"/>
      <c r="H28" s="110"/>
      <c r="I28" s="122">
        <v>18</v>
      </c>
      <c r="J28" s="115">
        <f>$C$4+$E$4</f>
        <v>10</v>
      </c>
      <c r="K28" s="123"/>
      <c r="L28" s="91"/>
      <c r="M28" s="102"/>
      <c r="N28" s="91"/>
      <c r="O28" s="146">
        <f t="shared" si="0"/>
        <v>180</v>
      </c>
      <c r="Q28" s="7"/>
    </row>
    <row r="29" spans="2:17">
      <c r="B29" s="888"/>
      <c r="C29" s="907" t="s">
        <v>910</v>
      </c>
      <c r="D29" s="908"/>
      <c r="E29" s="909"/>
      <c r="F29" s="72"/>
      <c r="G29" s="123"/>
      <c r="H29" s="110"/>
      <c r="I29" s="102"/>
      <c r="J29" s="115"/>
      <c r="K29" s="123"/>
      <c r="L29" s="91"/>
      <c r="M29" s="102">
        <v>320</v>
      </c>
      <c r="N29" s="91">
        <v>1</v>
      </c>
      <c r="O29" s="146">
        <f t="shared" si="0"/>
        <v>320</v>
      </c>
      <c r="Q29" s="7"/>
    </row>
    <row r="30" spans="2:17">
      <c r="B30" s="888"/>
      <c r="C30" s="907" t="s">
        <v>687</v>
      </c>
      <c r="D30" s="908"/>
      <c r="E30" s="909"/>
      <c r="F30" s="72"/>
      <c r="G30" s="123"/>
      <c r="H30" s="110"/>
      <c r="I30" s="102"/>
      <c r="J30" s="115"/>
      <c r="K30" s="123"/>
      <c r="L30" s="91"/>
      <c r="M30" s="102"/>
      <c r="N30" s="91"/>
      <c r="O30" s="146">
        <f t="shared" si="0"/>
        <v>0</v>
      </c>
      <c r="Q30" s="7"/>
    </row>
    <row r="31" spans="2:17">
      <c r="B31" s="888"/>
      <c r="C31" s="879" t="str">
        <f>일정!$C$27</f>
        <v>가든스바이더베이 2돔 ( 쥬랴기 )</v>
      </c>
      <c r="D31" s="891"/>
      <c r="E31" s="892"/>
      <c r="F31" s="72"/>
      <c r="G31" s="103">
        <f>일정!$E$27</f>
        <v>28.3</v>
      </c>
      <c r="H31" s="115">
        <f>$C$4+$E$4</f>
        <v>10</v>
      </c>
      <c r="I31" s="102"/>
      <c r="J31" s="115"/>
      <c r="K31" s="123"/>
      <c r="L31" s="91"/>
      <c r="M31" s="102"/>
      <c r="N31" s="91"/>
      <c r="O31" s="146">
        <f t="shared" si="0"/>
        <v>283</v>
      </c>
      <c r="Q31" s="7"/>
    </row>
    <row r="32" spans="2:17">
      <c r="B32" s="888"/>
      <c r="C32" s="876" t="s">
        <v>651</v>
      </c>
      <c r="D32" s="877"/>
      <c r="E32" s="878"/>
      <c r="F32" s="72"/>
      <c r="G32" s="123"/>
      <c r="H32" s="110"/>
      <c r="I32" s="122">
        <v>17</v>
      </c>
      <c r="J32" s="115">
        <f>$C$4+$E$4</f>
        <v>10</v>
      </c>
      <c r="K32" s="123"/>
      <c r="L32" s="91"/>
      <c r="M32" s="123"/>
      <c r="N32" s="91"/>
      <c r="O32" s="146">
        <f t="shared" si="0"/>
        <v>170</v>
      </c>
      <c r="Q32" s="7"/>
    </row>
    <row r="33" spans="1:21">
      <c r="B33" s="888"/>
      <c r="C33" s="941" t="s">
        <v>325</v>
      </c>
      <c r="D33" s="911"/>
      <c r="E33" s="912"/>
      <c r="F33" s="72"/>
      <c r="G33" s="123"/>
      <c r="H33" s="110"/>
      <c r="I33" s="102"/>
      <c r="J33" s="115"/>
      <c r="K33" s="123"/>
      <c r="L33" s="91"/>
      <c r="M33" s="102"/>
      <c r="N33" s="91"/>
      <c r="O33" s="146">
        <f t="shared" si="0"/>
        <v>0</v>
      </c>
      <c r="Q33" s="7"/>
    </row>
    <row r="34" spans="1:21" ht="18" thickBot="1">
      <c r="B34" s="866"/>
      <c r="C34" s="917" t="s">
        <v>899</v>
      </c>
      <c r="D34" s="918"/>
      <c r="E34" s="919"/>
      <c r="F34" s="72"/>
      <c r="G34" s="129"/>
      <c r="H34" s="111"/>
      <c r="I34" s="124"/>
      <c r="J34" s="126"/>
      <c r="K34" s="129"/>
      <c r="L34" s="137"/>
      <c r="M34" s="124"/>
      <c r="N34" s="137"/>
      <c r="O34" s="147">
        <f t="shared" si="0"/>
        <v>0</v>
      </c>
      <c r="Q34" s="7"/>
    </row>
    <row r="35" spans="1:21">
      <c r="B35" s="864" t="str">
        <f>TEXT(C5+4,"m월 d일 aaaa")</f>
        <v>3월 20일 목요일</v>
      </c>
      <c r="C35" s="896" t="s">
        <v>282</v>
      </c>
      <c r="D35" s="897"/>
      <c r="E35" s="898"/>
      <c r="F35" s="72"/>
      <c r="G35" s="353"/>
      <c r="H35" s="109"/>
      <c r="I35" s="119"/>
      <c r="J35" s="109"/>
      <c r="K35" s="128">
        <v>530</v>
      </c>
      <c r="L35" s="90">
        <f>L10</f>
        <v>1</v>
      </c>
      <c r="M35" s="128">
        <f>'가이드&amp;차량'!C6+'가이드&amp;차량'!C3</f>
        <v>525</v>
      </c>
      <c r="N35" s="90">
        <f>N10</f>
        <v>1</v>
      </c>
      <c r="O35" s="143">
        <f t="shared" si="0"/>
        <v>1055</v>
      </c>
      <c r="Q35" s="159" t="s">
        <v>278</v>
      </c>
    </row>
    <row r="36" spans="1:21">
      <c r="B36" s="944"/>
      <c r="C36" s="907" t="s">
        <v>911</v>
      </c>
      <c r="D36" s="908"/>
      <c r="E36" s="909"/>
      <c r="F36" s="72"/>
      <c r="G36" s="101">
        <v>800</v>
      </c>
      <c r="H36" s="492">
        <v>1</v>
      </c>
      <c r="I36" s="342"/>
      <c r="J36" s="343"/>
      <c r="K36" s="344"/>
      <c r="L36" s="345"/>
      <c r="M36" s="344"/>
      <c r="N36" s="345"/>
      <c r="O36" s="144">
        <f t="shared" si="0"/>
        <v>800</v>
      </c>
      <c r="Q36" s="159"/>
    </row>
    <row r="37" spans="1:21">
      <c r="B37" s="888"/>
      <c r="C37" s="902" t="s">
        <v>912</v>
      </c>
      <c r="D37" s="903"/>
      <c r="E37" s="904"/>
      <c r="F37" s="72"/>
      <c r="G37" s="123"/>
      <c r="H37" s="110"/>
      <c r="I37" s="122">
        <f>식사!E20</f>
        <v>20</v>
      </c>
      <c r="J37" s="115">
        <f>$C$4+$E$4</f>
        <v>10</v>
      </c>
      <c r="K37" s="120"/>
      <c r="L37" s="91"/>
      <c r="M37" s="120"/>
      <c r="N37" s="91"/>
      <c r="O37" s="144">
        <f t="shared" si="0"/>
        <v>200</v>
      </c>
    </row>
    <row r="38" spans="1:21">
      <c r="B38" s="888"/>
      <c r="C38" s="899" t="s">
        <v>913</v>
      </c>
      <c r="D38" s="883"/>
      <c r="E38" s="884"/>
      <c r="F38" s="72"/>
      <c r="G38" s="101">
        <f>일정!E10+일정!E19</f>
        <v>44.8</v>
      </c>
      <c r="H38" s="115">
        <f>$C$4+$E$4</f>
        <v>10</v>
      </c>
      <c r="I38" s="123"/>
      <c r="J38" s="110"/>
      <c r="K38" s="123"/>
      <c r="L38" s="91"/>
      <c r="M38" s="123"/>
      <c r="N38" s="91"/>
      <c r="O38" s="144">
        <f t="shared" si="0"/>
        <v>448</v>
      </c>
    </row>
    <row r="39" spans="1:21">
      <c r="B39" s="888"/>
      <c r="C39" s="902" t="s">
        <v>298</v>
      </c>
      <c r="D39" s="903"/>
      <c r="E39" s="904"/>
      <c r="F39" s="72"/>
      <c r="G39" s="104"/>
      <c r="H39" s="116"/>
      <c r="I39" s="122">
        <f>식사!E3</f>
        <v>25</v>
      </c>
      <c r="J39" s="115">
        <f>$C$4+$E$4</f>
        <v>10</v>
      </c>
      <c r="K39" s="130"/>
      <c r="L39" s="138"/>
      <c r="M39" s="130"/>
      <c r="N39" s="138"/>
      <c r="O39" s="148">
        <f t="shared" si="0"/>
        <v>250</v>
      </c>
    </row>
    <row r="40" spans="1:21">
      <c r="A40" t="s">
        <v>915</v>
      </c>
      <c r="B40" s="889"/>
      <c r="C40" s="899" t="s">
        <v>250</v>
      </c>
      <c r="D40" s="883"/>
      <c r="E40" s="884"/>
      <c r="F40" s="72"/>
      <c r="G40" s="101">
        <v>28</v>
      </c>
      <c r="H40" s="115">
        <f>C7+E7</f>
        <v>0</v>
      </c>
      <c r="I40" s="123"/>
      <c r="J40" s="110"/>
      <c r="K40" s="123"/>
      <c r="L40" s="91"/>
      <c r="M40" s="123"/>
      <c r="N40" s="91"/>
      <c r="O40" s="144">
        <f>(G40*H40)+(I40*J40)+(K40*L40)+(M40*N40)</f>
        <v>0</v>
      </c>
    </row>
    <row r="41" spans="1:21" ht="18" thickBot="1">
      <c r="B41" s="866"/>
      <c r="C41" s="1067" t="s">
        <v>914</v>
      </c>
      <c r="D41" s="935"/>
      <c r="E41" s="1068"/>
      <c r="F41" s="34"/>
      <c r="G41" s="105"/>
      <c r="H41" s="117"/>
      <c r="I41" s="124"/>
      <c r="J41" s="126"/>
      <c r="K41" s="131"/>
      <c r="L41" s="139"/>
      <c r="M41" s="131"/>
      <c r="N41" s="139"/>
      <c r="O41" s="149">
        <f t="shared" si="0"/>
        <v>0</v>
      </c>
      <c r="P41" s="34"/>
      <c r="Q41" s="34"/>
      <c r="R41" s="34"/>
      <c r="S41" s="34"/>
      <c r="T41" s="34"/>
      <c r="U41" s="34"/>
    </row>
    <row r="42" spans="1:21">
      <c r="B42" s="72"/>
      <c r="C42" s="72"/>
      <c r="D42" s="72"/>
      <c r="E42" s="72"/>
      <c r="F42" s="72"/>
      <c r="G42" s="72"/>
      <c r="H42" s="72"/>
      <c r="K42" s="132">
        <f>SUM(K10:K41)</f>
        <v>2670</v>
      </c>
      <c r="L42" s="72"/>
      <c r="M42" s="132">
        <f>SUM(M10:M41)</f>
        <v>1905</v>
      </c>
      <c r="N42" s="72"/>
      <c r="O42" s="150"/>
      <c r="P42" s="156"/>
    </row>
    <row r="43" spans="1:21" ht="18" thickBot="1">
      <c r="O43" s="150"/>
    </row>
    <row r="44" spans="1:21">
      <c r="B44" s="993" t="s">
        <v>246</v>
      </c>
      <c r="C44" s="995" t="s">
        <v>288</v>
      </c>
      <c r="D44" s="996"/>
      <c r="E44" s="997"/>
      <c r="F44" s="34"/>
      <c r="G44" s="998">
        <f>$C$4+$E$4</f>
        <v>10</v>
      </c>
      <c r="H44" s="999"/>
      <c r="I44" s="1000">
        <v>3</v>
      </c>
      <c r="J44" s="1001"/>
      <c r="K44" s="1002">
        <v>1</v>
      </c>
      <c r="L44" s="1003"/>
      <c r="M44" s="1003"/>
      <c r="N44" s="830"/>
      <c r="O44" s="151">
        <f>G44*I44*K44</f>
        <v>30</v>
      </c>
    </row>
    <row r="45" spans="1:21" ht="18" thickBot="1">
      <c r="B45" s="994"/>
      <c r="C45" s="1004" t="s">
        <v>451</v>
      </c>
      <c r="D45" s="1005"/>
      <c r="E45" s="1006"/>
      <c r="F45" s="34"/>
      <c r="G45" s="1007">
        <v>50</v>
      </c>
      <c r="H45" s="1008"/>
      <c r="I45" s="1008"/>
      <c r="J45" s="1009"/>
      <c r="K45" s="1010">
        <f>C4</f>
        <v>10</v>
      </c>
      <c r="L45" s="1011"/>
      <c r="M45" s="1011"/>
      <c r="N45" s="1012"/>
      <c r="O45" s="152">
        <f>G45*K45</f>
        <v>500</v>
      </c>
    </row>
  </sheetData>
  <mergeCells count="65">
    <mergeCell ref="B44:B45"/>
    <mergeCell ref="C44:E44"/>
    <mergeCell ref="G44:H44"/>
    <mergeCell ref="I44:J44"/>
    <mergeCell ref="K44:N44"/>
    <mergeCell ref="C45:E45"/>
    <mergeCell ref="G45:J45"/>
    <mergeCell ref="K45:N45"/>
    <mergeCell ref="B35:B41"/>
    <mergeCell ref="C35:E35"/>
    <mergeCell ref="C37:E37"/>
    <mergeCell ref="C38:E38"/>
    <mergeCell ref="C39:E39"/>
    <mergeCell ref="C41:E41"/>
    <mergeCell ref="C36:E36"/>
    <mergeCell ref="C40:E40"/>
    <mergeCell ref="B26:B34"/>
    <mergeCell ref="C26:E26"/>
    <mergeCell ref="C27:E27"/>
    <mergeCell ref="C28:E28"/>
    <mergeCell ref="C29:E29"/>
    <mergeCell ref="C32:E32"/>
    <mergeCell ref="C33:E33"/>
    <mergeCell ref="C34:E34"/>
    <mergeCell ref="C30:E30"/>
    <mergeCell ref="C31:E31"/>
    <mergeCell ref="B19:B25"/>
    <mergeCell ref="C19:E19"/>
    <mergeCell ref="C20:E20"/>
    <mergeCell ref="C22:E22"/>
    <mergeCell ref="C23:E23"/>
    <mergeCell ref="C24:E24"/>
    <mergeCell ref="C25:E25"/>
    <mergeCell ref="C21:E21"/>
    <mergeCell ref="B13:B18"/>
    <mergeCell ref="C13:E13"/>
    <mergeCell ref="C14:E14"/>
    <mergeCell ref="C15:E15"/>
    <mergeCell ref="C16:E16"/>
    <mergeCell ref="C17:E17"/>
    <mergeCell ref="C18:E18"/>
    <mergeCell ref="H7:K7"/>
    <mergeCell ref="M8:N8"/>
    <mergeCell ref="O8:O9"/>
    <mergeCell ref="B10:B12"/>
    <mergeCell ref="C10:E10"/>
    <mergeCell ref="C11:E11"/>
    <mergeCell ref="C12:E12"/>
    <mergeCell ref="G8:H8"/>
    <mergeCell ref="I8:J8"/>
    <mergeCell ref="K8:L8"/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</mergeCells>
  <phoneticPr fontId="1" type="noConversion"/>
  <hyperlinks>
    <hyperlink ref="A1" location="상품리스트!A1" display="home" xr:uid="{5000E159-BE08-4104-A45D-025AB1E964F4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CAA5C-1810-4D55-89AE-8E5D4ACB67B0}">
  <dimension ref="A1:U44"/>
  <sheetViews>
    <sheetView topLeftCell="A9" zoomScaleNormal="100" zoomScaleSheetLayoutView="100" workbookViewId="0">
      <selection activeCell="C38" sqref="C38:E38"/>
    </sheetView>
  </sheetViews>
  <sheetFormatPr baseColWidth="10" defaultColWidth="9" defaultRowHeight="17"/>
  <cols>
    <col min="1" max="1" width="6.33203125" style="589" bestFit="1" customWidth="1"/>
    <col min="2" max="2" width="15.5" style="589" bestFit="1" customWidth="1"/>
    <col min="3" max="3" width="12.1640625" style="589" customWidth="1"/>
    <col min="4" max="4" width="15.6640625" style="589" bestFit="1" customWidth="1"/>
    <col min="5" max="5" width="17.1640625" style="589" customWidth="1"/>
    <col min="6" max="6" width="4.6640625" style="589" customWidth="1"/>
    <col min="7" max="9" width="7.6640625" style="589" customWidth="1"/>
    <col min="10" max="10" width="9.83203125" style="589" customWidth="1"/>
    <col min="11" max="15" width="7.6640625" style="589" customWidth="1"/>
    <col min="16" max="16" width="2.83203125" style="589" customWidth="1"/>
    <col min="17" max="17" width="9" style="589"/>
    <col min="18" max="18" width="3.33203125" style="589" customWidth="1"/>
    <col min="19" max="19" width="9" style="589"/>
    <col min="20" max="20" width="3.83203125" style="589" bestFit="1" customWidth="1"/>
    <col min="21" max="21" width="1.6640625" style="589" customWidth="1"/>
    <col min="22" max="16384" width="9" style="589"/>
  </cols>
  <sheetData>
    <row r="1" spans="1:21" ht="17.25" customHeight="1" thickBot="1">
      <c r="A1" s="578" t="s">
        <v>1249</v>
      </c>
      <c r="B1" s="579"/>
      <c r="C1" s="579"/>
      <c r="D1" s="579"/>
      <c r="E1" s="580">
        <v>1080</v>
      </c>
      <c r="F1" s="579"/>
      <c r="G1" s="1233" t="s">
        <v>1250</v>
      </c>
      <c r="H1" s="581" t="s">
        <v>1251</v>
      </c>
      <c r="I1" s="582">
        <v>5</v>
      </c>
      <c r="J1" s="583" t="s">
        <v>1252</v>
      </c>
      <c r="K1" s="582"/>
      <c r="L1" s="584" t="s">
        <v>1253</v>
      </c>
      <c r="M1" s="585" t="s">
        <v>1254</v>
      </c>
      <c r="N1" s="585" t="s">
        <v>1255</v>
      </c>
      <c r="O1" s="586" t="s">
        <v>1256</v>
      </c>
      <c r="P1" s="587"/>
      <c r="Q1" s="588"/>
    </row>
    <row r="2" spans="1:21">
      <c r="B2" s="590" t="s">
        <v>238</v>
      </c>
      <c r="C2" s="1236" t="s">
        <v>1257</v>
      </c>
      <c r="D2" s="1236"/>
      <c r="E2" s="1225"/>
      <c r="F2" s="579"/>
      <c r="G2" s="1234"/>
      <c r="H2" s="1237">
        <f>C5</f>
        <v>45974</v>
      </c>
      <c r="I2" s="1238"/>
      <c r="J2" s="1239" t="s">
        <v>1258</v>
      </c>
      <c r="K2" s="1240"/>
      <c r="L2" s="593">
        <v>200</v>
      </c>
      <c r="M2" s="594">
        <v>6</v>
      </c>
      <c r="N2" s="595">
        <f>L2*M2</f>
        <v>1200</v>
      </c>
      <c r="O2" s="1241">
        <f>SUM(N2:N6)</f>
        <v>2800</v>
      </c>
      <c r="Q2" s="596" t="s">
        <v>1259</v>
      </c>
      <c r="R2" s="596">
        <v>-40</v>
      </c>
      <c r="S2" s="596" t="s">
        <v>1260</v>
      </c>
      <c r="T2" s="596">
        <v>-30</v>
      </c>
      <c r="U2" s="597"/>
    </row>
    <row r="3" spans="1:21">
      <c r="B3" s="592" t="s">
        <v>239</v>
      </c>
      <c r="C3" s="1244"/>
      <c r="D3" s="1244"/>
      <c r="E3" s="1245"/>
      <c r="F3" s="579"/>
      <c r="G3" s="1234"/>
      <c r="H3" s="1237">
        <f>H2+1</f>
        <v>45975</v>
      </c>
      <c r="I3" s="1238"/>
      <c r="J3" s="1239" t="s">
        <v>1261</v>
      </c>
      <c r="K3" s="1240"/>
      <c r="L3" s="593">
        <v>100</v>
      </c>
      <c r="M3" s="594">
        <v>8</v>
      </c>
      <c r="N3" s="595">
        <f t="shared" ref="N3:N6" si="0">L3*M3</f>
        <v>800</v>
      </c>
      <c r="O3" s="1242"/>
      <c r="Q3" s="596" t="s">
        <v>1262</v>
      </c>
      <c r="R3" s="596">
        <v>-30</v>
      </c>
      <c r="S3" s="596" t="s">
        <v>1263</v>
      </c>
      <c r="T3" s="596">
        <v>-20</v>
      </c>
      <c r="U3" s="597"/>
    </row>
    <row r="4" spans="1:21" ht="18" thickBot="1">
      <c r="B4" s="599" t="s">
        <v>1264</v>
      </c>
      <c r="C4" s="600">
        <v>11</v>
      </c>
      <c r="D4" s="601" t="s">
        <v>1265</v>
      </c>
      <c r="E4" s="602">
        <v>0</v>
      </c>
      <c r="F4" s="579"/>
      <c r="G4" s="1234"/>
      <c r="H4" s="1237">
        <f>H3+1</f>
        <v>45976</v>
      </c>
      <c r="I4" s="1238"/>
      <c r="J4" s="1239" t="s">
        <v>1261</v>
      </c>
      <c r="K4" s="1240"/>
      <c r="L4" s="593">
        <v>100</v>
      </c>
      <c r="M4" s="594">
        <v>8</v>
      </c>
      <c r="N4" s="595">
        <f t="shared" si="0"/>
        <v>800</v>
      </c>
      <c r="O4" s="1242"/>
      <c r="Q4" s="596" t="s">
        <v>1266</v>
      </c>
      <c r="R4" s="596">
        <v>-20</v>
      </c>
      <c r="S4" s="596" t="s">
        <v>1267</v>
      </c>
      <c r="T4" s="596">
        <v>-10</v>
      </c>
      <c r="U4" s="597"/>
    </row>
    <row r="5" spans="1:21" ht="18" thickBot="1">
      <c r="B5" s="603" t="s">
        <v>1268</v>
      </c>
      <c r="C5" s="604">
        <v>45974</v>
      </c>
      <c r="D5" s="605">
        <v>3</v>
      </c>
      <c r="E5" s="606">
        <f>C5+D5</f>
        <v>45977</v>
      </c>
      <c r="F5" s="579"/>
      <c r="G5" s="1234"/>
      <c r="H5" s="1237">
        <f>H4+1</f>
        <v>45977</v>
      </c>
      <c r="I5" s="1238"/>
      <c r="J5" s="1239"/>
      <c r="K5" s="1240"/>
      <c r="L5" s="593"/>
      <c r="M5" s="594"/>
      <c r="N5" s="595">
        <f>L5*M5</f>
        <v>0</v>
      </c>
      <c r="O5" s="1242"/>
      <c r="Q5" s="596" t="s">
        <v>1269</v>
      </c>
      <c r="R5" s="596">
        <v>0</v>
      </c>
      <c r="S5" s="596" t="s">
        <v>1270</v>
      </c>
      <c r="T5" s="596">
        <v>0</v>
      </c>
      <c r="U5" s="597"/>
    </row>
    <row r="6" spans="1:21" ht="17.25" customHeight="1" thickBot="1">
      <c r="B6" s="607" t="s">
        <v>1271</v>
      </c>
      <c r="C6" s="608">
        <f>(SUM(O10:O44)+O2)/C4+R6+T6</f>
        <v>877.84545454545446</v>
      </c>
      <c r="D6" s="609" t="s">
        <v>1272</v>
      </c>
      <c r="E6" s="610">
        <f>C6*$E$1</f>
        <v>948073.09090909082</v>
      </c>
      <c r="F6" s="579"/>
      <c r="G6" s="1235"/>
      <c r="H6" s="1237">
        <f>H5+1</f>
        <v>45978</v>
      </c>
      <c r="I6" s="1238"/>
      <c r="J6" s="1246"/>
      <c r="K6" s="1246"/>
      <c r="L6" s="611"/>
      <c r="M6" s="601"/>
      <c r="N6" s="611">
        <f t="shared" si="0"/>
        <v>0</v>
      </c>
      <c r="O6" s="1243"/>
      <c r="Q6" s="596" t="s">
        <v>1273</v>
      </c>
      <c r="R6" s="596">
        <v>5</v>
      </c>
      <c r="S6" s="596" t="s">
        <v>1274</v>
      </c>
      <c r="T6" s="596">
        <v>5</v>
      </c>
      <c r="U6" s="597"/>
    </row>
    <row r="7" spans="1:21" ht="18" thickBot="1">
      <c r="B7" s="612" t="s">
        <v>1275</v>
      </c>
      <c r="C7" s="613">
        <v>0</v>
      </c>
      <c r="D7" s="614" t="s">
        <v>1276</v>
      </c>
      <c r="E7" s="615">
        <v>0</v>
      </c>
      <c r="F7" s="579"/>
      <c r="G7" s="616"/>
      <c r="H7" s="1223"/>
      <c r="I7" s="1223"/>
      <c r="J7" s="1223"/>
      <c r="K7" s="1223"/>
      <c r="L7" s="579"/>
      <c r="M7" s="579"/>
      <c r="N7" s="579"/>
      <c r="O7" s="579"/>
      <c r="R7" s="579"/>
    </row>
    <row r="8" spans="1:21" ht="18" thickBot="1">
      <c r="B8" s="579"/>
      <c r="C8" s="579"/>
      <c r="D8" s="579"/>
      <c r="E8" s="579"/>
      <c r="F8" s="579"/>
      <c r="G8" s="1224" t="s">
        <v>1277</v>
      </c>
      <c r="H8" s="1225"/>
      <c r="I8" s="1224" t="s">
        <v>1278</v>
      </c>
      <c r="J8" s="1225"/>
      <c r="K8" s="1224" t="s">
        <v>1279</v>
      </c>
      <c r="L8" s="1225"/>
      <c r="M8" s="1224" t="s">
        <v>1280</v>
      </c>
      <c r="N8" s="1225"/>
      <c r="O8" s="1226" t="s">
        <v>1281</v>
      </c>
      <c r="R8" s="579"/>
    </row>
    <row r="9" spans="1:21" ht="18" thickBot="1">
      <c r="B9" s="617" t="s">
        <v>1282</v>
      </c>
      <c r="C9" s="618">
        <f>E1</f>
        <v>1080</v>
      </c>
      <c r="D9" s="619" t="s">
        <v>1283</v>
      </c>
      <c r="E9" s="620">
        <v>3.5</v>
      </c>
      <c r="F9" s="579"/>
      <c r="G9" s="621" t="s">
        <v>1253</v>
      </c>
      <c r="H9" s="622" t="s">
        <v>1284</v>
      </c>
      <c r="I9" s="621" t="s">
        <v>1253</v>
      </c>
      <c r="J9" s="622" t="s">
        <v>1284</v>
      </c>
      <c r="K9" s="621" t="s">
        <v>1253</v>
      </c>
      <c r="L9" s="622" t="s">
        <v>1284</v>
      </c>
      <c r="M9" s="621" t="s">
        <v>1253</v>
      </c>
      <c r="N9" s="622" t="s">
        <v>1284</v>
      </c>
      <c r="O9" s="1227"/>
      <c r="R9" s="579"/>
    </row>
    <row r="10" spans="1:21">
      <c r="B10" s="1213" t="str">
        <f>TEXT(C5,"m월 d일 aaaa")</f>
        <v>11월 13일 목요일</v>
      </c>
      <c r="C10" s="1228" t="s">
        <v>1285</v>
      </c>
      <c r="D10" s="1229"/>
      <c r="E10" s="623">
        <v>0.98611111111111116</v>
      </c>
      <c r="F10" s="579"/>
      <c r="G10" s="624"/>
      <c r="H10" s="625"/>
      <c r="I10" s="626"/>
      <c r="J10" s="625"/>
      <c r="K10" s="627">
        <v>200</v>
      </c>
      <c r="L10" s="591">
        <v>1</v>
      </c>
      <c r="M10" s="627">
        <v>150</v>
      </c>
      <c r="N10" s="591">
        <v>1</v>
      </c>
      <c r="O10" s="628">
        <f>(G10*H10)+(I10*J10)+(K10*L10)+(M10*N10)</f>
        <v>350</v>
      </c>
      <c r="R10" s="579"/>
    </row>
    <row r="11" spans="1:21">
      <c r="B11" s="1214"/>
      <c r="C11" s="1230" t="s">
        <v>1286</v>
      </c>
      <c r="D11" s="1231"/>
      <c r="E11" s="1232"/>
      <c r="F11" s="579"/>
      <c r="G11" s="629"/>
      <c r="H11" s="630"/>
      <c r="I11" s="631"/>
      <c r="J11" s="630"/>
      <c r="K11" s="631"/>
      <c r="L11" s="598"/>
      <c r="M11" s="631"/>
      <c r="N11" s="598"/>
      <c r="O11" s="632">
        <f t="shared" ref="O11:O39" si="1">(G11*H11)+(I11*J11)+(K11*L11)+(M11*N11)</f>
        <v>0</v>
      </c>
      <c r="R11" s="579"/>
    </row>
    <row r="12" spans="1:21" ht="18" thickBot="1">
      <c r="B12" s="1215"/>
      <c r="C12" s="1208" t="s">
        <v>1287</v>
      </c>
      <c r="D12" s="1209"/>
      <c r="E12" s="1210"/>
      <c r="F12" s="579"/>
      <c r="G12" s="633"/>
      <c r="H12" s="634"/>
      <c r="I12" s="635"/>
      <c r="J12" s="634"/>
      <c r="K12" s="635"/>
      <c r="L12" s="636"/>
      <c r="M12" s="635"/>
      <c r="N12" s="636"/>
      <c r="O12" s="637">
        <f t="shared" si="1"/>
        <v>0</v>
      </c>
    </row>
    <row r="13" spans="1:21">
      <c r="B13" s="1213" t="str">
        <f>TEXT(C5+1,"m월 d일 aaaa")</f>
        <v>11월 14일 금요일</v>
      </c>
      <c r="C13" s="1216" t="s">
        <v>240</v>
      </c>
      <c r="D13" s="1217"/>
      <c r="E13" s="1218"/>
      <c r="F13" s="579"/>
      <c r="G13" s="624"/>
      <c r="H13" s="638"/>
      <c r="I13" s="626"/>
      <c r="J13" s="625"/>
      <c r="K13" s="627">
        <v>530</v>
      </c>
      <c r="L13" s="591">
        <v>1</v>
      </c>
      <c r="M13" s="627">
        <v>375</v>
      </c>
      <c r="N13" s="591">
        <v>1</v>
      </c>
      <c r="O13" s="628">
        <f t="shared" si="1"/>
        <v>905</v>
      </c>
      <c r="Q13" s="639"/>
    </row>
    <row r="14" spans="1:21">
      <c r="B14" s="1214"/>
      <c r="C14" s="1202" t="s">
        <v>1288</v>
      </c>
      <c r="D14" s="1203"/>
      <c r="E14" s="1204"/>
      <c r="F14" s="579"/>
      <c r="G14" s="640"/>
      <c r="H14" s="641"/>
      <c r="I14" s="642"/>
      <c r="J14" s="643"/>
      <c r="K14" s="644"/>
      <c r="L14" s="645"/>
      <c r="M14" s="644"/>
      <c r="N14" s="645"/>
      <c r="O14" s="646"/>
      <c r="Q14" s="639"/>
    </row>
    <row r="15" spans="1:21">
      <c r="B15" s="1214"/>
      <c r="C15" s="1220" t="s">
        <v>1289</v>
      </c>
      <c r="D15" s="1221"/>
      <c r="E15" s="1222"/>
      <c r="F15" s="579"/>
      <c r="G15" s="647">
        <v>19</v>
      </c>
      <c r="H15" s="648">
        <v>11</v>
      </c>
      <c r="I15" s="631"/>
      <c r="J15" s="630"/>
      <c r="K15" s="631"/>
      <c r="L15" s="598"/>
      <c r="M15" s="631"/>
      <c r="N15" s="598"/>
      <c r="O15" s="632">
        <f t="shared" si="1"/>
        <v>209</v>
      </c>
      <c r="Q15" s="597"/>
    </row>
    <row r="16" spans="1:21" ht="18" thickBot="1">
      <c r="B16" s="1214"/>
      <c r="C16" s="1205" t="s">
        <v>1290</v>
      </c>
      <c r="D16" s="1206"/>
      <c r="E16" s="1207"/>
      <c r="F16" s="579"/>
      <c r="G16" s="629"/>
      <c r="H16" s="630"/>
      <c r="I16" s="649">
        <v>18</v>
      </c>
      <c r="J16" s="648">
        <v>11</v>
      </c>
      <c r="K16" s="631"/>
      <c r="L16" s="598"/>
      <c r="M16" s="631"/>
      <c r="N16" s="598"/>
      <c r="O16" s="632">
        <f t="shared" si="1"/>
        <v>198</v>
      </c>
      <c r="Q16" s="597"/>
    </row>
    <row r="17" spans="2:17">
      <c r="B17" s="1213"/>
      <c r="C17" s="1202" t="s">
        <v>1291</v>
      </c>
      <c r="D17" s="1203"/>
      <c r="E17" s="1204"/>
      <c r="F17" s="579"/>
      <c r="G17" s="650"/>
      <c r="H17" s="648"/>
      <c r="I17" s="631"/>
      <c r="J17" s="648"/>
      <c r="K17" s="651"/>
      <c r="L17" s="622"/>
      <c r="M17" s="651"/>
      <c r="N17" s="622"/>
      <c r="O17" s="632">
        <f t="shared" si="1"/>
        <v>0</v>
      </c>
      <c r="Q17" s="597"/>
    </row>
    <row r="18" spans="2:17">
      <c r="B18" s="1214"/>
      <c r="C18" s="879" t="str">
        <f>일정!$C$27</f>
        <v>가든스바이더베이 2돔 ( 쥬랴기 )</v>
      </c>
      <c r="D18" s="891"/>
      <c r="E18" s="892"/>
      <c r="F18" s="72"/>
      <c r="G18" s="103">
        <f>일정!$E$27</f>
        <v>28.3</v>
      </c>
      <c r="H18" s="648">
        <v>11</v>
      </c>
      <c r="I18" s="631"/>
      <c r="J18" s="648"/>
      <c r="K18" s="651"/>
      <c r="L18" s="622"/>
      <c r="M18" s="651"/>
      <c r="N18" s="622"/>
      <c r="O18" s="632">
        <f t="shared" si="1"/>
        <v>311.3</v>
      </c>
      <c r="Q18" s="597"/>
    </row>
    <row r="19" spans="2:17" ht="18" thickBot="1">
      <c r="B19" s="1214"/>
      <c r="C19" s="1205" t="s">
        <v>1292</v>
      </c>
      <c r="D19" s="1206"/>
      <c r="E19" s="1207"/>
      <c r="F19" s="579"/>
      <c r="G19" s="629"/>
      <c r="H19" s="630"/>
      <c r="I19" s="649">
        <v>18</v>
      </c>
      <c r="J19" s="648">
        <v>11</v>
      </c>
      <c r="K19" s="651"/>
      <c r="L19" s="622"/>
      <c r="M19" s="651"/>
      <c r="N19" s="622"/>
      <c r="O19" s="632">
        <f t="shared" si="1"/>
        <v>198</v>
      </c>
      <c r="Q19" s="597"/>
    </row>
    <row r="20" spans="2:17">
      <c r="B20" s="1213"/>
      <c r="C20" s="1202" t="s">
        <v>1293</v>
      </c>
      <c r="D20" s="1203"/>
      <c r="E20" s="1204"/>
      <c r="F20" s="579"/>
      <c r="G20" s="629"/>
      <c r="H20" s="630"/>
      <c r="I20" s="650"/>
      <c r="J20" s="648"/>
      <c r="K20" s="652">
        <v>130</v>
      </c>
      <c r="L20" s="622">
        <v>2</v>
      </c>
      <c r="M20" s="652">
        <v>135</v>
      </c>
      <c r="N20" s="622">
        <v>1</v>
      </c>
      <c r="O20" s="632">
        <f t="shared" si="1"/>
        <v>395</v>
      </c>
      <c r="Q20" s="597"/>
    </row>
    <row r="21" spans="2:17" ht="18" thickBot="1">
      <c r="B21" s="1215"/>
      <c r="C21" s="1208" t="s">
        <v>1294</v>
      </c>
      <c r="D21" s="1209"/>
      <c r="E21" s="1210"/>
      <c r="F21" s="579"/>
      <c r="G21" s="650"/>
      <c r="H21" s="648"/>
      <c r="I21" s="631"/>
      <c r="J21" s="630"/>
      <c r="K21" s="652"/>
      <c r="L21" s="622"/>
      <c r="M21" s="652">
        <v>90</v>
      </c>
      <c r="N21" s="622">
        <v>1</v>
      </c>
      <c r="O21" s="632">
        <f t="shared" si="1"/>
        <v>90</v>
      </c>
      <c r="Q21" s="597"/>
    </row>
    <row r="22" spans="2:17">
      <c r="B22" s="1213" t="str">
        <f>TEXT(C5+2,"m월 d일 aaaa")</f>
        <v>11월 15일 토요일</v>
      </c>
      <c r="C22" s="1216" t="s">
        <v>240</v>
      </c>
      <c r="D22" s="1217"/>
      <c r="E22" s="1218"/>
      <c r="F22" s="579"/>
      <c r="G22" s="624"/>
      <c r="H22" s="638"/>
      <c r="I22" s="626"/>
      <c r="J22" s="625"/>
      <c r="K22" s="627">
        <v>540</v>
      </c>
      <c r="L22" s="591">
        <v>1</v>
      </c>
      <c r="M22" s="627">
        <v>300</v>
      </c>
      <c r="N22" s="591">
        <v>1</v>
      </c>
      <c r="O22" s="628">
        <f t="shared" si="1"/>
        <v>840</v>
      </c>
      <c r="Q22" s="639"/>
    </row>
    <row r="23" spans="2:17">
      <c r="B23" s="1214"/>
      <c r="C23" s="1202" t="s">
        <v>1295</v>
      </c>
      <c r="D23" s="1203"/>
      <c r="E23" s="1204"/>
      <c r="F23" s="579"/>
      <c r="G23" s="650"/>
      <c r="H23" s="648"/>
      <c r="I23" s="631"/>
      <c r="J23" s="630"/>
      <c r="K23" s="631"/>
      <c r="L23" s="598"/>
      <c r="M23" s="650">
        <v>90</v>
      </c>
      <c r="N23" s="598">
        <v>1</v>
      </c>
      <c r="O23" s="632">
        <f t="shared" si="1"/>
        <v>90</v>
      </c>
      <c r="Q23" s="597"/>
    </row>
    <row r="24" spans="2:17" ht="18" thickBot="1">
      <c r="B24" s="1214"/>
      <c r="C24" s="1205" t="s">
        <v>1296</v>
      </c>
      <c r="D24" s="1206"/>
      <c r="E24" s="1207"/>
      <c r="F24" s="579"/>
      <c r="G24" s="629"/>
      <c r="H24" s="630"/>
      <c r="I24" s="649">
        <v>15</v>
      </c>
      <c r="J24" s="648">
        <v>11</v>
      </c>
      <c r="K24" s="631"/>
      <c r="L24" s="598"/>
      <c r="M24" s="631"/>
      <c r="N24" s="598"/>
      <c r="O24" s="632">
        <f t="shared" si="1"/>
        <v>165</v>
      </c>
      <c r="Q24" s="597"/>
    </row>
    <row r="25" spans="2:17">
      <c r="B25" s="1213"/>
      <c r="C25" s="1202" t="s">
        <v>1297</v>
      </c>
      <c r="D25" s="1203"/>
      <c r="E25" s="1204"/>
      <c r="F25" s="579"/>
      <c r="G25" s="629"/>
      <c r="H25" s="630"/>
      <c r="I25" s="629"/>
      <c r="J25" s="648"/>
      <c r="K25" s="651"/>
      <c r="L25" s="622"/>
      <c r="M25" s="651"/>
      <c r="N25" s="622"/>
      <c r="O25" s="632">
        <f t="shared" si="1"/>
        <v>0</v>
      </c>
      <c r="Q25" s="597"/>
    </row>
    <row r="26" spans="2:17">
      <c r="B26" s="1214"/>
      <c r="C26" s="1202" t="s">
        <v>1298</v>
      </c>
      <c r="D26" s="1203"/>
      <c r="E26" s="1204"/>
      <c r="F26" s="579"/>
      <c r="G26" s="629"/>
      <c r="H26" s="630"/>
      <c r="I26" s="629"/>
      <c r="J26" s="648"/>
      <c r="K26" s="651"/>
      <c r="L26" s="622"/>
      <c r="M26" s="651"/>
      <c r="N26" s="622"/>
      <c r="O26" s="632">
        <f t="shared" si="1"/>
        <v>0</v>
      </c>
      <c r="Q26" s="597"/>
    </row>
    <row r="27" spans="2:17" ht="18" thickBot="1">
      <c r="B27" s="1214"/>
      <c r="C27" s="1199" t="s">
        <v>1299</v>
      </c>
      <c r="D27" s="1200"/>
      <c r="E27" s="1201"/>
      <c r="F27" s="579"/>
      <c r="G27" s="647">
        <v>30</v>
      </c>
      <c r="H27" s="648">
        <v>11</v>
      </c>
      <c r="I27" s="629"/>
      <c r="J27" s="648"/>
      <c r="K27" s="651"/>
      <c r="L27" s="622"/>
      <c r="M27" s="651"/>
      <c r="N27" s="622"/>
      <c r="O27" s="632">
        <f t="shared" si="1"/>
        <v>330</v>
      </c>
      <c r="Q27" s="597"/>
    </row>
    <row r="28" spans="2:17">
      <c r="B28" s="1213"/>
      <c r="C28" s="1205" t="s">
        <v>1300</v>
      </c>
      <c r="D28" s="1206"/>
      <c r="E28" s="1207"/>
      <c r="F28" s="579"/>
      <c r="G28" s="629"/>
      <c r="H28" s="630"/>
      <c r="I28" s="649">
        <v>15</v>
      </c>
      <c r="J28" s="648">
        <v>11</v>
      </c>
      <c r="K28" s="651"/>
      <c r="L28" s="622"/>
      <c r="M28" s="651"/>
      <c r="N28" s="622"/>
      <c r="O28" s="632">
        <f t="shared" si="1"/>
        <v>165</v>
      </c>
      <c r="Q28" s="597"/>
    </row>
    <row r="29" spans="2:17" ht="18" thickBot="1">
      <c r="B29" s="1215"/>
      <c r="C29" s="1208" t="s">
        <v>1294</v>
      </c>
      <c r="D29" s="1209"/>
      <c r="E29" s="1210"/>
      <c r="F29" s="579"/>
      <c r="G29" s="650"/>
      <c r="H29" s="648"/>
      <c r="I29" s="631"/>
      <c r="J29" s="630"/>
      <c r="K29" s="651"/>
      <c r="L29" s="622"/>
      <c r="M29" s="651"/>
      <c r="N29" s="622"/>
      <c r="O29" s="632">
        <f t="shared" si="1"/>
        <v>0</v>
      </c>
      <c r="Q29" s="597"/>
    </row>
    <row r="30" spans="2:17">
      <c r="B30" s="1213" t="str">
        <f>TEXT(C5+3,"m월 d일 aaaa")</f>
        <v>11월 16일 일요일</v>
      </c>
      <c r="C30" s="1216" t="s">
        <v>240</v>
      </c>
      <c r="D30" s="1217"/>
      <c r="E30" s="1218"/>
      <c r="F30" s="579"/>
      <c r="G30" s="626"/>
      <c r="H30" s="625"/>
      <c r="I30" s="626"/>
      <c r="J30" s="625"/>
      <c r="K30" s="627">
        <v>580</v>
      </c>
      <c r="L30" s="591">
        <v>1</v>
      </c>
      <c r="M30" s="627">
        <v>135</v>
      </c>
      <c r="N30" s="591">
        <v>1</v>
      </c>
      <c r="O30" s="628">
        <f t="shared" si="1"/>
        <v>715</v>
      </c>
      <c r="Q30" s="639"/>
    </row>
    <row r="31" spans="2:17">
      <c r="B31" s="1214"/>
      <c r="C31" s="1202" t="s">
        <v>1301</v>
      </c>
      <c r="D31" s="1203"/>
      <c r="E31" s="1204"/>
      <c r="F31" s="579"/>
      <c r="G31" s="642"/>
      <c r="H31" s="643"/>
      <c r="I31" s="642"/>
      <c r="J31" s="643"/>
      <c r="K31" s="644"/>
      <c r="L31" s="645"/>
      <c r="M31" s="644">
        <v>90</v>
      </c>
      <c r="N31" s="645">
        <v>1</v>
      </c>
      <c r="O31" s="632">
        <f t="shared" si="1"/>
        <v>90</v>
      </c>
      <c r="Q31" s="639"/>
    </row>
    <row r="32" spans="2:17">
      <c r="B32" s="1214"/>
      <c r="C32" s="1202" t="s">
        <v>1302</v>
      </c>
      <c r="D32" s="1203"/>
      <c r="E32" s="1204"/>
      <c r="F32" s="579"/>
      <c r="G32" s="650"/>
      <c r="H32" s="648"/>
      <c r="I32" s="642"/>
      <c r="J32" s="643"/>
      <c r="K32" s="644"/>
      <c r="L32" s="645"/>
      <c r="M32" s="644">
        <v>375</v>
      </c>
      <c r="N32" s="645">
        <v>1</v>
      </c>
      <c r="O32" s="632">
        <f t="shared" si="1"/>
        <v>375</v>
      </c>
      <c r="Q32" s="639"/>
    </row>
    <row r="33" spans="2:17">
      <c r="B33" s="1214"/>
      <c r="C33" s="1202" t="s">
        <v>1303</v>
      </c>
      <c r="D33" s="1203"/>
      <c r="E33" s="1204"/>
      <c r="F33" s="579"/>
      <c r="G33" s="650"/>
      <c r="H33" s="648"/>
      <c r="I33" s="642"/>
      <c r="J33" s="643"/>
      <c r="K33" s="644"/>
      <c r="L33" s="645"/>
      <c r="M33" s="644"/>
      <c r="N33" s="645"/>
      <c r="O33" s="632">
        <f t="shared" si="1"/>
        <v>0</v>
      </c>
      <c r="Q33" s="639"/>
    </row>
    <row r="34" spans="2:17">
      <c r="B34" s="1214"/>
      <c r="C34" s="1205" t="s">
        <v>1304</v>
      </c>
      <c r="D34" s="1206"/>
      <c r="E34" s="1207"/>
      <c r="F34" s="579"/>
      <c r="G34" s="629"/>
      <c r="H34" s="630"/>
      <c r="I34" s="649">
        <v>15</v>
      </c>
      <c r="J34" s="648">
        <v>11</v>
      </c>
      <c r="K34" s="631"/>
      <c r="L34" s="598"/>
      <c r="M34" s="631"/>
      <c r="N34" s="598"/>
      <c r="O34" s="632">
        <f t="shared" si="1"/>
        <v>165</v>
      </c>
      <c r="Q34" s="597"/>
    </row>
    <row r="35" spans="2:17">
      <c r="B35" s="1214"/>
      <c r="C35" s="1199" t="s">
        <v>1305</v>
      </c>
      <c r="D35" s="1200"/>
      <c r="E35" s="1201"/>
      <c r="F35" s="579"/>
      <c r="G35" s="647">
        <v>36</v>
      </c>
      <c r="H35" s="648">
        <v>11</v>
      </c>
      <c r="I35" s="642"/>
      <c r="J35" s="653"/>
      <c r="K35" s="651"/>
      <c r="L35" s="622"/>
      <c r="M35" s="651"/>
      <c r="N35" s="622"/>
      <c r="O35" s="632">
        <f t="shared" si="1"/>
        <v>396</v>
      </c>
      <c r="Q35" s="597"/>
    </row>
    <row r="36" spans="2:17">
      <c r="B36" s="1214"/>
      <c r="C36" s="1202" t="s">
        <v>1306</v>
      </c>
      <c r="D36" s="1203"/>
      <c r="E36" s="1204"/>
      <c r="F36" s="579"/>
      <c r="G36" s="654"/>
      <c r="H36" s="655"/>
      <c r="I36" s="642"/>
      <c r="J36" s="653"/>
      <c r="K36" s="651"/>
      <c r="L36" s="622"/>
      <c r="M36" s="651"/>
      <c r="N36" s="622"/>
      <c r="O36" s="632">
        <f t="shared" si="1"/>
        <v>0</v>
      </c>
      <c r="Q36" s="597"/>
    </row>
    <row r="37" spans="2:17">
      <c r="B37" s="1214"/>
      <c r="C37" s="1205" t="s">
        <v>1307</v>
      </c>
      <c r="D37" s="1206"/>
      <c r="E37" s="1207"/>
      <c r="F37" s="579"/>
      <c r="G37" s="652"/>
      <c r="H37" s="653"/>
      <c r="I37" s="649">
        <v>17</v>
      </c>
      <c r="J37" s="648">
        <v>11</v>
      </c>
      <c r="K37" s="651"/>
      <c r="L37" s="622"/>
      <c r="M37" s="651"/>
      <c r="N37" s="622"/>
      <c r="O37" s="632">
        <f t="shared" si="1"/>
        <v>187</v>
      </c>
      <c r="Q37" s="597"/>
    </row>
    <row r="38" spans="2:17">
      <c r="B38" s="1219"/>
      <c r="C38" s="1202" t="s">
        <v>1308</v>
      </c>
      <c r="D38" s="1203"/>
      <c r="E38" s="1204"/>
      <c r="F38" s="579"/>
      <c r="G38" s="650"/>
      <c r="H38" s="648"/>
      <c r="I38" s="652"/>
      <c r="J38" s="653"/>
      <c r="K38" s="651"/>
      <c r="L38" s="622"/>
      <c r="M38" s="651"/>
      <c r="N38" s="622"/>
      <c r="O38" s="632">
        <f t="shared" si="1"/>
        <v>0</v>
      </c>
      <c r="Q38" s="597"/>
    </row>
    <row r="39" spans="2:17" ht="18" thickBot="1">
      <c r="B39" s="1212"/>
      <c r="C39" s="1208" t="s">
        <v>1309</v>
      </c>
      <c r="D39" s="1209"/>
      <c r="E39" s="1210"/>
      <c r="F39" s="579"/>
      <c r="G39" s="633"/>
      <c r="H39" s="656"/>
      <c r="I39" s="657"/>
      <c r="J39" s="658"/>
      <c r="K39" s="635"/>
      <c r="L39" s="636"/>
      <c r="M39" s="635"/>
      <c r="N39" s="636"/>
      <c r="O39" s="632">
        <f t="shared" si="1"/>
        <v>0</v>
      </c>
      <c r="Q39" s="597"/>
    </row>
    <row r="40" spans="2:17">
      <c r="B40" s="579"/>
      <c r="C40" s="579"/>
      <c r="D40" s="579"/>
      <c r="E40" s="579"/>
      <c r="F40" s="579"/>
      <c r="G40" s="579"/>
      <c r="H40" s="579"/>
      <c r="K40" s="659"/>
      <c r="L40" s="579"/>
      <c r="M40" s="659"/>
      <c r="N40" s="579"/>
      <c r="O40" s="660"/>
      <c r="P40" s="661"/>
    </row>
    <row r="41" spans="2:17" ht="18" thickBot="1">
      <c r="O41" s="660"/>
    </row>
    <row r="42" spans="2:17">
      <c r="B42" s="1211" t="s">
        <v>1310</v>
      </c>
      <c r="C42" s="1180" t="s">
        <v>1311</v>
      </c>
      <c r="D42" s="1181"/>
      <c r="E42" s="1182"/>
      <c r="F42" s="579"/>
      <c r="G42" s="1183">
        <f>$C$4+$E$4</f>
        <v>11</v>
      </c>
      <c r="H42" s="1184"/>
      <c r="I42" s="1185">
        <v>4</v>
      </c>
      <c r="J42" s="1186"/>
      <c r="K42" s="1187">
        <v>0.5</v>
      </c>
      <c r="L42" s="1188"/>
      <c r="M42" s="1188"/>
      <c r="N42" s="1189"/>
      <c r="O42" s="662">
        <f>G42*I42*K42</f>
        <v>22</v>
      </c>
    </row>
    <row r="43" spans="2:17" ht="18" thickBot="1">
      <c r="B43" s="1212"/>
      <c r="C43" s="1190" t="s">
        <v>1312</v>
      </c>
      <c r="D43" s="1191"/>
      <c r="E43" s="1192"/>
      <c r="F43" s="579"/>
      <c r="G43" s="1193">
        <v>50</v>
      </c>
      <c r="H43" s="1194"/>
      <c r="I43" s="1194"/>
      <c r="J43" s="1195"/>
      <c r="K43" s="1196">
        <f>C4</f>
        <v>11</v>
      </c>
      <c r="L43" s="1197"/>
      <c r="M43" s="1197"/>
      <c r="N43" s="1198"/>
      <c r="O43" s="663">
        <f>G43*K43</f>
        <v>550</v>
      </c>
    </row>
    <row r="44" spans="2:17">
      <c r="O44" s="660"/>
    </row>
  </sheetData>
  <mergeCells count="62">
    <mergeCell ref="G1:G6"/>
    <mergeCell ref="C2:E2"/>
    <mergeCell ref="H2:I2"/>
    <mergeCell ref="J2:K2"/>
    <mergeCell ref="O2:O6"/>
    <mergeCell ref="C3:E3"/>
    <mergeCell ref="H3:I3"/>
    <mergeCell ref="J3:K3"/>
    <mergeCell ref="H4:I4"/>
    <mergeCell ref="J4:K4"/>
    <mergeCell ref="H5:I5"/>
    <mergeCell ref="J5:K5"/>
    <mergeCell ref="H6:I6"/>
    <mergeCell ref="J6:K6"/>
    <mergeCell ref="H7:K7"/>
    <mergeCell ref="M8:N8"/>
    <mergeCell ref="O8:O9"/>
    <mergeCell ref="B10:B12"/>
    <mergeCell ref="C10:D10"/>
    <mergeCell ref="C11:E11"/>
    <mergeCell ref="C12:E12"/>
    <mergeCell ref="G8:H8"/>
    <mergeCell ref="I8:J8"/>
    <mergeCell ref="K8:L8"/>
    <mergeCell ref="B13:B21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B42:B43"/>
    <mergeCell ref="B22:B29"/>
    <mergeCell ref="C22:E22"/>
    <mergeCell ref="C23:E23"/>
    <mergeCell ref="C24:E24"/>
    <mergeCell ref="C25:E25"/>
    <mergeCell ref="C26:E26"/>
    <mergeCell ref="C27:E27"/>
    <mergeCell ref="C28:E28"/>
    <mergeCell ref="C29:E29"/>
    <mergeCell ref="B30:B3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2:E42"/>
    <mergeCell ref="G42:H42"/>
    <mergeCell ref="I42:J42"/>
    <mergeCell ref="K42:N42"/>
    <mergeCell ref="C43:E43"/>
    <mergeCell ref="G43:J43"/>
    <mergeCell ref="K43:N43"/>
  </mergeCells>
  <phoneticPr fontId="1" type="noConversion"/>
  <hyperlinks>
    <hyperlink ref="A1" location="상품리스트!A1" display="home" xr:uid="{F156CBAD-82C8-4C01-B4E8-86DE2B06C83B}"/>
  </hyperlinks>
  <pageMargins left="0.69972223043441772" right="0.69972223043441772" top="0.75" bottom="0.75" header="0.30000001192092896" footer="0.30000001192092896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55</vt:i4>
      </vt:variant>
    </vt:vector>
  </HeadingPairs>
  <TitlesOfParts>
    <vt:vector size="55" baseType="lpstr">
      <vt:lpstr>25메인호텔</vt:lpstr>
      <vt:lpstr>가이드&amp;차량</vt:lpstr>
      <vt:lpstr>서차지</vt:lpstr>
      <vt:lpstr>호텔</vt:lpstr>
      <vt:lpstr>호텔 (2)</vt:lpstr>
      <vt:lpstr>일정</vt:lpstr>
      <vt:lpstr>식사</vt:lpstr>
      <vt:lpstr>현지투어플러스</vt:lpstr>
      <vt:lpstr>상품리스트</vt:lpstr>
      <vt:lpstr>초1</vt:lpstr>
      <vt:lpstr>초2</vt:lpstr>
      <vt:lpstr>초3</vt:lpstr>
      <vt:lpstr>중1</vt:lpstr>
      <vt:lpstr>고1</vt:lpstr>
      <vt:lpstr>고2</vt:lpstr>
      <vt:lpstr>고3</vt:lpstr>
      <vt:lpstr>210OZA</vt:lpstr>
      <vt:lpstr>210KEG</vt:lpstr>
      <vt:lpstr>210KED</vt:lpstr>
      <vt:lpstr>210SQD</vt:lpstr>
      <vt:lpstr>212OZD</vt:lpstr>
      <vt:lpstr>211SQC</vt:lpstr>
      <vt:lpstr>210SQ4</vt:lpstr>
      <vt:lpstr>2104</vt:lpstr>
      <vt:lpstr>211TWG</vt:lpstr>
      <vt:lpstr>211TWC</vt:lpstr>
      <vt:lpstr>211KE3</vt:lpstr>
      <vt:lpstr>211OZB</vt:lpstr>
      <vt:lpstr>211OZC</vt:lpstr>
      <vt:lpstr>211KEA</vt:lpstr>
      <vt:lpstr>211uss</vt:lpstr>
      <vt:lpstr>211_9</vt:lpstr>
      <vt:lpstr>212SQA</vt:lpstr>
      <vt:lpstr>210SQA</vt:lpstr>
      <vt:lpstr>213</vt:lpstr>
      <vt:lpstr>215OZB</vt:lpstr>
      <vt:lpstr>215KEE</vt:lpstr>
      <vt:lpstr>3097CB</vt:lpstr>
      <vt:lpstr>309SQ</vt:lpstr>
      <vt:lpstr>3107CB</vt:lpstr>
      <vt:lpstr>310SQ</vt:lpstr>
      <vt:lpstr>3117CU</vt:lpstr>
      <vt:lpstr>311</vt:lpstr>
      <vt:lpstr>3117CX</vt:lpstr>
      <vt:lpstr>3127CU</vt:lpstr>
      <vt:lpstr>303SQ</vt:lpstr>
      <vt:lpstr>910_TR</vt:lpstr>
      <vt:lpstr>211바탐</vt:lpstr>
      <vt:lpstr>311바탐</vt:lpstr>
      <vt:lpstr>221바탐</vt:lpstr>
      <vt:lpstr>부산연합1</vt:lpstr>
      <vt:lpstr>ASE501</vt:lpstr>
      <vt:lpstr>BSP505</vt:lpstr>
      <vt:lpstr>쿠말싱</vt:lpstr>
      <vt:lpstr>싱조조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손재익</dc:creator>
  <cp:lastModifiedBy>김윤정C</cp:lastModifiedBy>
  <dcterms:created xsi:type="dcterms:W3CDTF">2024-03-12T06:16:21Z</dcterms:created>
  <dcterms:modified xsi:type="dcterms:W3CDTF">2025-12-31T04:30:56Z</dcterms:modified>
</cp:coreProperties>
</file>