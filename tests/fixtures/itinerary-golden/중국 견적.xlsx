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anatour0-my.sharepoint.com/personal/yoonzzan_hanatour_com/Documents/20220324 갤탭/오늘의 업무▶/마이기획서/온라인견적서/공급사 비딩 답변 첨부파일/"/>
    </mc:Choice>
  </mc:AlternateContent>
  <xr:revisionPtr revIDLastSave="0" documentId="8_{B8404619-52AB-DA43-9E26-E55438480CC8}" xr6:coauthVersionLast="47" xr6:coauthVersionMax="47" xr10:uidLastSave="{00000000-0000-0000-0000-000000000000}"/>
  <bookViews>
    <workbookView xWindow="0" yWindow="500" windowWidth="33600" windowHeight="19100" xr2:uid="{7E89F483-3C62-1244-B764-9D1F95FD2E7A}"/>
  </bookViews>
  <sheets>
    <sheet name="중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H59" i="1" s="1"/>
  <c r="H56" i="1"/>
  <c r="H55" i="1"/>
  <c r="H54" i="1"/>
  <c r="H53" i="1"/>
  <c r="E52" i="1"/>
  <c r="H52" i="1" s="1"/>
  <c r="E51" i="1"/>
  <c r="H51" i="1" s="1"/>
  <c r="H50" i="1"/>
  <c r="H49" i="1"/>
  <c r="H48" i="1"/>
  <c r="E47" i="1"/>
  <c r="H47" i="1" s="1"/>
  <c r="E46" i="1"/>
  <c r="H46" i="1" s="1"/>
  <c r="E45" i="1"/>
  <c r="H45" i="1" s="1"/>
  <c r="E44" i="1"/>
  <c r="H44" i="1" s="1"/>
  <c r="E43" i="1"/>
  <c r="H43" i="1" s="1"/>
  <c r="E42" i="1"/>
  <c r="H42" i="1" s="1"/>
  <c r="E41" i="1"/>
  <c r="H41" i="1" s="1"/>
  <c r="E40" i="1"/>
  <c r="H40" i="1" s="1"/>
  <c r="E39" i="1"/>
  <c r="H39" i="1" s="1"/>
  <c r="E38" i="1"/>
  <c r="H38" i="1" s="1"/>
  <c r="H37" i="1"/>
  <c r="E37" i="1"/>
  <c r="E36" i="1"/>
  <c r="H36" i="1" s="1"/>
  <c r="E35" i="1"/>
  <c r="H35" i="1" s="1"/>
  <c r="H34" i="1"/>
  <c r="H33" i="1"/>
  <c r="H32" i="1"/>
  <c r="H31" i="1"/>
  <c r="H30" i="1"/>
  <c r="H29" i="1"/>
  <c r="H28" i="1"/>
  <c r="E27" i="1"/>
  <c r="H27" i="1" s="1"/>
  <c r="E26" i="1"/>
  <c r="H26" i="1" s="1"/>
  <c r="H25" i="1"/>
  <c r="E25" i="1"/>
  <c r="E24" i="1"/>
  <c r="H24" i="1" s="1"/>
  <c r="E23" i="1"/>
  <c r="H23" i="1" s="1"/>
  <c r="E22" i="1"/>
  <c r="H22" i="1" s="1"/>
  <c r="E21" i="1"/>
  <c r="H21" i="1" s="1"/>
  <c r="E20" i="1"/>
  <c r="H20" i="1" s="1"/>
  <c r="E19" i="1"/>
  <c r="H19" i="1" s="1"/>
  <c r="E18" i="1"/>
  <c r="H18" i="1" s="1"/>
  <c r="E17" i="1"/>
  <c r="H17" i="1" s="1"/>
  <c r="E16" i="1"/>
  <c r="H16" i="1" s="1"/>
  <c r="H15" i="1"/>
  <c r="H14" i="1"/>
  <c r="H13" i="1"/>
  <c r="H12" i="1"/>
  <c r="H11" i="1"/>
  <c r="H10" i="1"/>
  <c r="H5" i="1"/>
  <c r="H3" i="1"/>
  <c r="E3" i="1"/>
  <c r="H60" i="1" l="1"/>
  <c r="G62" i="1"/>
  <c r="G63" i="1" s="1"/>
  <c r="B6" i="1" s="1"/>
</calcChain>
</file>

<file path=xl/sharedStrings.xml><?xml version="1.0" encoding="utf-8"?>
<sst xmlns="http://schemas.openxmlformats.org/spreadsheetml/2006/main" count="143" uniqueCount="88">
  <si>
    <t>작성자</t>
  </si>
  <si>
    <t>인원</t>
  </si>
  <si>
    <t>F.O.C</t>
  </si>
  <si>
    <t>비고</t>
  </si>
  <si>
    <t>RATES</t>
  </si>
  <si>
    <t>견적 산출일</t>
  </si>
  <si>
    <t>XXXX XXX 부장</t>
  </si>
  <si>
    <t>AGENT NAME</t>
  </si>
  <si>
    <t>하나투어 XXX</t>
  </si>
  <si>
    <t>출발일</t>
  </si>
  <si>
    <t>도착일</t>
  </si>
  <si>
    <t>일</t>
  </si>
  <si>
    <t>ITINERARY</t>
  </si>
  <si>
    <t>코드 OR 견적번호</t>
  </si>
  <si>
    <t>투어비</t>
  </si>
  <si>
    <t>싱글차지</t>
  </si>
  <si>
    <t>REMARK</t>
  </si>
  <si>
    <t>항    목</t>
  </si>
  <si>
    <t>일차</t>
  </si>
  <si>
    <t>내        역</t>
  </si>
  <si>
    <t>가  격</t>
  </si>
  <si>
    <t>수량/인원</t>
  </si>
  <si>
    <t>횟수      /박수</t>
  </si>
  <si>
    <t>기 타</t>
  </si>
  <si>
    <t>합   계</t>
  </si>
  <si>
    <t>호   텔</t>
  </si>
  <si>
    <t>1일차</t>
  </si>
  <si>
    <t>W HOTEL (spectacular room)</t>
  </si>
  <si>
    <t>룸</t>
  </si>
  <si>
    <t>6싱글</t>
  </si>
  <si>
    <t>2일차</t>
  </si>
  <si>
    <t>3일차</t>
  </si>
  <si>
    <t>4일차</t>
  </si>
  <si>
    <t>5일차</t>
  </si>
  <si>
    <t>BANYAN TREE HOTEL(water terrace suite )</t>
  </si>
  <si>
    <t>6일차</t>
  </si>
  <si>
    <t>식  사</t>
  </si>
  <si>
    <t>1일차 석식</t>
  </si>
  <si>
    <t>현지식</t>
  </si>
  <si>
    <t>인</t>
  </si>
  <si>
    <t>2일차 중식</t>
  </si>
  <si>
    <t>2일차 석식</t>
  </si>
  <si>
    <t>3일차 중식</t>
  </si>
  <si>
    <t>3일차 석식</t>
  </si>
  <si>
    <t>4일차 중식</t>
  </si>
  <si>
    <t>4일차 석식</t>
  </si>
  <si>
    <t>5일차 중식</t>
  </si>
  <si>
    <t>5일차 석식</t>
  </si>
  <si>
    <t>6일차 중식</t>
  </si>
  <si>
    <t>6일차 석식</t>
  </si>
  <si>
    <t>7일차 중식</t>
  </si>
  <si>
    <t>교통비</t>
  </si>
  <si>
    <t>1일차~7일차</t>
  </si>
  <si>
    <t>12인승 벤츠차량</t>
  </si>
  <si>
    <t>대</t>
  </si>
  <si>
    <t>입장료</t>
  </si>
  <si>
    <t>임정</t>
  </si>
  <si>
    <t>황포강유람선</t>
  </si>
  <si>
    <t>졸정원</t>
  </si>
  <si>
    <t>소주운하</t>
  </si>
  <si>
    <t>서호유람선</t>
  </si>
  <si>
    <t>성황각</t>
  </si>
  <si>
    <t>용정차시음</t>
  </si>
  <si>
    <t>송성쇼-vip석</t>
  </si>
  <si>
    <t>스벅커피</t>
  </si>
  <si>
    <t>동방명주</t>
  </si>
  <si>
    <t>동방문화원</t>
  </si>
  <si>
    <t>예원정원</t>
  </si>
  <si>
    <t>정안사</t>
  </si>
  <si>
    <t>가이드</t>
  </si>
  <si>
    <t>가이드 기사팁</t>
  </si>
  <si>
    <t>쇼핑</t>
  </si>
  <si>
    <t>라텍스</t>
  </si>
  <si>
    <t>차집</t>
  </si>
  <si>
    <t>기  타</t>
  </si>
  <si>
    <t>노옵션 차지</t>
  </si>
  <si>
    <t>주류(맥주)</t>
  </si>
  <si>
    <t>회</t>
  </si>
  <si>
    <t>세미나실비용</t>
  </si>
  <si>
    <t>협력사 수익</t>
  </si>
  <si>
    <t>수수료</t>
  </si>
  <si>
    <t>명</t>
  </si>
  <si>
    <t>금액</t>
  </si>
  <si>
    <t>US$</t>
  </si>
  <si>
    <t xml:space="preserve">REMARKS </t>
  </si>
  <si>
    <t xml:space="preserve"> </t>
  </si>
  <si>
    <t>총 금액 ( 협력사 수익 포함 )</t>
  </si>
  <si>
    <t>인당 요금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</si>
</sst>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4" formatCode="\$#,##0_);[Red]\(\$#,##0\)"/>
    <numFmt numFmtId="176" formatCode="yyyy&quot;년&quot;\ m&quot;월&quot;\ d&quot;일&quot;;@"/>
    <numFmt numFmtId="177" formatCode="&quot;US$&quot;#,##0"/>
    <numFmt numFmtId="178" formatCode="m&quot;월&quot;\ d&quot;일&quot;;@"/>
    <numFmt numFmtId="179" formatCode="&quot;US$&quot;#,##0_);[Red]\(&quot;US$&quot;#,##0\)"/>
    <numFmt numFmtId="180" formatCode="@\ &quot;PAX&quot;"/>
  </numFmts>
  <fonts count="15">
    <font>
      <sz val="11"/>
      <color theme="1"/>
      <name val="맑은 고딕"/>
      <family val="2"/>
      <charset val="129"/>
      <scheme val="minor"/>
    </font>
    <font>
      <b/>
      <sz val="22"/>
      <name val="나눔고딕"/>
      <family val="3"/>
    </font>
    <font>
      <sz val="8"/>
      <name val="맑은 고딕"/>
      <family val="2"/>
      <charset val="129"/>
      <scheme val="minor"/>
    </font>
    <font>
      <b/>
      <sz val="9"/>
      <name val="나눔고딕"/>
      <family val="3"/>
    </font>
    <font>
      <b/>
      <sz val="10"/>
      <name val="나눔고딕"/>
      <family val="3"/>
    </font>
    <font>
      <b/>
      <sz val="10"/>
      <color rgb="FFFF0000"/>
      <name val="나눔고딕"/>
      <family val="3"/>
      <charset val="129"/>
    </font>
    <font>
      <b/>
      <sz val="10"/>
      <color indexed="8"/>
      <name val="나눔고딕"/>
      <family val="3"/>
    </font>
    <font>
      <sz val="10"/>
      <name val="Malgun Gothic"/>
      <family val="3"/>
      <charset val="134"/>
    </font>
    <font>
      <sz val="10"/>
      <color theme="1"/>
      <name val="Malgun Gothic"/>
      <family val="3"/>
      <charset val="129"/>
    </font>
    <font>
      <sz val="10"/>
      <color indexed="8"/>
      <name val="Malgun Gothic"/>
      <family val="3"/>
      <charset val="134"/>
    </font>
    <font>
      <sz val="10"/>
      <name val="나눔고딕"/>
      <family val="3"/>
    </font>
    <font>
      <sz val="10"/>
      <color indexed="8"/>
      <name val="나눔고딕"/>
      <family val="3"/>
    </font>
    <font>
      <sz val="10"/>
      <color theme="1"/>
      <name val="나눔고딕"/>
      <family val="3"/>
      <charset val="129"/>
    </font>
    <font>
      <sz val="10"/>
      <color rgb="FFFF0000"/>
      <name val="나눔고딕"/>
      <family val="3"/>
      <charset val="129"/>
    </font>
    <font>
      <b/>
      <sz val="12"/>
      <color rgb="FFFF0000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2" fontId="4" fillId="2" borderId="16" xfId="0" applyNumberFormat="1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1" fontId="4" fillId="0" borderId="16" xfId="0" applyNumberFormat="1" applyFont="1" applyBorder="1" applyAlignment="1">
      <alignment horizontal="center" vertical="center" shrinkToFit="1"/>
    </xf>
    <xf numFmtId="49" fontId="4" fillId="2" borderId="1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shrinkToFit="1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4" xfId="0" applyFont="1" applyFill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79" fontId="7" fillId="0" borderId="4" xfId="0" applyNumberFormat="1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9" fontId="7" fillId="0" borderId="6" xfId="0" applyNumberFormat="1" applyFont="1" applyBorder="1" applyAlignment="1">
      <alignment horizontal="right" vertical="center"/>
    </xf>
    <xf numFmtId="179" fontId="7" fillId="0" borderId="26" xfId="0" applyNumberFormat="1" applyFont="1" applyBorder="1" applyAlignment="1">
      <alignment horizontal="left" vertical="center"/>
    </xf>
    <xf numFmtId="178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179" fontId="7" fillId="0" borderId="10" xfId="0" applyNumberFormat="1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79" fontId="7" fillId="0" borderId="16" xfId="0" applyNumberFormat="1" applyFont="1" applyBorder="1" applyAlignment="1">
      <alignment horizontal="right" vertical="center"/>
    </xf>
    <xf numFmtId="179" fontId="7" fillId="0" borderId="17" xfId="0" applyNumberFormat="1" applyFont="1" applyBorder="1" applyAlignment="1">
      <alignment horizontal="left" vertical="center"/>
    </xf>
    <xf numFmtId="178" fontId="7" fillId="3" borderId="10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79" fontId="7" fillId="3" borderId="16" xfId="0" applyNumberFormat="1" applyFont="1" applyFill="1" applyBorder="1" applyAlignment="1">
      <alignment horizontal="right" vertical="center"/>
    </xf>
    <xf numFmtId="178" fontId="7" fillId="4" borderId="10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179" fontId="7" fillId="4" borderId="10" xfId="0" applyNumberFormat="1" applyFont="1" applyFill="1" applyBorder="1">
      <alignment vertical="center"/>
    </xf>
    <xf numFmtId="0" fontId="8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79" fontId="7" fillId="4" borderId="16" xfId="0" applyNumberFormat="1" applyFont="1" applyFill="1" applyBorder="1" applyAlignment="1">
      <alignment horizontal="right" vertical="center"/>
    </xf>
    <xf numFmtId="178" fontId="7" fillId="4" borderId="29" xfId="0" applyNumberFormat="1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 wrapText="1"/>
    </xf>
    <xf numFmtId="179" fontId="7" fillId="4" borderId="29" xfId="0" applyNumberFormat="1" applyFont="1" applyFill="1" applyBorder="1">
      <alignment vertical="center"/>
    </xf>
    <xf numFmtId="0" fontId="8" fillId="4" borderId="29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 wrapText="1"/>
    </xf>
    <xf numFmtId="179" fontId="7" fillId="4" borderId="30" xfId="0" applyNumberFormat="1" applyFont="1" applyFill="1" applyBorder="1" applyAlignment="1">
      <alignment horizontal="right" vertical="center"/>
    </xf>
    <xf numFmtId="179" fontId="7" fillId="0" borderId="31" xfId="0" applyNumberFormat="1" applyFont="1" applyBorder="1" applyAlignment="1">
      <alignment horizontal="left" vertical="center"/>
    </xf>
    <xf numFmtId="178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9" fontId="10" fillId="0" borderId="9" xfId="0" applyNumberFormat="1" applyFont="1" applyBorder="1">
      <alignment vertical="center"/>
    </xf>
    <xf numFmtId="179" fontId="11" fillId="5" borderId="32" xfId="0" applyNumberFormat="1" applyFont="1" applyFill="1" applyBorder="1" applyAlignment="1">
      <alignment horizontal="right" vertical="center"/>
    </xf>
    <xf numFmtId="179" fontId="11" fillId="3" borderId="33" xfId="0" applyNumberFormat="1" applyFont="1" applyFill="1" applyBorder="1" applyAlignment="1">
      <alignment horizontal="left" vertical="center"/>
    </xf>
    <xf numFmtId="178" fontId="10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9" fontId="12" fillId="0" borderId="10" xfId="0" applyNumberFormat="1" applyFont="1" applyBorder="1">
      <alignment vertical="center"/>
    </xf>
    <xf numFmtId="179" fontId="12" fillId="5" borderId="16" xfId="0" applyNumberFormat="1" applyFont="1" applyFill="1" applyBorder="1" applyAlignment="1">
      <alignment horizontal="right" vertical="center"/>
    </xf>
    <xf numFmtId="179" fontId="13" fillId="5" borderId="33" xfId="0" applyNumberFormat="1" applyFont="1" applyFill="1" applyBorder="1" applyAlignment="1">
      <alignment horizontal="left" vertical="center"/>
    </xf>
    <xf numFmtId="0" fontId="12" fillId="0" borderId="35" xfId="0" applyFont="1" applyBorder="1" applyAlignment="1">
      <alignment horizontal="center" vertical="center"/>
    </xf>
    <xf numFmtId="179" fontId="12" fillId="5" borderId="12" xfId="0" applyNumberFormat="1" applyFont="1" applyFill="1" applyBorder="1" applyAlignment="1">
      <alignment horizontal="right" vertical="center"/>
    </xf>
    <xf numFmtId="178" fontId="10" fillId="4" borderId="35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79" fontId="12" fillId="4" borderId="10" xfId="0" applyNumberFormat="1" applyFont="1" applyFill="1" applyBorder="1">
      <alignment vertical="center"/>
    </xf>
    <xf numFmtId="0" fontId="12" fillId="4" borderId="35" xfId="0" applyFont="1" applyFill="1" applyBorder="1" applyAlignment="1">
      <alignment horizontal="center" vertical="center"/>
    </xf>
    <xf numFmtId="179" fontId="12" fillId="4" borderId="12" xfId="0" applyNumberFormat="1" applyFont="1" applyFill="1" applyBorder="1" applyAlignment="1">
      <alignment horizontal="right" vertical="center"/>
    </xf>
    <xf numFmtId="178" fontId="10" fillId="0" borderId="29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179" fontId="12" fillId="0" borderId="29" xfId="0" applyNumberFormat="1" applyFont="1" applyBorder="1">
      <alignment vertical="center"/>
    </xf>
    <xf numFmtId="179" fontId="11" fillId="5" borderId="20" xfId="0" applyNumberFormat="1" applyFont="1" applyFill="1" applyBorder="1" applyAlignment="1">
      <alignment horizontal="left" vertical="center"/>
    </xf>
    <xf numFmtId="178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9" fontId="10" fillId="0" borderId="4" xfId="0" applyNumberFormat="1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179" fontId="11" fillId="5" borderId="6" xfId="0" applyNumberFormat="1" applyFont="1" applyFill="1" applyBorder="1" applyAlignment="1">
      <alignment horizontal="right" vertical="center"/>
    </xf>
    <xf numFmtId="179" fontId="11" fillId="5" borderId="36" xfId="0" applyNumberFormat="1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179" fontId="10" fillId="0" borderId="10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179" fontId="11" fillId="5" borderId="38" xfId="0" applyNumberFormat="1" applyFont="1" applyFill="1" applyBorder="1" applyAlignment="1">
      <alignment horizontal="left" vertical="center"/>
    </xf>
    <xf numFmtId="178" fontId="10" fillId="0" borderId="40" xfId="0" applyNumberFormat="1" applyFont="1" applyBorder="1" applyAlignment="1">
      <alignment horizontal="center" vertical="center"/>
    </xf>
    <xf numFmtId="179" fontId="10" fillId="0" borderId="40" xfId="0" applyNumberFormat="1" applyFont="1" applyBorder="1" applyAlignment="1">
      <alignment horizontal="center" vertical="center"/>
    </xf>
    <xf numFmtId="179" fontId="10" fillId="0" borderId="40" xfId="0" applyNumberFormat="1" applyFont="1" applyBorder="1">
      <alignment vertical="center"/>
    </xf>
    <xf numFmtId="0" fontId="10" fillId="0" borderId="40" xfId="0" applyFont="1" applyBorder="1" applyAlignment="1">
      <alignment horizontal="center" vertical="center"/>
    </xf>
    <xf numFmtId="179" fontId="11" fillId="5" borderId="41" xfId="0" applyNumberFormat="1" applyFont="1" applyFill="1" applyBorder="1" applyAlignment="1">
      <alignment horizontal="right" vertical="center"/>
    </xf>
    <xf numFmtId="179" fontId="11" fillId="5" borderId="42" xfId="0" applyNumberFormat="1" applyFont="1" applyFill="1" applyBorder="1" applyAlignment="1">
      <alignment horizontal="left" vertical="center"/>
    </xf>
    <xf numFmtId="178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9" fontId="7" fillId="3" borderId="4" xfId="0" applyNumberFormat="1" applyFont="1" applyFill="1" applyBorder="1" applyAlignment="1">
      <alignment horizontal="center" vertical="center"/>
    </xf>
    <xf numFmtId="179" fontId="9" fillId="3" borderId="6" xfId="0" applyNumberFormat="1" applyFont="1" applyFill="1" applyBorder="1" applyAlignment="1">
      <alignment horizontal="right" vertical="center"/>
    </xf>
    <xf numFmtId="179" fontId="7" fillId="0" borderId="10" xfId="0" applyNumberFormat="1" applyFont="1" applyBorder="1" applyAlignment="1">
      <alignment horizontal="center" vertical="center"/>
    </xf>
    <xf numFmtId="179" fontId="9" fillId="5" borderId="16" xfId="0" applyNumberFormat="1" applyFont="1" applyFill="1" applyBorder="1" applyAlignment="1">
      <alignment horizontal="right" vertical="center"/>
    </xf>
    <xf numFmtId="179" fontId="9" fillId="3" borderId="16" xfId="0" applyNumberFormat="1" applyFont="1" applyFill="1" applyBorder="1" applyAlignment="1">
      <alignment horizontal="right" vertical="center"/>
    </xf>
    <xf numFmtId="179" fontId="7" fillId="4" borderId="10" xfId="0" applyNumberFormat="1" applyFont="1" applyFill="1" applyBorder="1" applyAlignment="1">
      <alignment horizontal="center" vertical="center"/>
    </xf>
    <xf numFmtId="179" fontId="9" fillId="4" borderId="16" xfId="0" applyNumberFormat="1" applyFont="1" applyFill="1" applyBorder="1" applyAlignment="1">
      <alignment horizontal="right" vertical="center"/>
    </xf>
    <xf numFmtId="178" fontId="7" fillId="6" borderId="10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179" fontId="7" fillId="6" borderId="10" xfId="0" applyNumberFormat="1" applyFont="1" applyFill="1" applyBorder="1" applyAlignment="1">
      <alignment horizontal="center" vertical="center"/>
    </xf>
    <xf numFmtId="179" fontId="9" fillId="6" borderId="16" xfId="0" applyNumberFormat="1" applyFont="1" applyFill="1" applyBorder="1" applyAlignment="1">
      <alignment horizontal="right" vertical="center"/>
    </xf>
    <xf numFmtId="178" fontId="7" fillId="6" borderId="29" xfId="0" applyNumberFormat="1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179" fontId="7" fillId="6" borderId="29" xfId="0" applyNumberFormat="1" applyFont="1" applyFill="1" applyBorder="1" applyAlignment="1">
      <alignment horizontal="center" vertical="center"/>
    </xf>
    <xf numFmtId="179" fontId="9" fillId="6" borderId="30" xfId="0" applyNumberFormat="1" applyFont="1" applyFill="1" applyBorder="1" applyAlignment="1">
      <alignment horizontal="right" vertical="center"/>
    </xf>
    <xf numFmtId="179" fontId="10" fillId="0" borderId="4" xfId="0" applyNumberFormat="1" applyFont="1" applyBorder="1" applyAlignment="1">
      <alignment horizontal="center" vertical="center"/>
    </xf>
    <xf numFmtId="179" fontId="10" fillId="0" borderId="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78" fontId="10" fillId="0" borderId="43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1" fillId="5" borderId="30" xfId="0" applyNumberFormat="1" applyFont="1" applyFill="1" applyBorder="1" applyAlignment="1">
      <alignment horizontal="right" vertical="center"/>
    </xf>
    <xf numFmtId="179" fontId="11" fillId="5" borderId="44" xfId="0" applyNumberFormat="1" applyFont="1" applyFill="1" applyBorder="1" applyAlignment="1">
      <alignment horizontal="left" vertical="center"/>
    </xf>
    <xf numFmtId="179" fontId="10" fillId="0" borderId="6" xfId="0" applyNumberFormat="1" applyFont="1" applyBorder="1" applyAlignment="1">
      <alignment horizontal="right" vertical="center"/>
    </xf>
    <xf numFmtId="179" fontId="10" fillId="0" borderId="36" xfId="0" applyNumberFormat="1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179" fontId="10" fillId="0" borderId="32" xfId="0" applyNumberFormat="1" applyFont="1" applyBorder="1" applyAlignment="1">
      <alignment horizontal="right" vertical="center"/>
    </xf>
    <xf numFmtId="179" fontId="10" fillId="0" borderId="38" xfId="0" applyNumberFormat="1" applyFont="1" applyBorder="1" applyAlignment="1">
      <alignment horizontal="left" vertical="center"/>
    </xf>
    <xf numFmtId="179" fontId="10" fillId="0" borderId="45" xfId="0" applyNumberFormat="1" applyFont="1" applyBorder="1" applyAlignment="1">
      <alignment horizontal="left" vertical="center"/>
    </xf>
    <xf numFmtId="179" fontId="10" fillId="0" borderId="16" xfId="0" applyNumberFormat="1" applyFont="1" applyBorder="1" applyAlignment="1">
      <alignment horizontal="right" vertical="center"/>
    </xf>
    <xf numFmtId="179" fontId="10" fillId="0" borderId="29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79" fontId="10" fillId="0" borderId="30" xfId="0" applyNumberFormat="1" applyFont="1" applyBorder="1" applyAlignment="1">
      <alignment horizontal="right" vertical="center"/>
    </xf>
    <xf numFmtId="179" fontId="10" fillId="0" borderId="44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79" fontId="14" fillId="0" borderId="48" xfId="0" applyNumberFormat="1" applyFont="1" applyBorder="1">
      <alignment vertical="center"/>
    </xf>
    <xf numFmtId="0" fontId="14" fillId="0" borderId="48" xfId="0" applyFont="1" applyBorder="1" applyAlignment="1">
      <alignment horizontal="center" vertical="center"/>
    </xf>
    <xf numFmtId="179" fontId="14" fillId="0" borderId="49" xfId="0" applyNumberFormat="1" applyFont="1" applyBorder="1" applyAlignment="1">
      <alignment horizontal="right" vertical="center"/>
    </xf>
    <xf numFmtId="179" fontId="14" fillId="0" borderId="49" xfId="0" applyNumberFormat="1" applyFont="1" applyBorder="1" applyAlignment="1">
      <alignment horizontal="left" vertical="center"/>
    </xf>
    <xf numFmtId="0" fontId="4" fillId="0" borderId="50" xfId="0" applyFont="1" applyBorder="1" applyAlignment="1">
      <alignment horizontal="center" vertical="center"/>
    </xf>
    <xf numFmtId="0" fontId="4" fillId="0" borderId="50" xfId="0" applyFont="1" applyBorder="1">
      <alignment vertical="center"/>
    </xf>
    <xf numFmtId="24" fontId="4" fillId="0" borderId="50" xfId="0" applyNumberFormat="1" applyFont="1" applyBorder="1" applyAlignment="1">
      <alignment horizontal="right" vertical="center"/>
    </xf>
    <xf numFmtId="38" fontId="4" fillId="0" borderId="51" xfId="0" applyNumberFormat="1" applyFont="1" applyBorder="1" applyAlignment="1">
      <alignment horizontal="right" vertical="center"/>
    </xf>
    <xf numFmtId="38" fontId="4" fillId="0" borderId="51" xfId="0" applyNumberFormat="1" applyFont="1" applyBorder="1" applyAlignment="1">
      <alignment horizontal="left" vertical="center"/>
    </xf>
    <xf numFmtId="0" fontId="4" fillId="0" borderId="5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4" fontId="4" fillId="0" borderId="0" xfId="0" applyNumberFormat="1" applyFont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38" fontId="4" fillId="5" borderId="46" xfId="0" applyNumberFormat="1" applyFont="1" applyFill="1" applyBorder="1" applyAlignment="1">
      <alignment horizontal="right" vertical="center"/>
    </xf>
    <xf numFmtId="38" fontId="4" fillId="5" borderId="51" xfId="0" applyNumberFormat="1" applyFont="1" applyFill="1" applyBorder="1" applyAlignment="1">
      <alignment horizontal="right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50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180" fontId="4" fillId="5" borderId="46" xfId="0" applyNumberFormat="1" applyFont="1" applyFill="1" applyBorder="1" applyAlignment="1">
      <alignment horizontal="right" vertical="center"/>
    </xf>
    <xf numFmtId="180" fontId="4" fillId="5" borderId="51" xfId="0" applyNumberFormat="1" applyFont="1" applyFill="1" applyBorder="1" applyAlignment="1">
      <alignment horizontal="right" vertical="center"/>
    </xf>
    <xf numFmtId="17" fontId="4" fillId="0" borderId="22" xfId="0" applyNumberFormat="1" applyFont="1" applyBorder="1" applyAlignment="1">
      <alignment horizontal="center" vertical="center"/>
    </xf>
    <xf numFmtId="17" fontId="4" fillId="0" borderId="37" xfId="0" applyNumberFormat="1" applyFont="1" applyBorder="1" applyAlignment="1">
      <alignment horizontal="center" vertical="center"/>
    </xf>
    <xf numFmtId="17" fontId="4" fillId="0" borderId="39" xfId="0" applyNumberFormat="1" applyFont="1" applyBorder="1" applyAlignment="1">
      <alignment horizontal="center" vertical="center"/>
    </xf>
    <xf numFmtId="17" fontId="14" fillId="0" borderId="46" xfId="0" applyNumberFormat="1" applyFont="1" applyBorder="1" applyAlignment="1">
      <alignment horizontal="center" vertical="center"/>
    </xf>
    <xf numFmtId="17" fontId="14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shrinkToFit="1"/>
    </xf>
    <xf numFmtId="17" fontId="4" fillId="0" borderId="25" xfId="0" applyNumberFormat="1" applyFont="1" applyBorder="1" applyAlignment="1">
      <alignment horizontal="center" vertical="center"/>
    </xf>
    <xf numFmtId="17" fontId="4" fillId="0" borderId="27" xfId="0" applyNumberFormat="1" applyFont="1" applyBorder="1" applyAlignment="1">
      <alignment horizontal="center" vertical="center"/>
    </xf>
    <xf numFmtId="17" fontId="4" fillId="0" borderId="28" xfId="0" applyNumberFormat="1" applyFont="1" applyBorder="1" applyAlignment="1">
      <alignment horizontal="center" vertical="center"/>
    </xf>
    <xf numFmtId="17" fontId="4" fillId="0" borderId="13" xfId="0" applyNumberFormat="1" applyFont="1" applyBorder="1" applyAlignment="1">
      <alignment horizontal="center" vertical="center"/>
    </xf>
    <xf numFmtId="17" fontId="4" fillId="0" borderId="3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176" fontId="5" fillId="0" borderId="11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 shrinkToFit="1"/>
    </xf>
    <xf numFmtId="177" fontId="4" fillId="0" borderId="8" xfId="0" applyNumberFormat="1" applyFont="1" applyBorder="1" applyAlignment="1">
      <alignment horizontal="center" vertical="center" shrinkToFit="1"/>
    </xf>
    <xf numFmtId="177" fontId="4" fillId="0" borderId="11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177" fontId="4" fillId="0" borderId="17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shrinkToFit="1"/>
    </xf>
    <xf numFmtId="0" fontId="4" fillId="0" borderId="1" xfId="0" applyFont="1" applyBorder="1" applyAlignment="1">
      <alignment horizontal="left" vertical="center" wrapText="1" shrinkToFit="1"/>
    </xf>
    <xf numFmtId="0" fontId="4" fillId="0" borderId="20" xfId="0" applyFont="1" applyBorder="1" applyAlignment="1">
      <alignment horizontal="left" vertical="center" wrapText="1" shrinkToFi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shrinkToFit="1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12C3-947A-F44B-9A38-69A079DF479C}">
  <dimension ref="A1:I63"/>
  <sheetViews>
    <sheetView tabSelected="1" topLeftCell="A18" zoomScale="135" workbookViewId="0">
      <selection activeCell="G38" sqref="G38"/>
    </sheetView>
  </sheetViews>
  <sheetFormatPr baseColWidth="10" defaultColWidth="8.83203125" defaultRowHeight="17"/>
  <cols>
    <col min="1" max="1" width="12.6640625" bestFit="1" customWidth="1"/>
    <col min="2" max="2" width="10.6640625" bestFit="1" customWidth="1"/>
    <col min="3" max="3" width="27" customWidth="1"/>
    <col min="4" max="4" width="11.6640625" customWidth="1"/>
    <col min="8" max="8" width="11.33203125" customWidth="1"/>
  </cols>
  <sheetData>
    <row r="1" spans="1:9" ht="29" thickBot="1">
      <c r="A1" s="1"/>
      <c r="B1" s="1"/>
      <c r="C1" s="1"/>
      <c r="D1" s="1"/>
      <c r="E1" s="1"/>
      <c r="F1" s="1"/>
      <c r="G1" s="1"/>
      <c r="H1" s="1"/>
      <c r="I1" s="2"/>
    </row>
    <row r="2" spans="1:9">
      <c r="A2" s="175" t="s">
        <v>0</v>
      </c>
      <c r="B2" s="176"/>
      <c r="C2" s="3" t="s">
        <v>1</v>
      </c>
      <c r="D2" s="3" t="s">
        <v>2</v>
      </c>
      <c r="E2" s="3" t="s">
        <v>3</v>
      </c>
      <c r="F2" s="177" t="s">
        <v>4</v>
      </c>
      <c r="G2" s="176"/>
      <c r="H2" s="4" t="s">
        <v>5</v>
      </c>
      <c r="I2" s="2"/>
    </row>
    <row r="3" spans="1:9">
      <c r="A3" s="178" t="s">
        <v>6</v>
      </c>
      <c r="B3" s="164"/>
      <c r="C3" s="5">
        <v>6</v>
      </c>
      <c r="D3" s="6">
        <v>0</v>
      </c>
      <c r="E3" s="7" t="str">
        <f>C3&amp;"+"&amp;D3</f>
        <v>6+0</v>
      </c>
      <c r="F3" s="179"/>
      <c r="G3" s="180"/>
      <c r="H3" s="8">
        <f ca="1">NOW()</f>
        <v>46008.827108680554</v>
      </c>
      <c r="I3" s="2"/>
    </row>
    <row r="4" spans="1:9">
      <c r="A4" s="9" t="s">
        <v>7</v>
      </c>
      <c r="B4" s="181" t="s">
        <v>8</v>
      </c>
      <c r="C4" s="164"/>
      <c r="D4" s="182" t="s">
        <v>9</v>
      </c>
      <c r="E4" s="183"/>
      <c r="F4" s="184" t="s">
        <v>10</v>
      </c>
      <c r="G4" s="183"/>
      <c r="H4" s="10" t="s">
        <v>11</v>
      </c>
      <c r="I4" s="2"/>
    </row>
    <row r="5" spans="1:9">
      <c r="A5" s="11" t="s">
        <v>12</v>
      </c>
      <c r="B5" s="163" t="s">
        <v>13</v>
      </c>
      <c r="C5" s="164"/>
      <c r="D5" s="165">
        <v>45740</v>
      </c>
      <c r="E5" s="166"/>
      <c r="F5" s="165">
        <v>45746</v>
      </c>
      <c r="G5" s="166"/>
      <c r="H5" s="12">
        <f>F5-D5</f>
        <v>6</v>
      </c>
      <c r="I5" s="2"/>
    </row>
    <row r="6" spans="1:9">
      <c r="A6" s="11" t="s">
        <v>14</v>
      </c>
      <c r="B6" s="167">
        <f>G63</f>
        <v>3397.6666666666665</v>
      </c>
      <c r="C6" s="168"/>
      <c r="D6" s="13" t="s">
        <v>15</v>
      </c>
      <c r="E6" s="169"/>
      <c r="F6" s="170"/>
      <c r="G6" s="170"/>
      <c r="H6" s="171"/>
      <c r="I6" s="2"/>
    </row>
    <row r="7" spans="1:9" ht="18" thickBot="1">
      <c r="A7" s="14" t="s">
        <v>16</v>
      </c>
      <c r="B7" s="172"/>
      <c r="C7" s="173"/>
      <c r="D7" s="173"/>
      <c r="E7" s="173"/>
      <c r="F7" s="173"/>
      <c r="G7" s="173"/>
      <c r="H7" s="174"/>
      <c r="I7" s="2"/>
    </row>
    <row r="8" spans="1:9" ht="18" thickBot="1">
      <c r="A8" s="154"/>
      <c r="B8" s="154"/>
      <c r="C8" s="154"/>
      <c r="D8" s="154"/>
      <c r="E8" s="154"/>
      <c r="F8" s="154"/>
      <c r="G8" s="154"/>
      <c r="H8" s="154"/>
      <c r="I8" s="2"/>
    </row>
    <row r="9" spans="1:9" ht="29" thickBot="1">
      <c r="A9" s="15" t="s">
        <v>17</v>
      </c>
      <c r="B9" s="16" t="s">
        <v>18</v>
      </c>
      <c r="C9" s="16" t="s">
        <v>19</v>
      </c>
      <c r="D9" s="16" t="s">
        <v>20</v>
      </c>
      <c r="E9" s="17" t="s">
        <v>21</v>
      </c>
      <c r="F9" s="18" t="s">
        <v>22</v>
      </c>
      <c r="G9" s="16" t="s">
        <v>23</v>
      </c>
      <c r="H9" s="19" t="s">
        <v>24</v>
      </c>
      <c r="I9" s="19" t="s">
        <v>3</v>
      </c>
    </row>
    <row r="10" spans="1:9">
      <c r="A10" s="155" t="s">
        <v>25</v>
      </c>
      <c r="B10" s="20" t="s">
        <v>26</v>
      </c>
      <c r="C10" s="21" t="s">
        <v>27</v>
      </c>
      <c r="D10" s="22">
        <v>385</v>
      </c>
      <c r="E10" s="23">
        <v>6</v>
      </c>
      <c r="F10" s="24">
        <v>1</v>
      </c>
      <c r="G10" s="24" t="s">
        <v>28</v>
      </c>
      <c r="H10" s="25">
        <f t="shared" ref="H10:H56" si="0">D10*E10*F10</f>
        <v>2310</v>
      </c>
      <c r="I10" s="26" t="s">
        <v>29</v>
      </c>
    </row>
    <row r="11" spans="1:9">
      <c r="A11" s="156"/>
      <c r="B11" s="27" t="s">
        <v>30</v>
      </c>
      <c r="C11" s="28" t="s">
        <v>27</v>
      </c>
      <c r="D11" s="29">
        <v>385</v>
      </c>
      <c r="E11" s="30">
        <v>6</v>
      </c>
      <c r="F11" s="31">
        <v>1</v>
      </c>
      <c r="G11" s="31" t="s">
        <v>28</v>
      </c>
      <c r="H11" s="32">
        <f t="shared" si="0"/>
        <v>2310</v>
      </c>
      <c r="I11" s="33"/>
    </row>
    <row r="12" spans="1:9">
      <c r="A12" s="156"/>
      <c r="B12" s="34" t="s">
        <v>31</v>
      </c>
      <c r="C12" s="28" t="s">
        <v>27</v>
      </c>
      <c r="D12" s="29">
        <v>385</v>
      </c>
      <c r="E12" s="35">
        <v>6</v>
      </c>
      <c r="F12" s="36">
        <v>1</v>
      </c>
      <c r="G12" s="36" t="s">
        <v>28</v>
      </c>
      <c r="H12" s="37">
        <f t="shared" si="0"/>
        <v>2310</v>
      </c>
      <c r="I12" s="33"/>
    </row>
    <row r="13" spans="1:9">
      <c r="A13" s="156"/>
      <c r="B13" s="34" t="s">
        <v>32</v>
      </c>
      <c r="C13" s="28" t="s">
        <v>27</v>
      </c>
      <c r="D13" s="29">
        <v>385</v>
      </c>
      <c r="E13" s="35">
        <v>6</v>
      </c>
      <c r="F13" s="36">
        <v>1</v>
      </c>
      <c r="G13" s="36" t="s">
        <v>28</v>
      </c>
      <c r="H13" s="32">
        <f t="shared" si="0"/>
        <v>2310</v>
      </c>
      <c r="I13" s="33"/>
    </row>
    <row r="14" spans="1:9" ht="32">
      <c r="A14" s="156"/>
      <c r="B14" s="38" t="s">
        <v>33</v>
      </c>
      <c r="C14" s="39" t="s">
        <v>34</v>
      </c>
      <c r="D14" s="40">
        <v>368</v>
      </c>
      <c r="E14" s="41">
        <v>6</v>
      </c>
      <c r="F14" s="42">
        <v>1</v>
      </c>
      <c r="G14" s="42" t="s">
        <v>28</v>
      </c>
      <c r="H14" s="43">
        <f t="shared" si="0"/>
        <v>2208</v>
      </c>
      <c r="I14" s="33"/>
    </row>
    <row r="15" spans="1:9" ht="33" thickBot="1">
      <c r="A15" s="157"/>
      <c r="B15" s="44" t="s">
        <v>35</v>
      </c>
      <c r="C15" s="45" t="s">
        <v>34</v>
      </c>
      <c r="D15" s="46">
        <v>368</v>
      </c>
      <c r="E15" s="47">
        <v>6</v>
      </c>
      <c r="F15" s="48">
        <v>1</v>
      </c>
      <c r="G15" s="49" t="s">
        <v>28</v>
      </c>
      <c r="H15" s="50">
        <f t="shared" si="0"/>
        <v>2208</v>
      </c>
      <c r="I15" s="51"/>
    </row>
    <row r="16" spans="1:9">
      <c r="A16" s="158" t="s">
        <v>36</v>
      </c>
      <c r="B16" s="52" t="s">
        <v>37</v>
      </c>
      <c r="C16" s="53" t="s">
        <v>38</v>
      </c>
      <c r="D16" s="54">
        <v>50</v>
      </c>
      <c r="E16" s="53">
        <f>C3</f>
        <v>6</v>
      </c>
      <c r="F16" s="53">
        <v>1</v>
      </c>
      <c r="G16" s="53" t="s">
        <v>39</v>
      </c>
      <c r="H16" s="55">
        <f t="shared" si="0"/>
        <v>300</v>
      </c>
      <c r="I16" s="56"/>
    </row>
    <row r="17" spans="1:9">
      <c r="A17" s="156"/>
      <c r="B17" s="57" t="s">
        <v>40</v>
      </c>
      <c r="C17" s="58" t="s">
        <v>38</v>
      </c>
      <c r="D17" s="59">
        <v>25</v>
      </c>
      <c r="E17" s="58">
        <f>C3</f>
        <v>6</v>
      </c>
      <c r="F17" s="58">
        <v>1</v>
      </c>
      <c r="G17" s="58" t="s">
        <v>39</v>
      </c>
      <c r="H17" s="60">
        <f t="shared" si="0"/>
        <v>150</v>
      </c>
      <c r="I17" s="61"/>
    </row>
    <row r="18" spans="1:9">
      <c r="A18" s="156"/>
      <c r="B18" s="52" t="s">
        <v>41</v>
      </c>
      <c r="C18" s="58" t="s">
        <v>38</v>
      </c>
      <c r="D18" s="59">
        <v>50</v>
      </c>
      <c r="E18" s="58">
        <f>C3</f>
        <v>6</v>
      </c>
      <c r="F18" s="58">
        <v>1</v>
      </c>
      <c r="G18" s="58" t="s">
        <v>39</v>
      </c>
      <c r="H18" s="60">
        <f t="shared" si="0"/>
        <v>300</v>
      </c>
      <c r="I18" s="56"/>
    </row>
    <row r="19" spans="1:9">
      <c r="A19" s="156"/>
      <c r="B19" s="57" t="s">
        <v>42</v>
      </c>
      <c r="C19" s="58" t="s">
        <v>38</v>
      </c>
      <c r="D19" s="59">
        <v>25</v>
      </c>
      <c r="E19" s="58">
        <f>C3</f>
        <v>6</v>
      </c>
      <c r="F19" s="58">
        <v>1</v>
      </c>
      <c r="G19" s="58" t="s">
        <v>39</v>
      </c>
      <c r="H19" s="60">
        <f t="shared" si="0"/>
        <v>150</v>
      </c>
      <c r="I19" s="56"/>
    </row>
    <row r="20" spans="1:9">
      <c r="A20" s="156"/>
      <c r="B20" s="52" t="s">
        <v>43</v>
      </c>
      <c r="C20" s="58" t="s">
        <v>38</v>
      </c>
      <c r="D20" s="59">
        <v>50</v>
      </c>
      <c r="E20" s="58">
        <f>C3</f>
        <v>6</v>
      </c>
      <c r="F20" s="58">
        <v>1</v>
      </c>
      <c r="G20" s="58" t="s">
        <v>39</v>
      </c>
      <c r="H20" s="60">
        <f t="shared" si="0"/>
        <v>300</v>
      </c>
      <c r="I20" s="56"/>
    </row>
    <row r="21" spans="1:9">
      <c r="A21" s="159"/>
      <c r="B21" s="57" t="s">
        <v>44</v>
      </c>
      <c r="C21" s="58" t="s">
        <v>38</v>
      </c>
      <c r="D21" s="59">
        <v>50</v>
      </c>
      <c r="E21" s="62">
        <f>C3</f>
        <v>6</v>
      </c>
      <c r="F21" s="58">
        <v>1</v>
      </c>
      <c r="G21" s="58" t="s">
        <v>39</v>
      </c>
      <c r="H21" s="63">
        <f t="shared" si="0"/>
        <v>300</v>
      </c>
      <c r="I21" s="56"/>
    </row>
    <row r="22" spans="1:9">
      <c r="A22" s="159"/>
      <c r="B22" s="52" t="s">
        <v>45</v>
      </c>
      <c r="C22" s="58" t="s">
        <v>38</v>
      </c>
      <c r="D22" s="59">
        <v>50</v>
      </c>
      <c r="E22" s="62">
        <f>C3</f>
        <v>6</v>
      </c>
      <c r="F22" s="58">
        <v>1</v>
      </c>
      <c r="G22" s="58" t="s">
        <v>39</v>
      </c>
      <c r="H22" s="63">
        <f t="shared" si="0"/>
        <v>300</v>
      </c>
      <c r="I22" s="56"/>
    </row>
    <row r="23" spans="1:9">
      <c r="A23" s="159"/>
      <c r="B23" s="57" t="s">
        <v>46</v>
      </c>
      <c r="C23" s="58" t="s">
        <v>38</v>
      </c>
      <c r="D23" s="59">
        <v>50</v>
      </c>
      <c r="E23" s="62">
        <f>C3</f>
        <v>6</v>
      </c>
      <c r="F23" s="58">
        <v>1</v>
      </c>
      <c r="G23" s="58" t="s">
        <v>39</v>
      </c>
      <c r="H23" s="63">
        <f t="shared" si="0"/>
        <v>300</v>
      </c>
      <c r="I23" s="56"/>
    </row>
    <row r="24" spans="1:9">
      <c r="A24" s="159"/>
      <c r="B24" s="52" t="s">
        <v>47</v>
      </c>
      <c r="C24" s="58" t="s">
        <v>38</v>
      </c>
      <c r="D24" s="59">
        <v>50</v>
      </c>
      <c r="E24" s="62">
        <f>C3</f>
        <v>6</v>
      </c>
      <c r="F24" s="58">
        <v>1</v>
      </c>
      <c r="G24" s="58" t="s">
        <v>39</v>
      </c>
      <c r="H24" s="63">
        <f t="shared" si="0"/>
        <v>300</v>
      </c>
      <c r="I24" s="56"/>
    </row>
    <row r="25" spans="1:9">
      <c r="A25" s="159"/>
      <c r="B25" s="57" t="s">
        <v>48</v>
      </c>
      <c r="C25" s="58" t="s">
        <v>38</v>
      </c>
      <c r="D25" s="59">
        <v>50</v>
      </c>
      <c r="E25" s="62">
        <f>C3</f>
        <v>6</v>
      </c>
      <c r="F25" s="58">
        <v>1</v>
      </c>
      <c r="G25" s="58" t="s">
        <v>39</v>
      </c>
      <c r="H25" s="63">
        <f t="shared" si="0"/>
        <v>300</v>
      </c>
      <c r="I25" s="56"/>
    </row>
    <row r="26" spans="1:9">
      <c r="A26" s="159"/>
      <c r="B26" s="52" t="s">
        <v>49</v>
      </c>
      <c r="C26" s="58" t="s">
        <v>38</v>
      </c>
      <c r="D26" s="59">
        <v>50</v>
      </c>
      <c r="E26" s="62">
        <f>C3</f>
        <v>6</v>
      </c>
      <c r="F26" s="58">
        <v>1</v>
      </c>
      <c r="G26" s="58" t="s">
        <v>39</v>
      </c>
      <c r="H26" s="63">
        <f t="shared" si="0"/>
        <v>300</v>
      </c>
      <c r="I26" s="56"/>
    </row>
    <row r="27" spans="1:9">
      <c r="A27" s="159"/>
      <c r="B27" s="64" t="s">
        <v>50</v>
      </c>
      <c r="C27" s="65" t="s">
        <v>38</v>
      </c>
      <c r="D27" s="66">
        <v>50</v>
      </c>
      <c r="E27" s="67">
        <f>C3</f>
        <v>6</v>
      </c>
      <c r="F27" s="65">
        <v>1</v>
      </c>
      <c r="G27" s="65" t="s">
        <v>39</v>
      </c>
      <c r="H27" s="68">
        <f t="shared" si="0"/>
        <v>300</v>
      </c>
      <c r="I27" s="56"/>
    </row>
    <row r="28" spans="1:9" ht="18" thickBot="1">
      <c r="A28" s="157"/>
      <c r="B28" s="69"/>
      <c r="C28" s="70"/>
      <c r="D28" s="71"/>
      <c r="E28" s="70"/>
      <c r="F28" s="70"/>
      <c r="G28" s="70"/>
      <c r="H28" s="63">
        <f t="shared" si="0"/>
        <v>0</v>
      </c>
      <c r="I28" s="72"/>
    </row>
    <row r="29" spans="1:9">
      <c r="A29" s="146" t="s">
        <v>51</v>
      </c>
      <c r="B29" s="73" t="s">
        <v>52</v>
      </c>
      <c r="C29" s="74" t="s">
        <v>53</v>
      </c>
      <c r="D29" s="75">
        <v>200</v>
      </c>
      <c r="E29" s="76">
        <v>1</v>
      </c>
      <c r="F29" s="74">
        <v>7</v>
      </c>
      <c r="G29" s="74" t="s">
        <v>54</v>
      </c>
      <c r="H29" s="77">
        <f t="shared" si="0"/>
        <v>1400</v>
      </c>
      <c r="I29" s="78"/>
    </row>
    <row r="30" spans="1:9">
      <c r="A30" s="147"/>
      <c r="B30" s="57"/>
      <c r="C30" s="79"/>
      <c r="D30" s="80">
        <v>0</v>
      </c>
      <c r="E30" s="81">
        <v>1</v>
      </c>
      <c r="F30" s="53">
        <v>1</v>
      </c>
      <c r="G30" s="53" t="s">
        <v>54</v>
      </c>
      <c r="H30" s="55">
        <f t="shared" si="0"/>
        <v>0</v>
      </c>
      <c r="I30" s="82"/>
    </row>
    <row r="31" spans="1:9">
      <c r="A31" s="147"/>
      <c r="B31" s="57"/>
      <c r="C31" s="79"/>
      <c r="D31" s="80">
        <v>0</v>
      </c>
      <c r="E31" s="81">
        <v>1</v>
      </c>
      <c r="F31" s="53">
        <v>1</v>
      </c>
      <c r="G31" s="53" t="s">
        <v>54</v>
      </c>
      <c r="H31" s="55">
        <f t="shared" si="0"/>
        <v>0</v>
      </c>
      <c r="I31" s="82"/>
    </row>
    <row r="32" spans="1:9">
      <c r="A32" s="147"/>
      <c r="B32" s="57"/>
      <c r="C32" s="79"/>
      <c r="D32" s="80">
        <v>0</v>
      </c>
      <c r="E32" s="81">
        <v>1</v>
      </c>
      <c r="F32" s="53">
        <v>1</v>
      </c>
      <c r="G32" s="53" t="s">
        <v>54</v>
      </c>
      <c r="H32" s="55">
        <f t="shared" si="0"/>
        <v>0</v>
      </c>
      <c r="I32" s="82"/>
    </row>
    <row r="33" spans="1:9">
      <c r="A33" s="147"/>
      <c r="B33" s="57"/>
      <c r="C33" s="79"/>
      <c r="D33" s="54"/>
      <c r="E33" s="53"/>
      <c r="F33" s="53"/>
      <c r="G33" s="53"/>
      <c r="H33" s="55">
        <f t="shared" si="0"/>
        <v>0</v>
      </c>
      <c r="I33" s="82"/>
    </row>
    <row r="34" spans="1:9" ht="18" thickBot="1">
      <c r="A34" s="148"/>
      <c r="B34" s="83"/>
      <c r="C34" s="84"/>
      <c r="D34" s="85"/>
      <c r="E34" s="86"/>
      <c r="F34" s="86"/>
      <c r="G34" s="86"/>
      <c r="H34" s="87">
        <f t="shared" si="0"/>
        <v>0</v>
      </c>
      <c r="I34" s="88"/>
    </row>
    <row r="35" spans="1:9">
      <c r="A35" s="160" t="s">
        <v>55</v>
      </c>
      <c r="B35" s="89"/>
      <c r="C35" s="90" t="s">
        <v>56</v>
      </c>
      <c r="D35" s="91">
        <v>3</v>
      </c>
      <c r="E35" s="90">
        <f t="shared" ref="E35:E47" si="1">$C$3+$D$3</f>
        <v>6</v>
      </c>
      <c r="F35" s="90">
        <v>1</v>
      </c>
      <c r="G35" s="90" t="s">
        <v>39</v>
      </c>
      <c r="H35" s="92">
        <f t="shared" si="0"/>
        <v>18</v>
      </c>
      <c r="I35" s="78"/>
    </row>
    <row r="36" spans="1:9">
      <c r="A36" s="161"/>
      <c r="B36" s="27"/>
      <c r="C36" s="31" t="s">
        <v>57</v>
      </c>
      <c r="D36" s="93">
        <v>10</v>
      </c>
      <c r="E36" s="31">
        <f t="shared" si="1"/>
        <v>6</v>
      </c>
      <c r="F36" s="31">
        <v>1</v>
      </c>
      <c r="G36" s="31" t="s">
        <v>39</v>
      </c>
      <c r="H36" s="94">
        <f t="shared" si="0"/>
        <v>60</v>
      </c>
      <c r="I36" s="82"/>
    </row>
    <row r="37" spans="1:9">
      <c r="A37" s="161"/>
      <c r="B37" s="27"/>
      <c r="C37" s="31" t="s">
        <v>58</v>
      </c>
      <c r="D37" s="93">
        <v>13</v>
      </c>
      <c r="E37" s="31">
        <f t="shared" si="1"/>
        <v>6</v>
      </c>
      <c r="F37" s="31">
        <v>1</v>
      </c>
      <c r="G37" s="31" t="s">
        <v>39</v>
      </c>
      <c r="H37" s="95">
        <f t="shared" si="0"/>
        <v>78</v>
      </c>
      <c r="I37" s="82"/>
    </row>
    <row r="38" spans="1:9">
      <c r="A38" s="161"/>
      <c r="B38" s="27"/>
      <c r="C38" s="31" t="s">
        <v>59</v>
      </c>
      <c r="D38" s="93">
        <v>8</v>
      </c>
      <c r="E38" s="31">
        <f t="shared" si="1"/>
        <v>6</v>
      </c>
      <c r="F38" s="31">
        <v>1</v>
      </c>
      <c r="G38" s="31" t="s">
        <v>39</v>
      </c>
      <c r="H38" s="94">
        <f t="shared" si="0"/>
        <v>48</v>
      </c>
      <c r="I38" s="82"/>
    </row>
    <row r="39" spans="1:9">
      <c r="A39" s="161"/>
      <c r="B39" s="27"/>
      <c r="C39" s="31" t="s">
        <v>60</v>
      </c>
      <c r="D39" s="93">
        <v>6</v>
      </c>
      <c r="E39" s="31">
        <f t="shared" si="1"/>
        <v>6</v>
      </c>
      <c r="F39" s="31">
        <v>1</v>
      </c>
      <c r="G39" s="31" t="s">
        <v>39</v>
      </c>
      <c r="H39" s="95">
        <f t="shared" si="0"/>
        <v>36</v>
      </c>
      <c r="I39" s="82"/>
    </row>
    <row r="40" spans="1:9">
      <c r="A40" s="161"/>
      <c r="B40" s="27"/>
      <c r="C40" s="31" t="s">
        <v>61</v>
      </c>
      <c r="D40" s="93">
        <v>3</v>
      </c>
      <c r="E40" s="31">
        <f t="shared" si="1"/>
        <v>6</v>
      </c>
      <c r="F40" s="31">
        <v>1</v>
      </c>
      <c r="G40" s="31" t="s">
        <v>39</v>
      </c>
      <c r="H40" s="94">
        <f t="shared" si="0"/>
        <v>18</v>
      </c>
      <c r="I40" s="82"/>
    </row>
    <row r="41" spans="1:9">
      <c r="A41" s="161"/>
      <c r="B41" s="27"/>
      <c r="C41" s="31" t="s">
        <v>62</v>
      </c>
      <c r="D41" s="93">
        <v>15</v>
      </c>
      <c r="E41" s="31">
        <f t="shared" si="1"/>
        <v>6</v>
      </c>
      <c r="F41" s="31">
        <v>1</v>
      </c>
      <c r="G41" s="31" t="s">
        <v>39</v>
      </c>
      <c r="H41" s="95">
        <f t="shared" si="0"/>
        <v>90</v>
      </c>
      <c r="I41" s="82"/>
    </row>
    <row r="42" spans="1:9">
      <c r="A42" s="161"/>
      <c r="B42" s="27"/>
      <c r="C42" s="31" t="s">
        <v>63</v>
      </c>
      <c r="D42" s="93">
        <v>23</v>
      </c>
      <c r="E42" s="31">
        <f t="shared" si="1"/>
        <v>6</v>
      </c>
      <c r="F42" s="31">
        <v>1</v>
      </c>
      <c r="G42" s="31" t="s">
        <v>39</v>
      </c>
      <c r="H42" s="94">
        <f t="shared" si="0"/>
        <v>138</v>
      </c>
      <c r="I42" s="82"/>
    </row>
    <row r="43" spans="1:9">
      <c r="A43" s="161"/>
      <c r="B43" s="27"/>
      <c r="C43" s="31" t="s">
        <v>64</v>
      </c>
      <c r="D43" s="93">
        <v>10</v>
      </c>
      <c r="E43" s="31">
        <f t="shared" si="1"/>
        <v>6</v>
      </c>
      <c r="F43" s="31">
        <v>1</v>
      </c>
      <c r="G43" s="31" t="s">
        <v>39</v>
      </c>
      <c r="H43" s="95">
        <f t="shared" si="0"/>
        <v>60</v>
      </c>
      <c r="I43" s="82"/>
    </row>
    <row r="44" spans="1:9">
      <c r="A44" s="161"/>
      <c r="B44" s="27"/>
      <c r="C44" s="31" t="s">
        <v>65</v>
      </c>
      <c r="D44" s="93">
        <v>14</v>
      </c>
      <c r="E44" s="31">
        <f t="shared" si="1"/>
        <v>6</v>
      </c>
      <c r="F44" s="31">
        <v>1</v>
      </c>
      <c r="G44" s="31" t="s">
        <v>39</v>
      </c>
      <c r="H44" s="94">
        <f t="shared" si="0"/>
        <v>84</v>
      </c>
      <c r="I44" s="82"/>
    </row>
    <row r="45" spans="1:9">
      <c r="A45" s="161"/>
      <c r="B45" s="38"/>
      <c r="C45" s="42" t="s">
        <v>66</v>
      </c>
      <c r="D45" s="96">
        <v>8</v>
      </c>
      <c r="E45" s="42">
        <f t="shared" si="1"/>
        <v>6</v>
      </c>
      <c r="F45" s="42">
        <v>1</v>
      </c>
      <c r="G45" s="42" t="s">
        <v>39</v>
      </c>
      <c r="H45" s="97">
        <f t="shared" si="0"/>
        <v>48</v>
      </c>
      <c r="I45" s="82"/>
    </row>
    <row r="46" spans="1:9">
      <c r="A46" s="161"/>
      <c r="B46" s="98"/>
      <c r="C46" s="99" t="s">
        <v>67</v>
      </c>
      <c r="D46" s="100">
        <v>6</v>
      </c>
      <c r="E46" s="99">
        <f t="shared" si="1"/>
        <v>6</v>
      </c>
      <c r="F46" s="99">
        <v>1</v>
      </c>
      <c r="G46" s="99" t="s">
        <v>39</v>
      </c>
      <c r="H46" s="101">
        <f t="shared" si="0"/>
        <v>36</v>
      </c>
      <c r="I46" s="82"/>
    </row>
    <row r="47" spans="1:9" ht="18" thickBot="1">
      <c r="A47" s="162"/>
      <c r="B47" s="102"/>
      <c r="C47" s="103" t="s">
        <v>68</v>
      </c>
      <c r="D47" s="104">
        <v>8</v>
      </c>
      <c r="E47" s="103">
        <f t="shared" si="1"/>
        <v>6</v>
      </c>
      <c r="F47" s="103">
        <v>1</v>
      </c>
      <c r="G47" s="103" t="s">
        <v>39</v>
      </c>
      <c r="H47" s="105">
        <f t="shared" si="0"/>
        <v>48</v>
      </c>
      <c r="I47" s="88"/>
    </row>
    <row r="48" spans="1:9">
      <c r="A48" s="146" t="s">
        <v>69</v>
      </c>
      <c r="B48" s="73"/>
      <c r="C48" s="74" t="s">
        <v>70</v>
      </c>
      <c r="D48" s="106">
        <v>140</v>
      </c>
      <c r="E48" s="76">
        <v>1</v>
      </c>
      <c r="F48" s="74">
        <v>7</v>
      </c>
      <c r="G48" s="74" t="s">
        <v>39</v>
      </c>
      <c r="H48" s="77">
        <f t="shared" si="0"/>
        <v>980</v>
      </c>
      <c r="I48" s="78"/>
    </row>
    <row r="49" spans="1:9">
      <c r="A49" s="147"/>
      <c r="B49" s="57"/>
      <c r="C49" s="79"/>
      <c r="D49" s="107"/>
      <c r="E49" s="53"/>
      <c r="F49" s="53"/>
      <c r="G49" s="53"/>
      <c r="H49" s="55">
        <f t="shared" si="0"/>
        <v>0</v>
      </c>
      <c r="I49" s="82"/>
    </row>
    <row r="50" spans="1:9" ht="18" thickBot="1">
      <c r="A50" s="148"/>
      <c r="B50" s="69"/>
      <c r="C50" s="108"/>
      <c r="D50" s="84"/>
      <c r="E50" s="86"/>
      <c r="F50" s="86"/>
      <c r="G50" s="86"/>
      <c r="H50" s="87">
        <f t="shared" si="0"/>
        <v>0</v>
      </c>
      <c r="I50" s="88"/>
    </row>
    <row r="51" spans="1:9">
      <c r="A51" s="146" t="s">
        <v>71</v>
      </c>
      <c r="B51" s="73"/>
      <c r="C51" s="74" t="s">
        <v>72</v>
      </c>
      <c r="D51" s="106">
        <v>0</v>
      </c>
      <c r="E51" s="74">
        <f>$C$3</f>
        <v>6</v>
      </c>
      <c r="F51" s="74">
        <v>1</v>
      </c>
      <c r="G51" s="74" t="s">
        <v>39</v>
      </c>
      <c r="H51" s="77">
        <f t="shared" si="0"/>
        <v>0</v>
      </c>
      <c r="I51" s="78"/>
    </row>
    <row r="52" spans="1:9">
      <c r="A52" s="147"/>
      <c r="B52" s="109"/>
      <c r="C52" s="110" t="s">
        <v>73</v>
      </c>
      <c r="D52" s="111">
        <v>0</v>
      </c>
      <c r="E52" s="79">
        <f>$C$3</f>
        <v>6</v>
      </c>
      <c r="F52" s="79">
        <v>1</v>
      </c>
      <c r="G52" s="79" t="s">
        <v>39</v>
      </c>
      <c r="H52" s="55">
        <f t="shared" si="0"/>
        <v>0</v>
      </c>
      <c r="I52" s="82"/>
    </row>
    <row r="53" spans="1:9" ht="18" thickBot="1">
      <c r="A53" s="148"/>
      <c r="B53" s="69"/>
      <c r="C53" s="108"/>
      <c r="D53" s="84"/>
      <c r="E53" s="86"/>
      <c r="F53" s="86"/>
      <c r="G53" s="86"/>
      <c r="H53" s="112">
        <f t="shared" si="0"/>
        <v>0</v>
      </c>
      <c r="I53" s="113"/>
    </row>
    <row r="54" spans="1:9">
      <c r="A54" s="146" t="s">
        <v>74</v>
      </c>
      <c r="B54" s="73"/>
      <c r="C54" s="74" t="s">
        <v>75</v>
      </c>
      <c r="D54" s="106">
        <v>0</v>
      </c>
      <c r="E54" s="74">
        <v>0</v>
      </c>
      <c r="F54" s="74">
        <v>1</v>
      </c>
      <c r="G54" s="74" t="s">
        <v>39</v>
      </c>
      <c r="H54" s="114">
        <f t="shared" si="0"/>
        <v>0</v>
      </c>
      <c r="I54" s="115"/>
    </row>
    <row r="55" spans="1:9">
      <c r="A55" s="147"/>
      <c r="B55" s="57"/>
      <c r="C55" s="79" t="s">
        <v>76</v>
      </c>
      <c r="D55" s="111">
        <v>0</v>
      </c>
      <c r="E55" s="116">
        <v>0</v>
      </c>
      <c r="F55" s="79">
        <v>1</v>
      </c>
      <c r="G55" s="79" t="s">
        <v>77</v>
      </c>
      <c r="H55" s="117">
        <f t="shared" si="0"/>
        <v>0</v>
      </c>
      <c r="I55" s="118"/>
    </row>
    <row r="56" spans="1:9">
      <c r="A56" s="147"/>
      <c r="B56" s="57"/>
      <c r="C56" s="79" t="s">
        <v>78</v>
      </c>
      <c r="D56" s="111">
        <v>0</v>
      </c>
      <c r="E56" s="116">
        <v>0</v>
      </c>
      <c r="F56" s="79">
        <v>1</v>
      </c>
      <c r="G56" s="79" t="s">
        <v>77</v>
      </c>
      <c r="H56" s="117">
        <f t="shared" si="0"/>
        <v>0</v>
      </c>
      <c r="I56" s="119"/>
    </row>
    <row r="57" spans="1:9">
      <c r="A57" s="147"/>
      <c r="B57" s="57"/>
      <c r="C57" s="79"/>
      <c r="D57" s="111"/>
      <c r="E57" s="116"/>
      <c r="F57" s="79"/>
      <c r="G57" s="79"/>
      <c r="H57" s="120"/>
      <c r="I57" s="119"/>
    </row>
    <row r="58" spans="1:9" ht="18" thickBot="1">
      <c r="A58" s="148"/>
      <c r="B58" s="69"/>
      <c r="C58" s="108"/>
      <c r="D58" s="121"/>
      <c r="E58" s="122"/>
      <c r="F58" s="108"/>
      <c r="G58" s="108"/>
      <c r="H58" s="123"/>
      <c r="I58" s="124"/>
    </row>
    <row r="59" spans="1:9" ht="18" thickBot="1">
      <c r="A59" s="149" t="s">
        <v>79</v>
      </c>
      <c r="B59" s="150"/>
      <c r="C59" s="125" t="s">
        <v>80</v>
      </c>
      <c r="D59" s="126">
        <v>48</v>
      </c>
      <c r="E59" s="127">
        <f>C3</f>
        <v>6</v>
      </c>
      <c r="F59" s="127">
        <v>1</v>
      </c>
      <c r="G59" s="127" t="s">
        <v>81</v>
      </c>
      <c r="H59" s="128">
        <f>D59*E59*F59</f>
        <v>288</v>
      </c>
      <c r="I59" s="129"/>
    </row>
    <row r="60" spans="1:9" ht="18" thickBot="1">
      <c r="A60" s="151" t="s">
        <v>82</v>
      </c>
      <c r="B60" s="152"/>
      <c r="C60" s="130"/>
      <c r="D60" s="131"/>
      <c r="E60" s="131"/>
      <c r="F60" s="131"/>
      <c r="G60" s="132" t="s">
        <v>83</v>
      </c>
      <c r="H60" s="133">
        <f>SUM(H10:H58)</f>
        <v>20098</v>
      </c>
      <c r="I60" s="134"/>
    </row>
    <row r="61" spans="1:9" ht="18" thickBot="1">
      <c r="A61" s="153" t="s">
        <v>84</v>
      </c>
      <c r="B61" s="153"/>
      <c r="C61" s="135"/>
      <c r="D61" s="136"/>
      <c r="E61" s="136"/>
      <c r="F61" s="136"/>
      <c r="G61" s="137"/>
      <c r="H61" s="137" t="s">
        <v>85</v>
      </c>
      <c r="I61" s="2"/>
    </row>
    <row r="62" spans="1:9" ht="18" thickBot="1">
      <c r="A62" s="141" t="s">
        <v>86</v>
      </c>
      <c r="B62" s="142"/>
      <c r="C62" s="142"/>
      <c r="D62" s="142"/>
      <c r="E62" s="143"/>
      <c r="F62" s="138" t="s">
        <v>83</v>
      </c>
      <c r="G62" s="139">
        <f>H59+H60</f>
        <v>20386</v>
      </c>
      <c r="H62" s="140"/>
      <c r="I62" s="2"/>
    </row>
    <row r="63" spans="1:9" ht="18" thickBot="1">
      <c r="A63" s="141" t="s">
        <v>87</v>
      </c>
      <c r="B63" s="142"/>
      <c r="C63" s="142"/>
      <c r="D63" s="142"/>
      <c r="E63" s="143"/>
      <c r="F63" s="138" t="s">
        <v>83</v>
      </c>
      <c r="G63" s="144">
        <f>G62/C3</f>
        <v>3397.6666666666665</v>
      </c>
      <c r="H63" s="145"/>
      <c r="I63" s="2"/>
    </row>
  </sheetData>
  <mergeCells count="28">
    <mergeCell ref="A2:B2"/>
    <mergeCell ref="F2:G2"/>
    <mergeCell ref="A3:B3"/>
    <mergeCell ref="F3:G3"/>
    <mergeCell ref="B4:C4"/>
    <mergeCell ref="D4:E4"/>
    <mergeCell ref="F4:G4"/>
    <mergeCell ref="A48:A50"/>
    <mergeCell ref="B5:C5"/>
    <mergeCell ref="D5:E5"/>
    <mergeCell ref="F5:G5"/>
    <mergeCell ref="B6:C6"/>
    <mergeCell ref="E6:H6"/>
    <mergeCell ref="B7:H7"/>
    <mergeCell ref="A8:H8"/>
    <mergeCell ref="A10:A15"/>
    <mergeCell ref="A16:A28"/>
    <mergeCell ref="A29:A34"/>
    <mergeCell ref="A35:A47"/>
    <mergeCell ref="G62:H62"/>
    <mergeCell ref="A63:E63"/>
    <mergeCell ref="G63:H63"/>
    <mergeCell ref="A51:A53"/>
    <mergeCell ref="A54:A58"/>
    <mergeCell ref="A59:B59"/>
    <mergeCell ref="A60:B60"/>
    <mergeCell ref="A61:B61"/>
    <mergeCell ref="A62:E6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김윤정C</dc:creator>
  <cp:lastModifiedBy>김윤정C</cp:lastModifiedBy>
  <dcterms:created xsi:type="dcterms:W3CDTF">2025-12-09T01:45:21Z</dcterms:created>
  <dcterms:modified xsi:type="dcterms:W3CDTF">2025-12-17T10:51:03Z</dcterms:modified>
</cp:coreProperties>
</file>