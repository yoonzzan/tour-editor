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yoon/Desktop/"/>
    </mc:Choice>
  </mc:AlternateContent>
  <xr:revisionPtr revIDLastSave="0" documentId="8_{06EC5A4D-3495-8E4D-876B-3993832F9C66}" xr6:coauthVersionLast="47" xr6:coauthVersionMax="47" xr10:uidLastSave="{00000000-0000-0000-0000-000000000000}"/>
  <bookViews>
    <workbookView xWindow="25140" yWindow="13620" windowWidth="27300" windowHeight="16380" xr2:uid="{3327BE41-8AC5-EB43-8F98-E28B59D4838C}"/>
  </bookViews>
  <sheets>
    <sheet name="남태 괌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I34" i="1"/>
  <c r="J34" i="1" s="1"/>
  <c r="H34" i="1"/>
  <c r="I33" i="1"/>
  <c r="J33" i="1" s="1"/>
  <c r="H33" i="1"/>
  <c r="I32" i="1"/>
  <c r="J32" i="1" s="1"/>
  <c r="J35" i="1" s="1"/>
  <c r="H32" i="1"/>
  <c r="I27" i="1"/>
  <c r="J27" i="1" s="1"/>
  <c r="H27" i="1"/>
  <c r="I26" i="1"/>
  <c r="J26" i="1" s="1"/>
  <c r="H26" i="1"/>
  <c r="I25" i="1"/>
  <c r="J25" i="1" s="1"/>
  <c r="H25" i="1"/>
  <c r="I24" i="1"/>
  <c r="J24" i="1" s="1"/>
  <c r="H24" i="1"/>
  <c r="H28" i="1" s="1"/>
  <c r="I22" i="1"/>
  <c r="J22" i="1" s="1"/>
  <c r="H22" i="1"/>
  <c r="I21" i="1"/>
  <c r="J21" i="1" s="1"/>
  <c r="H21" i="1"/>
  <c r="J20" i="1"/>
  <c r="I20" i="1"/>
  <c r="H20" i="1"/>
  <c r="I19" i="1"/>
  <c r="J19" i="1" s="1"/>
  <c r="H19" i="1"/>
  <c r="I18" i="1"/>
  <c r="J18" i="1" s="1"/>
  <c r="H18" i="1"/>
  <c r="I17" i="1"/>
  <c r="J17" i="1" s="1"/>
  <c r="H17" i="1"/>
  <c r="I16" i="1"/>
  <c r="J16" i="1" s="1"/>
  <c r="H16" i="1"/>
  <c r="I15" i="1"/>
  <c r="J15" i="1" s="1"/>
  <c r="H15" i="1"/>
  <c r="I14" i="1"/>
  <c r="J14" i="1" s="1"/>
  <c r="H14" i="1"/>
  <c r="I13" i="1"/>
  <c r="J13" i="1" s="1"/>
  <c r="H13" i="1"/>
  <c r="H23" i="1" s="1"/>
  <c r="I11" i="1"/>
  <c r="J11" i="1" s="1"/>
  <c r="H11" i="1"/>
  <c r="I10" i="1"/>
  <c r="J10" i="1" s="1"/>
  <c r="J12" i="1" s="1"/>
  <c r="H10" i="1"/>
  <c r="J9" i="1"/>
  <c r="I9" i="1"/>
  <c r="H9" i="1"/>
  <c r="H12" i="1" s="1"/>
  <c r="J7" i="1"/>
  <c r="J5" i="1"/>
  <c r="J4" i="1"/>
  <c r="J8" i="1" s="1"/>
  <c r="J28" i="1" l="1"/>
  <c r="H36" i="1"/>
  <c r="H41" i="1"/>
  <c r="J23" i="1"/>
  <c r="J36" i="1" s="1"/>
  <c r="H42" i="1" l="1"/>
  <c r="I42" i="1" s="1"/>
  <c r="I41" i="1"/>
</calcChain>
</file>

<file path=xl/sharedStrings.xml><?xml version="1.0" encoding="utf-8"?>
<sst xmlns="http://schemas.openxmlformats.org/spreadsheetml/2006/main" count="96" uniqueCount="75">
  <si>
    <t>*노쇼핑, 가이드기사팁 포함</t>
    <phoneticPr fontId="3" type="noConversion"/>
  </si>
  <si>
    <t>환율</t>
    <phoneticPr fontId="9" type="noConversion"/>
  </si>
  <si>
    <t>*현재 기준 환율 적용/ 출발시점 기준 환율로 변동될수 있음</t>
    <phoneticPr fontId="3" type="noConversion"/>
  </si>
  <si>
    <t>낮3박</t>
    <phoneticPr fontId="3" type="noConversion"/>
  </si>
  <si>
    <t>5/2~5/5</t>
    <phoneticPr fontId="3" type="noConversion"/>
  </si>
  <si>
    <t>인원</t>
    <phoneticPr fontId="9" type="noConversion"/>
  </si>
  <si>
    <t>구   분
(Devision)</t>
    <phoneticPr fontId="9" type="noConversion"/>
  </si>
  <si>
    <t>품   목
(Item)</t>
    <phoneticPr fontId="9" type="noConversion"/>
  </si>
  <si>
    <t>세 부 내 역
(Description)</t>
    <phoneticPr fontId="9" type="noConversion"/>
  </si>
  <si>
    <t>단위
(Unit)</t>
    <phoneticPr fontId="9" type="noConversion"/>
  </si>
  <si>
    <t>수량
(Q'ty)</t>
    <phoneticPr fontId="9" type="noConversion"/>
  </si>
  <si>
    <t>횟수
(C.T)</t>
    <phoneticPr fontId="3" type="noConversion"/>
  </si>
  <si>
    <t>단  가
(Price)</t>
    <phoneticPr fontId="9" type="noConversion"/>
  </si>
  <si>
    <t>금액
(USD)</t>
    <phoneticPr fontId="3" type="noConversion"/>
  </si>
  <si>
    <t>환율
(Exch.)</t>
    <phoneticPr fontId="3" type="noConversion"/>
  </si>
  <si>
    <t>금   액
(Amount)</t>
    <phoneticPr fontId="9" type="noConversion"/>
  </si>
  <si>
    <t>비     고
(Remark)</t>
    <phoneticPr fontId="9" type="noConversion"/>
  </si>
  <si>
    <t>일정</t>
    <phoneticPr fontId="3" type="noConversion"/>
  </si>
  <si>
    <t>조</t>
    <phoneticPr fontId="3" type="noConversion"/>
  </si>
  <si>
    <t>중</t>
    <phoneticPr fontId="3" type="noConversion"/>
  </si>
  <si>
    <t>석</t>
    <phoneticPr fontId="3" type="noConversion"/>
  </si>
  <si>
    <t>1. 항공료</t>
    <phoneticPr fontId="9" type="noConversion"/>
  </si>
  <si>
    <t>항공</t>
    <phoneticPr fontId="9" type="noConversion"/>
  </si>
  <si>
    <t>명</t>
    <phoneticPr fontId="3" type="noConversion"/>
  </si>
  <si>
    <r>
      <t xml:space="preserve">* 실시간 그룹 최저가 기준  
* 발권일에 따라 항공료/택스 변경 가능
</t>
    </r>
    <r>
      <rPr>
        <b/>
        <sz val="8"/>
        <rFont val="나눔고딕"/>
        <family val="3"/>
        <charset val="129"/>
      </rPr>
      <t>* 해당기간 블록 배포 전입니다!</t>
    </r>
    <r>
      <rPr>
        <sz val="8"/>
        <rFont val="나눔고딕"/>
        <family val="3"/>
        <charset val="129"/>
      </rPr>
      <t xml:space="preserve">
 예상가인점 확실하게 안내 부탁드려요/</t>
    </r>
    <phoneticPr fontId="3" type="noConversion"/>
  </si>
  <si>
    <t>1일차</t>
    <phoneticPr fontId="3" type="noConversion"/>
  </si>
  <si>
    <r>
      <t>공항미팅+</t>
    </r>
    <r>
      <rPr>
        <sz val="10"/>
        <color rgb="FFFF0000"/>
        <rFont val="나눔고딕"/>
        <family val="3"/>
        <charset val="129"/>
      </rPr>
      <t>피사이아전망대</t>
    </r>
    <phoneticPr fontId="3" type="noConversion"/>
  </si>
  <si>
    <t>X</t>
    <phoneticPr fontId="3" type="noConversion"/>
  </si>
  <si>
    <t>호텔식</t>
    <phoneticPr fontId="3" type="noConversion"/>
  </si>
  <si>
    <t>2일차</t>
    <phoneticPr fontId="3" type="noConversion"/>
  </si>
  <si>
    <t>시내관광+남부관광</t>
    <phoneticPr fontId="3" type="noConversion"/>
  </si>
  <si>
    <t>현지식</t>
    <phoneticPr fontId="3" type="noConversion"/>
  </si>
  <si>
    <t>한식</t>
    <phoneticPr fontId="3" type="noConversion"/>
  </si>
  <si>
    <t>3일차</t>
  </si>
  <si>
    <t>돌핀크루즈+오션브리즈</t>
    <phoneticPr fontId="3" type="noConversion"/>
  </si>
  <si>
    <t xml:space="preserve"> </t>
    <phoneticPr fontId="3" type="noConversion"/>
  </si>
  <si>
    <t>4일차</t>
  </si>
  <si>
    <t>샌딩</t>
    <phoneticPr fontId="3" type="noConversion"/>
  </si>
  <si>
    <t>소계</t>
    <phoneticPr fontId="3" type="noConversion"/>
  </si>
  <si>
    <t>2. 호텔료</t>
    <phoneticPr fontId="9" type="noConversion"/>
  </si>
  <si>
    <t>호텔</t>
    <phoneticPr fontId="3" type="noConversion"/>
  </si>
  <si>
    <t>리가로얄_오션뷰</t>
    <phoneticPr fontId="3" type="noConversion"/>
  </si>
  <si>
    <t>개</t>
    <phoneticPr fontId="3" type="noConversion"/>
  </si>
  <si>
    <t>조식</t>
    <phoneticPr fontId="3" type="noConversion"/>
  </si>
  <si>
    <t>석식 (라 카스카타 뷔페)</t>
    <phoneticPr fontId="3" type="noConversion"/>
  </si>
  <si>
    <t xml:space="preserve">듀오패스기준(조식1회+석식1회기준)  </t>
    <phoneticPr fontId="3" type="noConversion"/>
  </si>
  <si>
    <t>3. 추가비용안내</t>
    <phoneticPr fontId="9" type="noConversion"/>
  </si>
  <si>
    <t>피시아이 전망대 입장권</t>
    <phoneticPr fontId="3" type="noConversion"/>
  </si>
  <si>
    <t>시내관광(사랑의절벽입장권포함)</t>
    <phoneticPr fontId="3" type="noConversion"/>
  </si>
  <si>
    <t>[중식]현지식</t>
    <phoneticPr fontId="3" type="noConversion"/>
  </si>
  <si>
    <t>남부관광</t>
    <phoneticPr fontId="3" type="noConversion"/>
  </si>
  <si>
    <t>[석식]한식</t>
    <phoneticPr fontId="3" type="noConversion"/>
  </si>
  <si>
    <t>3일차</t>
    <phoneticPr fontId="3" type="noConversion"/>
  </si>
  <si>
    <t>돌핀크루즈</t>
    <phoneticPr fontId="3" type="noConversion"/>
  </si>
  <si>
    <t>업체 셔틀 픽드랍 및 타팀 조인 조건(담당가이드 미동행)</t>
    <phoneticPr fontId="3" type="noConversion"/>
  </si>
  <si>
    <t>오션브리즈</t>
    <phoneticPr fontId="3" type="noConversion"/>
  </si>
  <si>
    <t>[석식]현지식</t>
    <phoneticPr fontId="3" type="noConversion"/>
  </si>
  <si>
    <t>4일차</t>
    <phoneticPr fontId="3" type="noConversion"/>
  </si>
  <si>
    <t>4. 차량비</t>
    <phoneticPr fontId="3" type="noConversion"/>
  </si>
  <si>
    <t>15인승</t>
    <phoneticPr fontId="3" type="noConversion"/>
  </si>
  <si>
    <t>미팅/시내관광/샌딩 어레인지</t>
    <phoneticPr fontId="3" type="noConversion"/>
  </si>
  <si>
    <t>대</t>
    <phoneticPr fontId="3" type="noConversion"/>
  </si>
  <si>
    <t>가이드1 명</t>
    <phoneticPr fontId="3" type="noConversion"/>
  </si>
  <si>
    <t>피시아이 해중전망대 어레인지</t>
    <phoneticPr fontId="3" type="noConversion"/>
  </si>
  <si>
    <t>중식 어레인지</t>
    <phoneticPr fontId="3" type="noConversion"/>
  </si>
  <si>
    <t>석식 어레인지</t>
    <phoneticPr fontId="3" type="noConversion"/>
  </si>
  <si>
    <t>6. 기타</t>
    <phoneticPr fontId="3" type="noConversion"/>
  </si>
  <si>
    <t>기타</t>
    <phoneticPr fontId="3" type="noConversion"/>
  </si>
  <si>
    <t>하나스마트카드</t>
    <phoneticPr fontId="3" type="noConversion"/>
  </si>
  <si>
    <t>괌지사 핸들링비</t>
    <phoneticPr fontId="3" type="noConversion"/>
  </si>
  <si>
    <t>괌 공항세</t>
    <phoneticPr fontId="3" type="noConversion"/>
  </si>
  <si>
    <t>지상비 합계</t>
    <phoneticPr fontId="3" type="noConversion"/>
  </si>
  <si>
    <t>합계</t>
    <phoneticPr fontId="3" type="noConversion"/>
  </si>
  <si>
    <t>호텔+지상+차량+가이드+입장료+핸들링비</t>
    <phoneticPr fontId="3" type="noConversion"/>
  </si>
  <si>
    <t>1인지상비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</si>
</sst>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24" formatCode="\$#,##0_);[Red]\(\$#,##0\)"/>
    <numFmt numFmtId="176" formatCode="#,##0_ "/>
    <numFmt numFmtId="177" formatCode="&quot;+&quot;?&quot;T/C(FOC)&quot;"/>
    <numFmt numFmtId="178" formatCode="_-* #,##0_-;\-* #,##0_-;_-* &quot;-&quot;_-;_-@_-"/>
    <numFmt numFmtId="179" formatCode="_-\$* #,##0_ ;_-\$* \-#,##0\ ;_-\$* &quot;-&quot;_ ;_-@_ "/>
    <numFmt numFmtId="180" formatCode="mm&quot;월&quot;\ dd&quot;일&quot;"/>
    <numFmt numFmtId="181" formatCode="0_);[Red]\(0\)"/>
    <numFmt numFmtId="182" formatCode="&quot;₩&quot;#,##0"/>
  </numFmts>
  <fonts count="2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1"/>
      <name val="나눔고딕"/>
      <family val="3"/>
      <charset val="129"/>
    </font>
    <font>
      <sz val="6"/>
      <name val="나눔고딕"/>
      <family val="3"/>
      <charset val="129"/>
    </font>
    <font>
      <b/>
      <sz val="9"/>
      <name val="나눔고딕"/>
      <family val="3"/>
      <charset val="129"/>
    </font>
    <font>
      <sz val="8"/>
      <name val="돋움"/>
      <family val="3"/>
      <charset val="129"/>
    </font>
    <font>
      <b/>
      <sz val="10"/>
      <name val="나눔고딕"/>
      <family val="3"/>
      <charset val="129"/>
    </font>
    <font>
      <b/>
      <sz val="9"/>
      <color indexed="8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u/>
      <sz val="11"/>
      <color theme="10"/>
      <name val="맑은 고딕"/>
      <family val="3"/>
      <charset val="129"/>
      <scheme val="minor"/>
    </font>
    <font>
      <b/>
      <sz val="9"/>
      <color theme="0"/>
      <name val="나눔고딕"/>
      <family val="3"/>
      <charset val="129"/>
    </font>
    <font>
      <b/>
      <sz val="8"/>
      <color theme="0"/>
      <name val="나눔고딕"/>
      <family val="3"/>
      <charset val="129"/>
    </font>
    <font>
      <sz val="8"/>
      <name val="나눔고딕"/>
      <family val="3"/>
      <charset val="129"/>
    </font>
    <font>
      <b/>
      <sz val="8"/>
      <name val="나눔고딕"/>
      <family val="3"/>
      <charset val="129"/>
    </font>
    <font>
      <sz val="10"/>
      <color rgb="FFFF0000"/>
      <name val="나눔고딕"/>
      <family val="3"/>
      <charset val="129"/>
    </font>
    <font>
      <sz val="8"/>
      <color theme="1"/>
      <name val="나눔고딕"/>
      <family val="3"/>
      <charset val="129"/>
    </font>
    <font>
      <sz val="8"/>
      <color theme="0"/>
      <name val="나눔고딕"/>
      <family val="3"/>
      <charset val="129"/>
    </font>
    <font>
      <sz val="8"/>
      <color rgb="FFFF0000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10"/>
      <color theme="0"/>
      <name val="나눔고딕"/>
      <family val="3"/>
      <charset val="129"/>
    </font>
    <font>
      <sz val="9"/>
      <name val="나눔고딕"/>
      <family val="3"/>
      <charset val="129"/>
    </font>
    <font>
      <b/>
      <i/>
      <sz val="9"/>
      <color rgb="FFFF0000"/>
      <name val="나눔고딕"/>
      <family val="3"/>
      <charset val="129"/>
    </font>
    <font>
      <sz val="9"/>
      <color rgb="FFFF0000"/>
      <name val="나눔고딕"/>
      <family val="3"/>
      <charset val="129"/>
    </font>
    <font>
      <sz val="9"/>
      <color theme="1"/>
      <name val="굴림"/>
      <family val="3"/>
      <charset val="129"/>
    </font>
    <font>
      <sz val="10"/>
      <color theme="1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03A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1" fillId="0" borderId="0"/>
    <xf numFmtId="0" fontId="12" fillId="0" borderId="0" applyNumberFormat="0" applyFill="0" applyBorder="0" applyAlignment="0" applyProtection="0">
      <alignment vertical="center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2" fillId="0" borderId="0" xfId="2" applyFont="1" applyAlignment="1">
      <alignment vertical="center"/>
    </xf>
    <xf numFmtId="0" fontId="5" fillId="0" borderId="0" xfId="0" applyFont="1">
      <alignment vertical="center"/>
    </xf>
    <xf numFmtId="38" fontId="6" fillId="0" borderId="0" xfId="2" applyNumberFormat="1" applyFont="1" applyAlignment="1">
      <alignment horizontal="center" vertical="center"/>
    </xf>
    <xf numFmtId="38" fontId="6" fillId="0" borderId="0" xfId="2" applyNumberFormat="1" applyFont="1" applyAlignment="1">
      <alignment horizontal="right" vertical="center"/>
    </xf>
    <xf numFmtId="40" fontId="7" fillId="0" borderId="0" xfId="2" applyNumberFormat="1" applyFont="1" applyAlignment="1">
      <alignment horizontal="right"/>
    </xf>
    <xf numFmtId="176" fontId="8" fillId="0" borderId="0" xfId="2" applyNumberFormat="1" applyFont="1" applyAlignment="1">
      <alignment horizontal="right" vertical="center"/>
    </xf>
    <xf numFmtId="176" fontId="8" fillId="0" borderId="0" xfId="2" applyNumberFormat="1" applyFont="1" applyAlignment="1">
      <alignment horizontal="center" vertical="center"/>
    </xf>
    <xf numFmtId="0" fontId="6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0" fontId="2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0" fontId="7" fillId="0" borderId="0" xfId="2" applyNumberFormat="1" applyFont="1" applyAlignment="1">
      <alignment horizontal="center" vertical="center"/>
    </xf>
    <xf numFmtId="177" fontId="11" fillId="2" borderId="0" xfId="2" quotePrefix="1" applyNumberFormat="1" applyFont="1" applyFill="1" applyAlignment="1">
      <alignment horizontal="left" vertical="center"/>
    </xf>
    <xf numFmtId="0" fontId="13" fillId="0" borderId="0" xfId="3" applyFont="1">
      <alignment vertical="center"/>
    </xf>
    <xf numFmtId="0" fontId="14" fillId="3" borderId="1" xfId="2" applyFont="1" applyFill="1" applyBorder="1" applyAlignment="1">
      <alignment horizontal="center" vertical="center" wrapText="1"/>
    </xf>
    <xf numFmtId="0" fontId="14" fillId="3" borderId="2" xfId="2" applyFont="1" applyFill="1" applyBorder="1" applyAlignment="1">
      <alignment horizontal="center" vertical="center" wrapText="1"/>
    </xf>
    <xf numFmtId="0" fontId="14" fillId="3" borderId="3" xfId="2" applyFont="1" applyFill="1" applyBorder="1" applyAlignment="1">
      <alignment horizontal="center" vertical="center" wrapText="1"/>
    </xf>
    <xf numFmtId="38" fontId="14" fillId="3" borderId="3" xfId="2" applyNumberFormat="1" applyFont="1" applyFill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5" fillId="3" borderId="7" xfId="2" applyFont="1" applyFill="1" applyBorder="1" applyAlignment="1">
      <alignment horizontal="center" vertical="center"/>
    </xf>
    <xf numFmtId="0" fontId="16" fillId="0" borderId="6" xfId="2" applyFont="1" applyBorder="1" applyAlignment="1">
      <alignment horizontal="center" vertical="center"/>
    </xf>
    <xf numFmtId="24" fontId="16" fillId="0" borderId="1" xfId="2" applyNumberFormat="1" applyFont="1" applyBorder="1" applyAlignment="1">
      <alignment vertical="center" wrapText="1"/>
    </xf>
    <xf numFmtId="38" fontId="16" fillId="0" borderId="1" xfId="4" applyNumberFormat="1" applyFont="1" applyFill="1" applyBorder="1" applyAlignment="1">
      <alignment horizontal="center" vertical="center"/>
    </xf>
    <xf numFmtId="178" fontId="16" fillId="0" borderId="1" xfId="5" applyFont="1" applyFill="1" applyBorder="1" applyAlignment="1">
      <alignment horizontal="right" vertical="center"/>
    </xf>
    <xf numFmtId="38" fontId="16" fillId="0" borderId="1" xfId="4" applyNumberFormat="1" applyFont="1" applyFill="1" applyBorder="1" applyAlignment="1">
      <alignment horizontal="right" vertical="center"/>
    </xf>
    <xf numFmtId="178" fontId="16" fillId="0" borderId="1" xfId="1" applyFont="1" applyFill="1" applyBorder="1" applyAlignment="1">
      <alignment horizontal="right" vertical="center"/>
    </xf>
    <xf numFmtId="38" fontId="16" fillId="0" borderId="1" xfId="2" applyNumberFormat="1" applyFont="1" applyBorder="1" applyAlignment="1">
      <alignment horizontal="right" vertical="center"/>
    </xf>
    <xf numFmtId="13" fontId="16" fillId="0" borderId="7" xfId="2" applyNumberFormat="1" applyFont="1" applyBorder="1" applyAlignment="1">
      <alignment horizontal="center" vertical="center" wrapText="1"/>
    </xf>
    <xf numFmtId="0" fontId="2" fillId="0" borderId="5" xfId="2" applyFont="1" applyBorder="1" applyAlignment="1">
      <alignment vertical="center"/>
    </xf>
    <xf numFmtId="0" fontId="2" fillId="0" borderId="6" xfId="2" applyFont="1" applyBorder="1" applyAlignment="1">
      <alignment vertical="center"/>
    </xf>
    <xf numFmtId="0" fontId="2" fillId="0" borderId="1" xfId="2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5" fillId="3" borderId="8" xfId="2" applyFont="1" applyFill="1" applyBorder="1" applyAlignment="1">
      <alignment horizontal="center" vertical="center"/>
    </xf>
    <xf numFmtId="24" fontId="19" fillId="0" borderId="1" xfId="2" applyNumberFormat="1" applyFont="1" applyBorder="1" applyAlignment="1">
      <alignment vertical="center" wrapText="1"/>
    </xf>
    <xf numFmtId="38" fontId="19" fillId="0" borderId="1" xfId="4" applyNumberFormat="1" applyFont="1" applyFill="1" applyBorder="1" applyAlignment="1">
      <alignment horizontal="center" vertical="center"/>
    </xf>
    <xf numFmtId="178" fontId="19" fillId="0" borderId="1" xfId="5" applyFont="1" applyFill="1" applyBorder="1" applyAlignment="1">
      <alignment horizontal="right" vertical="center"/>
    </xf>
    <xf numFmtId="38" fontId="19" fillId="0" borderId="1" xfId="4" applyNumberFormat="1" applyFont="1" applyFill="1" applyBorder="1" applyAlignment="1">
      <alignment horizontal="right" vertical="center"/>
    </xf>
    <xf numFmtId="13" fontId="16" fillId="0" borderId="8" xfId="2" applyNumberFormat="1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2" fillId="0" borderId="10" xfId="2" applyFont="1" applyBorder="1" applyAlignment="1">
      <alignment vertical="center"/>
    </xf>
    <xf numFmtId="13" fontId="16" fillId="0" borderId="11" xfId="2" applyNumberFormat="1" applyFont="1" applyBorder="1" applyAlignment="1">
      <alignment horizontal="center" vertical="center" wrapText="1"/>
    </xf>
    <xf numFmtId="0" fontId="18" fillId="0" borderId="6" xfId="2" applyFont="1" applyBorder="1" applyAlignment="1">
      <alignment vertical="center"/>
    </xf>
    <xf numFmtId="13" fontId="16" fillId="0" borderId="1" xfId="2" applyNumberFormat="1" applyFont="1" applyBorder="1" applyAlignment="1">
      <alignment horizontal="center" vertical="center" wrapText="1"/>
    </xf>
    <xf numFmtId="0" fontId="15" fillId="3" borderId="11" xfId="2" applyFont="1" applyFill="1" applyBorder="1" applyAlignment="1">
      <alignment horizontal="center" vertical="center"/>
    </xf>
    <xf numFmtId="0" fontId="15" fillId="3" borderId="0" xfId="2" applyFont="1" applyFill="1" applyAlignment="1">
      <alignment horizontal="center" vertical="center"/>
    </xf>
    <xf numFmtId="24" fontId="20" fillId="3" borderId="0" xfId="2" applyNumberFormat="1" applyFont="1" applyFill="1" applyAlignment="1">
      <alignment vertical="center" wrapText="1"/>
    </xf>
    <xf numFmtId="38" fontId="20" fillId="3" borderId="0" xfId="4" applyNumberFormat="1" applyFont="1" applyFill="1" applyBorder="1" applyAlignment="1">
      <alignment horizontal="center" vertical="center"/>
    </xf>
    <xf numFmtId="178" fontId="20" fillId="3" borderId="0" xfId="5" applyFont="1" applyFill="1" applyBorder="1" applyAlignment="1">
      <alignment horizontal="right" vertical="center"/>
    </xf>
    <xf numFmtId="38" fontId="20" fillId="3" borderId="0" xfId="4" applyNumberFormat="1" applyFont="1" applyFill="1" applyBorder="1" applyAlignment="1">
      <alignment horizontal="right" vertical="center"/>
    </xf>
    <xf numFmtId="178" fontId="20" fillId="3" borderId="0" xfId="1" applyFont="1" applyFill="1" applyBorder="1" applyAlignment="1">
      <alignment horizontal="right" vertical="center"/>
    </xf>
    <xf numFmtId="38" fontId="15" fillId="4" borderId="0" xfId="2" applyNumberFormat="1" applyFont="1" applyFill="1" applyAlignment="1">
      <alignment horizontal="right" vertical="center"/>
    </xf>
    <xf numFmtId="178" fontId="20" fillId="3" borderId="12" xfId="2" applyNumberFormat="1" applyFont="1" applyFill="1" applyBorder="1" applyAlignment="1">
      <alignment horizontal="center" vertical="center"/>
    </xf>
    <xf numFmtId="0" fontId="15" fillId="5" borderId="7" xfId="2" applyFont="1" applyFill="1" applyBorder="1" applyAlignment="1">
      <alignment horizontal="center" vertical="center"/>
    </xf>
    <xf numFmtId="0" fontId="16" fillId="2" borderId="3" xfId="2" applyFont="1" applyFill="1" applyBorder="1" applyAlignment="1">
      <alignment horizontal="center" vertical="center"/>
    </xf>
    <xf numFmtId="24" fontId="16" fillId="2" borderId="13" xfId="2" applyNumberFormat="1" applyFont="1" applyFill="1" applyBorder="1" applyAlignment="1">
      <alignment vertical="center" wrapText="1"/>
    </xf>
    <xf numFmtId="38" fontId="16" fillId="2" borderId="13" xfId="4" applyNumberFormat="1" applyFont="1" applyFill="1" applyBorder="1" applyAlignment="1">
      <alignment horizontal="center" vertical="center"/>
    </xf>
    <xf numFmtId="178" fontId="16" fillId="2" borderId="13" xfId="5" applyFont="1" applyFill="1" applyBorder="1" applyAlignment="1">
      <alignment horizontal="right" vertical="center"/>
    </xf>
    <xf numFmtId="179" fontId="16" fillId="2" borderId="13" xfId="4" applyNumberFormat="1" applyFont="1" applyFill="1" applyBorder="1" applyAlignment="1">
      <alignment horizontal="right" vertical="center"/>
    </xf>
    <xf numFmtId="178" fontId="16" fillId="2" borderId="13" xfId="1" applyFont="1" applyFill="1" applyBorder="1" applyAlignment="1">
      <alignment horizontal="right" vertical="center"/>
    </xf>
    <xf numFmtId="38" fontId="16" fillId="2" borderId="13" xfId="2" applyNumberFormat="1" applyFont="1" applyFill="1" applyBorder="1" applyAlignment="1">
      <alignment horizontal="right" vertical="center"/>
    </xf>
    <xf numFmtId="178" fontId="16" fillId="2" borderId="14" xfId="2" applyNumberFormat="1" applyFont="1" applyFill="1" applyBorder="1" applyAlignment="1">
      <alignment horizontal="left" vertical="center"/>
    </xf>
    <xf numFmtId="0" fontId="15" fillId="5" borderId="8" xfId="2" applyFont="1" applyFill="1" applyBorder="1" applyAlignment="1">
      <alignment horizontal="center" vertical="center"/>
    </xf>
    <xf numFmtId="0" fontId="16" fillId="2" borderId="8" xfId="2" applyFont="1" applyFill="1" applyBorder="1" applyAlignment="1">
      <alignment horizontal="center" vertical="center"/>
    </xf>
    <xf numFmtId="24" fontId="16" fillId="2" borderId="11" xfId="2" applyNumberFormat="1" applyFont="1" applyFill="1" applyBorder="1" applyAlignment="1">
      <alignment vertical="center" wrapText="1"/>
    </xf>
    <xf numFmtId="38" fontId="16" fillId="2" borderId="1" xfId="4" applyNumberFormat="1" applyFont="1" applyFill="1" applyBorder="1" applyAlignment="1">
      <alignment horizontal="center" vertical="center"/>
    </xf>
    <xf numFmtId="178" fontId="16" fillId="2" borderId="11" xfId="5" applyFont="1" applyFill="1" applyBorder="1" applyAlignment="1">
      <alignment horizontal="right" vertical="center"/>
    </xf>
    <xf numFmtId="178" fontId="21" fillId="2" borderId="11" xfId="5" applyFont="1" applyFill="1" applyBorder="1" applyAlignment="1">
      <alignment horizontal="right" vertical="center"/>
    </xf>
    <xf numFmtId="179" fontId="16" fillId="2" borderId="1" xfId="4" applyNumberFormat="1" applyFont="1" applyFill="1" applyBorder="1" applyAlignment="1">
      <alignment horizontal="right" vertical="center"/>
    </xf>
    <xf numFmtId="178" fontId="16" fillId="2" borderId="1" xfId="1" applyFont="1" applyFill="1" applyBorder="1" applyAlignment="1">
      <alignment horizontal="right" vertical="center"/>
    </xf>
    <xf numFmtId="38" fontId="16" fillId="2" borderId="1" xfId="2" applyNumberFormat="1" applyFont="1" applyFill="1" applyBorder="1" applyAlignment="1">
      <alignment horizontal="right" vertical="center"/>
    </xf>
    <xf numFmtId="178" fontId="16" fillId="2" borderId="15" xfId="2" applyNumberFormat="1" applyFont="1" applyFill="1" applyBorder="1" applyAlignment="1">
      <alignment horizontal="left" vertical="center"/>
    </xf>
    <xf numFmtId="0" fontId="22" fillId="0" borderId="0" xfId="0" applyFont="1">
      <alignment vertical="center"/>
    </xf>
    <xf numFmtId="24" fontId="21" fillId="2" borderId="11" xfId="2" applyNumberFormat="1" applyFont="1" applyFill="1" applyBorder="1" applyAlignment="1">
      <alignment vertical="center" wrapText="1"/>
    </xf>
    <xf numFmtId="38" fontId="21" fillId="2" borderId="1" xfId="4" applyNumberFormat="1" applyFont="1" applyFill="1" applyBorder="1" applyAlignment="1">
      <alignment horizontal="center" vertical="center"/>
    </xf>
    <xf numFmtId="179" fontId="21" fillId="2" borderId="1" xfId="4" applyNumberFormat="1" applyFont="1" applyFill="1" applyBorder="1" applyAlignment="1">
      <alignment horizontal="right" vertical="center"/>
    </xf>
    <xf numFmtId="178" fontId="21" fillId="2" borderId="1" xfId="1" applyFont="1" applyFill="1" applyBorder="1" applyAlignment="1">
      <alignment horizontal="right" vertical="center"/>
    </xf>
    <xf numFmtId="38" fontId="21" fillId="2" borderId="1" xfId="2" applyNumberFormat="1" applyFont="1" applyFill="1" applyBorder="1" applyAlignment="1">
      <alignment horizontal="right" vertical="center"/>
    </xf>
    <xf numFmtId="178" fontId="21" fillId="2" borderId="15" xfId="2" applyNumberFormat="1" applyFont="1" applyFill="1" applyBorder="1" applyAlignment="1">
      <alignment horizontal="left" vertical="center"/>
    </xf>
    <xf numFmtId="0" fontId="15" fillId="5" borderId="11" xfId="2" applyFont="1" applyFill="1" applyBorder="1" applyAlignment="1">
      <alignment horizontal="center" vertical="center"/>
    </xf>
    <xf numFmtId="0" fontId="15" fillId="5" borderId="16" xfId="2" applyFont="1" applyFill="1" applyBorder="1" applyAlignment="1">
      <alignment horizontal="center" vertical="center"/>
    </xf>
    <xf numFmtId="24" fontId="20" fillId="5" borderId="16" xfId="2" applyNumberFormat="1" applyFont="1" applyFill="1" applyBorder="1" applyAlignment="1">
      <alignment vertical="center" wrapText="1"/>
    </xf>
    <xf numFmtId="38" fontId="20" fillId="5" borderId="16" xfId="4" applyNumberFormat="1" applyFont="1" applyFill="1" applyBorder="1" applyAlignment="1">
      <alignment horizontal="center" vertical="center"/>
    </xf>
    <xf numFmtId="178" fontId="20" fillId="5" borderId="16" xfId="5" applyFont="1" applyFill="1" applyBorder="1" applyAlignment="1">
      <alignment horizontal="right" vertical="center"/>
    </xf>
    <xf numFmtId="179" fontId="20" fillId="5" borderId="16" xfId="4" applyNumberFormat="1" applyFont="1" applyFill="1" applyBorder="1" applyAlignment="1">
      <alignment horizontal="right" vertical="center"/>
    </xf>
    <xf numFmtId="179" fontId="23" fillId="5" borderId="10" xfId="2" applyNumberFormat="1" applyFont="1" applyFill="1" applyBorder="1" applyAlignment="1">
      <alignment horizontal="right" vertical="center"/>
    </xf>
    <xf numFmtId="178" fontId="20" fillId="5" borderId="10" xfId="1" applyFont="1" applyFill="1" applyBorder="1" applyAlignment="1">
      <alignment horizontal="right" vertical="center"/>
    </xf>
    <xf numFmtId="38" fontId="15" fillId="5" borderId="10" xfId="2" applyNumberFormat="1" applyFont="1" applyFill="1" applyBorder="1" applyAlignment="1">
      <alignment horizontal="right" vertical="center"/>
    </xf>
    <xf numFmtId="178" fontId="20" fillId="5" borderId="17" xfId="2" applyNumberFormat="1" applyFont="1" applyFill="1" applyBorder="1" applyAlignment="1">
      <alignment horizontal="center" vertical="center"/>
    </xf>
    <xf numFmtId="0" fontId="16" fillId="0" borderId="18" xfId="2" applyFont="1" applyBorder="1" applyAlignment="1">
      <alignment horizontal="center" vertical="center"/>
    </xf>
    <xf numFmtId="24" fontId="21" fillId="0" borderId="1" xfId="2" applyNumberFormat="1" applyFont="1" applyBorder="1" applyAlignment="1">
      <alignment vertical="center" wrapText="1"/>
    </xf>
    <xf numFmtId="38" fontId="21" fillId="0" borderId="1" xfId="4" applyNumberFormat="1" applyFont="1" applyFill="1" applyBorder="1" applyAlignment="1">
      <alignment horizontal="center" vertical="center"/>
    </xf>
    <xf numFmtId="178" fontId="21" fillId="0" borderId="1" xfId="5" applyFont="1" applyFill="1" applyBorder="1" applyAlignment="1">
      <alignment horizontal="right" vertical="center"/>
    </xf>
    <xf numFmtId="179" fontId="21" fillId="0" borderId="1" xfId="4" applyNumberFormat="1" applyFont="1" applyFill="1" applyBorder="1" applyAlignment="1">
      <alignment horizontal="right" vertical="center"/>
    </xf>
    <xf numFmtId="179" fontId="21" fillId="2" borderId="11" xfId="4" applyNumberFormat="1" applyFont="1" applyFill="1" applyBorder="1" applyAlignment="1">
      <alignment horizontal="right" vertical="center"/>
    </xf>
    <xf numFmtId="178" fontId="21" fillId="2" borderId="11" xfId="1" applyFont="1" applyFill="1" applyBorder="1" applyAlignment="1">
      <alignment horizontal="right" vertical="center"/>
    </xf>
    <xf numFmtId="38" fontId="21" fillId="2" borderId="11" xfId="2" applyNumberFormat="1" applyFont="1" applyFill="1" applyBorder="1" applyAlignment="1">
      <alignment horizontal="right" vertical="center"/>
    </xf>
    <xf numFmtId="178" fontId="16" fillId="0" borderId="19" xfId="2" applyNumberFormat="1" applyFont="1" applyBorder="1" applyAlignment="1">
      <alignment horizontal="left" vertical="center"/>
    </xf>
    <xf numFmtId="0" fontId="16" fillId="0" borderId="6" xfId="2" applyFont="1" applyBorder="1" applyAlignment="1">
      <alignment horizontal="center" vertical="center"/>
    </xf>
    <xf numFmtId="179" fontId="16" fillId="0" borderId="1" xfId="4" applyNumberFormat="1" applyFont="1" applyFill="1" applyBorder="1" applyAlignment="1">
      <alignment horizontal="right" vertical="center"/>
    </xf>
    <xf numFmtId="0" fontId="16" fillId="0" borderId="7" xfId="2" applyFont="1" applyBorder="1" applyAlignment="1">
      <alignment horizontal="center" vertical="center"/>
    </xf>
    <xf numFmtId="0" fontId="16" fillId="0" borderId="8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179" fontId="23" fillId="5" borderId="16" xfId="2" applyNumberFormat="1" applyFont="1" applyFill="1" applyBorder="1" applyAlignment="1">
      <alignment horizontal="right" vertical="center"/>
    </xf>
    <xf numFmtId="178" fontId="20" fillId="5" borderId="16" xfId="1" applyFont="1" applyFill="1" applyBorder="1" applyAlignment="1">
      <alignment horizontal="right" vertical="center"/>
    </xf>
    <xf numFmtId="38" fontId="15" fillId="5" borderId="16" xfId="2" applyNumberFormat="1" applyFont="1" applyFill="1" applyBorder="1" applyAlignment="1">
      <alignment horizontal="right" vertical="center"/>
    </xf>
    <xf numFmtId="180" fontId="16" fillId="0" borderId="7" xfId="2" applyNumberFormat="1" applyFont="1" applyBorder="1" applyAlignment="1">
      <alignment horizontal="center" vertical="center"/>
    </xf>
    <xf numFmtId="178" fontId="24" fillId="0" borderId="19" xfId="2" applyNumberFormat="1" applyFont="1" applyBorder="1" applyAlignment="1">
      <alignment horizontal="left" vertical="center"/>
    </xf>
    <xf numFmtId="180" fontId="16" fillId="0" borderId="8" xfId="2" applyNumberFormat="1" applyFont="1" applyBorder="1" applyAlignment="1">
      <alignment horizontal="center" vertical="center"/>
    </xf>
    <xf numFmtId="178" fontId="21" fillId="0" borderId="1" xfId="1" applyFont="1" applyFill="1" applyBorder="1" applyAlignment="1">
      <alignment horizontal="right" vertical="center"/>
    </xf>
    <xf numFmtId="38" fontId="21" fillId="0" borderId="1" xfId="2" applyNumberFormat="1" applyFont="1" applyBorder="1" applyAlignment="1">
      <alignment horizontal="right" vertical="center"/>
    </xf>
    <xf numFmtId="180" fontId="16" fillId="0" borderId="11" xfId="2" applyNumberFormat="1" applyFont="1" applyBorder="1" applyAlignment="1">
      <alignment horizontal="center" vertical="center"/>
    </xf>
    <xf numFmtId="181" fontId="16" fillId="0" borderId="1" xfId="5" applyNumberFormat="1" applyFont="1" applyFill="1" applyBorder="1" applyAlignment="1">
      <alignment horizontal="right" vertical="center"/>
    </xf>
    <xf numFmtId="178" fontId="24" fillId="0" borderId="19" xfId="2" applyNumberFormat="1" applyFont="1" applyBorder="1" applyAlignment="1">
      <alignment horizontal="left" vertical="center" wrapText="1"/>
    </xf>
    <xf numFmtId="0" fontId="20" fillId="5" borderId="16" xfId="2" applyFont="1" applyFill="1" applyBorder="1" applyAlignment="1">
      <alignment vertical="center"/>
    </xf>
    <xf numFmtId="38" fontId="20" fillId="5" borderId="16" xfId="2" applyNumberFormat="1" applyFont="1" applyFill="1" applyBorder="1" applyAlignment="1">
      <alignment horizontal="center" vertical="center"/>
    </xf>
    <xf numFmtId="179" fontId="20" fillId="5" borderId="16" xfId="2" applyNumberFormat="1" applyFont="1" applyFill="1" applyBorder="1" applyAlignment="1">
      <alignment horizontal="right" vertical="center"/>
    </xf>
    <xf numFmtId="178" fontId="25" fillId="0" borderId="19" xfId="2" applyNumberFormat="1" applyFont="1" applyBorder="1" applyAlignment="1">
      <alignment horizontal="left" vertical="center"/>
    </xf>
    <xf numFmtId="181" fontId="20" fillId="5" borderId="16" xfId="5" applyNumberFormat="1" applyFont="1" applyFill="1" applyBorder="1" applyAlignment="1">
      <alignment horizontal="right" vertical="center"/>
    </xf>
    <xf numFmtId="0" fontId="16" fillId="0" borderId="1" xfId="2" applyFont="1" applyBorder="1" applyAlignment="1">
      <alignment vertical="center"/>
    </xf>
    <xf numFmtId="38" fontId="16" fillId="0" borderId="1" xfId="2" applyNumberFormat="1" applyFont="1" applyBorder="1" applyAlignment="1">
      <alignment horizontal="center" vertical="center"/>
    </xf>
    <xf numFmtId="178" fontId="26" fillId="0" borderId="19" xfId="2" applyNumberFormat="1" applyFont="1" applyBorder="1" applyAlignment="1">
      <alignment horizontal="left" vertical="center"/>
    </xf>
    <xf numFmtId="0" fontId="20" fillId="5" borderId="20" xfId="2" applyFont="1" applyFill="1" applyBorder="1" applyAlignment="1">
      <alignment horizontal="center" vertical="center"/>
    </xf>
    <xf numFmtId="0" fontId="20" fillId="5" borderId="20" xfId="2" applyFont="1" applyFill="1" applyBorder="1" applyAlignment="1">
      <alignment vertical="center"/>
    </xf>
    <xf numFmtId="38" fontId="20" fillId="5" borderId="20" xfId="2" applyNumberFormat="1" applyFont="1" applyFill="1" applyBorder="1" applyAlignment="1">
      <alignment horizontal="center" vertical="center"/>
    </xf>
    <xf numFmtId="178" fontId="20" fillId="5" borderId="20" xfId="5" applyFont="1" applyFill="1" applyBorder="1" applyAlignment="1">
      <alignment horizontal="right" vertical="center"/>
    </xf>
    <xf numFmtId="38" fontId="20" fillId="5" borderId="20" xfId="2" applyNumberFormat="1" applyFont="1" applyFill="1" applyBorder="1" applyAlignment="1">
      <alignment horizontal="right" vertical="center"/>
    </xf>
    <xf numFmtId="178" fontId="20" fillId="5" borderId="20" xfId="1" applyFont="1" applyFill="1" applyBorder="1" applyAlignment="1">
      <alignment horizontal="right" vertical="center"/>
    </xf>
    <xf numFmtId="38" fontId="15" fillId="5" borderId="20" xfId="2" applyNumberFormat="1" applyFont="1" applyFill="1" applyBorder="1" applyAlignment="1">
      <alignment horizontal="right" vertical="center"/>
    </xf>
    <xf numFmtId="178" fontId="20" fillId="5" borderId="21" xfId="2" applyNumberFormat="1" applyFont="1" applyFill="1" applyBorder="1" applyAlignment="1">
      <alignment horizontal="center" vertical="center"/>
    </xf>
    <xf numFmtId="0" fontId="15" fillId="5" borderId="1" xfId="2" applyFont="1" applyFill="1" applyBorder="1" applyAlignment="1">
      <alignment horizontal="center" vertical="center"/>
    </xf>
    <xf numFmtId="0" fontId="17" fillId="2" borderId="22" xfId="2" applyFont="1" applyFill="1" applyBorder="1" applyAlignment="1">
      <alignment horizontal="center" vertical="center"/>
    </xf>
    <xf numFmtId="0" fontId="17" fillId="2" borderId="23" xfId="2" applyFont="1" applyFill="1" applyBorder="1" applyAlignment="1">
      <alignment vertical="center"/>
    </xf>
    <xf numFmtId="38" fontId="17" fillId="2" borderId="23" xfId="2" applyNumberFormat="1" applyFont="1" applyFill="1" applyBorder="1" applyAlignment="1">
      <alignment horizontal="center" vertical="center"/>
    </xf>
    <xf numFmtId="178" fontId="17" fillId="2" borderId="23" xfId="5" applyFont="1" applyFill="1" applyBorder="1" applyAlignment="1">
      <alignment horizontal="right" vertical="center"/>
    </xf>
    <xf numFmtId="38" fontId="17" fillId="2" borderId="23" xfId="2" applyNumberFormat="1" applyFont="1" applyFill="1" applyBorder="1" applyAlignment="1">
      <alignment horizontal="right" vertical="center"/>
    </xf>
    <xf numFmtId="38" fontId="17" fillId="4" borderId="23" xfId="2" applyNumberFormat="1" applyFont="1" applyFill="1" applyBorder="1" applyAlignment="1">
      <alignment horizontal="right" vertical="center"/>
    </xf>
    <xf numFmtId="178" fontId="17" fillId="2" borderId="23" xfId="1" applyFont="1" applyFill="1" applyBorder="1" applyAlignment="1">
      <alignment horizontal="right" vertical="center"/>
    </xf>
    <xf numFmtId="178" fontId="17" fillId="2" borderId="24" xfId="2" applyNumberFormat="1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179" fontId="28" fillId="6" borderId="0" xfId="0" applyNumberFormat="1" applyFont="1" applyFill="1">
      <alignment vertical="center"/>
    </xf>
    <xf numFmtId="0" fontId="0" fillId="0" borderId="0" xfId="0" applyAlignment="1"/>
    <xf numFmtId="0" fontId="28" fillId="0" borderId="0" xfId="0" applyFont="1" applyAlignment="1">
      <alignment horizontal="center" vertical="center"/>
    </xf>
    <xf numFmtId="182" fontId="28" fillId="6" borderId="0" xfId="0" applyNumberFormat="1" applyFont="1" applyFill="1">
      <alignment vertical="center"/>
    </xf>
    <xf numFmtId="176" fontId="6" fillId="0" borderId="0" xfId="2" applyNumberFormat="1" applyFont="1" applyAlignment="1">
      <alignment vertical="center"/>
    </xf>
  </cellXfs>
  <cellStyles count="6">
    <cellStyle name="쉼표 [0]" xfId="1" builtinId="6"/>
    <cellStyle name="쉼표 [0] 2" xfId="4" xr:uid="{0F57854F-67BD-D546-91C9-CAA7CE3C4D05}"/>
    <cellStyle name="쉼표 [0] 3" xfId="5" xr:uid="{804D554E-DFC2-3C4F-ADDF-79EDEA585179}"/>
    <cellStyle name="표준" xfId="0" builtinId="0"/>
    <cellStyle name="표준 2 2" xfId="2" xr:uid="{D97E43E7-424C-D64A-8DAB-84B9E57155DB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417D-4576-1040-8AED-739960ADECFC}">
  <dimension ref="A1:R44"/>
  <sheetViews>
    <sheetView tabSelected="1" zoomScale="150" workbookViewId="0">
      <selection activeCell="H15" sqref="H15"/>
    </sheetView>
  </sheetViews>
  <sheetFormatPr baseColWidth="10" defaultColWidth="8.83203125" defaultRowHeight="17"/>
  <cols>
    <col min="3" max="3" width="26.5" bestFit="1" customWidth="1"/>
    <col min="5" max="8" width="9" bestFit="1" customWidth="1"/>
    <col min="9" max="9" width="13" bestFit="1" customWidth="1"/>
    <col min="10" max="10" width="9" bestFit="1" customWidth="1"/>
    <col min="11" max="11" width="34.6640625" bestFit="1" customWidth="1"/>
  </cols>
  <sheetData>
    <row r="1" spans="1:18">
      <c r="A1" s="1"/>
      <c r="B1" s="1"/>
      <c r="C1" s="2" t="s">
        <v>0</v>
      </c>
      <c r="D1" s="3"/>
      <c r="E1" s="4"/>
      <c r="F1" s="4"/>
      <c r="G1" s="5"/>
      <c r="H1" s="5"/>
      <c r="I1" s="5"/>
      <c r="J1" s="6" t="s">
        <v>1</v>
      </c>
      <c r="K1" s="7">
        <v>1450</v>
      </c>
      <c r="L1" s="8" t="s">
        <v>2</v>
      </c>
      <c r="M1" s="8"/>
      <c r="N1" s="8"/>
      <c r="O1" s="8"/>
      <c r="P1" s="8"/>
      <c r="Q1" s="8"/>
      <c r="R1" s="8"/>
    </row>
    <row r="2" spans="1:18" ht="18" thickBot="1">
      <c r="A2" s="9"/>
      <c r="B2" s="10" t="s">
        <v>3</v>
      </c>
      <c r="C2" s="11" t="s">
        <v>4</v>
      </c>
      <c r="D2" s="3"/>
      <c r="E2" s="3"/>
      <c r="F2" s="3"/>
      <c r="G2" s="12"/>
      <c r="H2" s="12"/>
      <c r="I2" s="7" t="s">
        <v>5</v>
      </c>
      <c r="J2" s="7">
        <v>10</v>
      </c>
      <c r="K2" s="13"/>
      <c r="L2" s="14"/>
      <c r="M2" s="11"/>
      <c r="N2" s="11"/>
      <c r="O2" s="11"/>
      <c r="P2" s="11"/>
      <c r="Q2" s="11"/>
      <c r="R2" s="11"/>
    </row>
    <row r="3" spans="1:18" ht="27" thickTop="1">
      <c r="A3" s="15" t="s">
        <v>6</v>
      </c>
      <c r="B3" s="16" t="s">
        <v>7</v>
      </c>
      <c r="C3" s="17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13</v>
      </c>
      <c r="I3" s="18" t="s">
        <v>14</v>
      </c>
      <c r="J3" s="18" t="s">
        <v>15</v>
      </c>
      <c r="K3" s="17" t="s">
        <v>16</v>
      </c>
      <c r="L3" s="19"/>
      <c r="M3" s="20" t="s">
        <v>17</v>
      </c>
      <c r="N3" s="21"/>
      <c r="O3" s="22" t="s">
        <v>18</v>
      </c>
      <c r="P3" s="22" t="s">
        <v>19</v>
      </c>
      <c r="Q3" s="22" t="s">
        <v>20</v>
      </c>
      <c r="R3" s="8"/>
    </row>
    <row r="4" spans="1:18">
      <c r="A4" s="23" t="s">
        <v>21</v>
      </c>
      <c r="B4" s="24" t="s">
        <v>22</v>
      </c>
      <c r="C4" s="25"/>
      <c r="D4" s="26" t="s">
        <v>23</v>
      </c>
      <c r="E4" s="27"/>
      <c r="F4" s="27"/>
      <c r="G4" s="28"/>
      <c r="H4" s="28"/>
      <c r="I4" s="29">
        <v>1</v>
      </c>
      <c r="J4" s="30">
        <f>E4*G4</f>
        <v>0</v>
      </c>
      <c r="K4" s="31" t="s">
        <v>24</v>
      </c>
      <c r="L4" s="19" t="s">
        <v>25</v>
      </c>
      <c r="M4" s="32" t="s">
        <v>26</v>
      </c>
      <c r="N4" s="33"/>
      <c r="O4" s="34" t="s">
        <v>27</v>
      </c>
      <c r="P4" s="34" t="s">
        <v>27</v>
      </c>
      <c r="Q4" s="35" t="s">
        <v>28</v>
      </c>
      <c r="R4" s="36"/>
    </row>
    <row r="5" spans="1:18">
      <c r="A5" s="37"/>
      <c r="B5" s="24"/>
      <c r="C5" s="38"/>
      <c r="D5" s="39"/>
      <c r="E5" s="40"/>
      <c r="F5" s="40"/>
      <c r="G5" s="41"/>
      <c r="H5" s="41"/>
      <c r="I5" s="29"/>
      <c r="J5" s="30">
        <f>E5*G5</f>
        <v>0</v>
      </c>
      <c r="K5" s="42"/>
      <c r="L5" s="43" t="s">
        <v>29</v>
      </c>
      <c r="M5" s="44" t="s">
        <v>30</v>
      </c>
      <c r="N5" s="33"/>
      <c r="O5" s="34" t="s">
        <v>28</v>
      </c>
      <c r="P5" s="34" t="s">
        <v>31</v>
      </c>
      <c r="Q5" s="34" t="s">
        <v>32</v>
      </c>
      <c r="R5" s="36"/>
    </row>
    <row r="6" spans="1:18">
      <c r="A6" s="37"/>
      <c r="B6" s="24"/>
      <c r="C6" s="38"/>
      <c r="D6" s="39"/>
      <c r="E6" s="40"/>
      <c r="F6" s="40"/>
      <c r="G6" s="41"/>
      <c r="H6" s="41"/>
      <c r="I6" s="29"/>
      <c r="J6" s="30"/>
      <c r="K6" s="45"/>
      <c r="L6" s="43" t="s">
        <v>33</v>
      </c>
      <c r="M6" s="44" t="s">
        <v>34</v>
      </c>
      <c r="N6" s="46"/>
      <c r="O6" s="34" t="s">
        <v>28</v>
      </c>
      <c r="P6" s="34" t="s">
        <v>31</v>
      </c>
      <c r="Q6" s="34" t="s">
        <v>31</v>
      </c>
      <c r="R6" s="36"/>
    </row>
    <row r="7" spans="1:18">
      <c r="A7" s="37"/>
      <c r="B7" s="24"/>
      <c r="C7" s="38"/>
      <c r="D7" s="39"/>
      <c r="E7" s="40"/>
      <c r="F7" s="40"/>
      <c r="G7" s="41"/>
      <c r="H7" s="41"/>
      <c r="I7" s="29">
        <v>1</v>
      </c>
      <c r="J7" s="30">
        <f>E7*G7</f>
        <v>0</v>
      </c>
      <c r="K7" s="47" t="s">
        <v>35</v>
      </c>
      <c r="L7" s="43" t="s">
        <v>36</v>
      </c>
      <c r="M7" s="44" t="s">
        <v>37</v>
      </c>
      <c r="N7" s="33"/>
      <c r="O7" s="34" t="s">
        <v>28</v>
      </c>
      <c r="P7" s="34" t="s">
        <v>31</v>
      </c>
      <c r="Q7" s="34" t="s">
        <v>27</v>
      </c>
      <c r="R7" s="36"/>
    </row>
    <row r="8" spans="1:18" ht="18" thickBot="1">
      <c r="A8" s="48"/>
      <c r="B8" s="49" t="s">
        <v>38</v>
      </c>
      <c r="C8" s="50"/>
      <c r="D8" s="51"/>
      <c r="E8" s="52"/>
      <c r="F8" s="52"/>
      <c r="G8" s="53"/>
      <c r="H8" s="53"/>
      <c r="I8" s="54"/>
      <c r="J8" s="55">
        <f>SUM(J4:J7)</f>
        <v>0</v>
      </c>
      <c r="K8" s="56"/>
      <c r="L8" s="36"/>
      <c r="M8" s="36"/>
      <c r="N8" s="36"/>
      <c r="O8" s="36"/>
      <c r="P8" s="36"/>
      <c r="Q8" s="36"/>
      <c r="R8" s="36"/>
    </row>
    <row r="9" spans="1:18" ht="18" thickTop="1">
      <c r="A9" s="57" t="s">
        <v>39</v>
      </c>
      <c r="B9" s="58" t="s">
        <v>40</v>
      </c>
      <c r="C9" s="59" t="s">
        <v>41</v>
      </c>
      <c r="D9" s="60" t="s">
        <v>42</v>
      </c>
      <c r="E9" s="61">
        <v>5</v>
      </c>
      <c r="F9" s="61">
        <v>3</v>
      </c>
      <c r="G9" s="62">
        <v>90</v>
      </c>
      <c r="H9" s="62">
        <f>E9*F9*G9</f>
        <v>1350</v>
      </c>
      <c r="I9" s="63">
        <f>$K$1</f>
        <v>1450</v>
      </c>
      <c r="J9" s="64">
        <f>I9*G9*F9*E9</f>
        <v>1957500</v>
      </c>
      <c r="K9" s="65"/>
      <c r="L9" s="36"/>
      <c r="M9" s="36"/>
      <c r="N9" s="36"/>
      <c r="O9" s="36"/>
      <c r="P9" s="36"/>
      <c r="Q9" s="36"/>
      <c r="R9" s="36"/>
    </row>
    <row r="10" spans="1:18">
      <c r="A10" s="66"/>
      <c r="B10" s="67"/>
      <c r="C10" s="68" t="s">
        <v>43</v>
      </c>
      <c r="D10" s="69"/>
      <c r="E10" s="70">
        <v>10</v>
      </c>
      <c r="F10" s="71">
        <v>2</v>
      </c>
      <c r="G10" s="72">
        <v>25</v>
      </c>
      <c r="H10" s="72">
        <f t="shared" ref="H10:H11" si="0">E10*F10*G10</f>
        <v>500</v>
      </c>
      <c r="I10" s="73">
        <f t="shared" ref="I10:I11" si="1">$K$1</f>
        <v>1450</v>
      </c>
      <c r="J10" s="74">
        <f t="shared" ref="J10:J11" si="2">I10*G10*F10*E10</f>
        <v>725000</v>
      </c>
      <c r="K10" s="75"/>
      <c r="L10" s="36"/>
      <c r="M10" s="76"/>
      <c r="N10" s="36"/>
      <c r="O10" s="36"/>
      <c r="P10" s="36"/>
      <c r="Q10" s="36"/>
      <c r="R10" s="36"/>
    </row>
    <row r="11" spans="1:18">
      <c r="A11" s="66"/>
      <c r="B11" s="67"/>
      <c r="C11" s="77" t="s">
        <v>44</v>
      </c>
      <c r="D11" s="78"/>
      <c r="E11" s="71">
        <v>10</v>
      </c>
      <c r="F11" s="71">
        <v>1</v>
      </c>
      <c r="G11" s="79">
        <v>45</v>
      </c>
      <c r="H11" s="79">
        <f t="shared" si="0"/>
        <v>450</v>
      </c>
      <c r="I11" s="80">
        <f t="shared" si="1"/>
        <v>1450</v>
      </c>
      <c r="J11" s="81">
        <f t="shared" si="2"/>
        <v>652500</v>
      </c>
      <c r="K11" s="82" t="s">
        <v>45</v>
      </c>
      <c r="L11" s="36"/>
      <c r="M11" s="76"/>
      <c r="N11" s="36"/>
      <c r="O11" s="36"/>
      <c r="P11" s="36"/>
      <c r="Q11" s="36"/>
      <c r="R11" s="36"/>
    </row>
    <row r="12" spans="1:18">
      <c r="A12" s="83"/>
      <c r="B12" s="84" t="s">
        <v>38</v>
      </c>
      <c r="C12" s="85"/>
      <c r="D12" s="86"/>
      <c r="E12" s="87"/>
      <c r="F12" s="87"/>
      <c r="G12" s="88"/>
      <c r="H12" s="89">
        <f>SUM(H9:H11)</f>
        <v>2300</v>
      </c>
      <c r="I12" s="90"/>
      <c r="J12" s="91">
        <f>SUM(J9:J11)</f>
        <v>3335000</v>
      </c>
      <c r="K12" s="92"/>
      <c r="L12" s="36"/>
      <c r="M12" s="76"/>
      <c r="N12" s="36"/>
      <c r="O12" s="36"/>
      <c r="P12" s="36"/>
      <c r="Q12" s="36"/>
      <c r="R12" s="36"/>
    </row>
    <row r="13" spans="1:18">
      <c r="A13" s="57" t="s">
        <v>46</v>
      </c>
      <c r="B13" s="93" t="s">
        <v>25</v>
      </c>
      <c r="C13" s="94" t="s">
        <v>47</v>
      </c>
      <c r="D13" s="95" t="s">
        <v>23</v>
      </c>
      <c r="E13" s="96">
        <v>10</v>
      </c>
      <c r="F13" s="96">
        <v>1</v>
      </c>
      <c r="G13" s="97">
        <v>16</v>
      </c>
      <c r="H13" s="98">
        <f>E13*F13*G13</f>
        <v>160</v>
      </c>
      <c r="I13" s="99">
        <f>$K$1</f>
        <v>1450</v>
      </c>
      <c r="J13" s="100">
        <f>I13*G13*F13*E13</f>
        <v>232000</v>
      </c>
      <c r="K13" s="101"/>
      <c r="L13" s="36"/>
      <c r="M13" s="76"/>
      <c r="N13" s="36"/>
      <c r="O13" s="36"/>
      <c r="P13" s="36"/>
      <c r="Q13" s="36"/>
      <c r="R13" s="36"/>
    </row>
    <row r="14" spans="1:18">
      <c r="A14" s="66"/>
      <c r="B14" s="102" t="s">
        <v>29</v>
      </c>
      <c r="C14" s="25" t="s">
        <v>48</v>
      </c>
      <c r="D14" s="26"/>
      <c r="E14" s="27">
        <v>10</v>
      </c>
      <c r="F14" s="27">
        <v>1</v>
      </c>
      <c r="G14" s="103">
        <v>3</v>
      </c>
      <c r="H14" s="72">
        <f>E14*F14*G14</f>
        <v>30</v>
      </c>
      <c r="I14" s="29">
        <f t="shared" ref="I14:I22" si="3">$K$1</f>
        <v>1450</v>
      </c>
      <c r="J14" s="74">
        <f>I14*G14*F14*E14</f>
        <v>43500</v>
      </c>
      <c r="K14" s="101"/>
      <c r="L14" s="36"/>
      <c r="M14" s="76"/>
      <c r="N14" s="36"/>
      <c r="O14" s="36"/>
      <c r="P14" s="36"/>
      <c r="Q14" s="36"/>
      <c r="R14" s="36"/>
    </row>
    <row r="15" spans="1:18">
      <c r="A15" s="66"/>
      <c r="B15" s="102"/>
      <c r="C15" s="25" t="s">
        <v>49</v>
      </c>
      <c r="D15" s="26"/>
      <c r="E15" s="27">
        <v>10</v>
      </c>
      <c r="F15" s="27">
        <v>1</v>
      </c>
      <c r="G15" s="103">
        <v>30</v>
      </c>
      <c r="H15" s="72">
        <f>E15*F15*G15</f>
        <v>300</v>
      </c>
      <c r="I15" s="29">
        <f t="shared" si="3"/>
        <v>1450</v>
      </c>
      <c r="J15" s="74">
        <f>I15*G15*F15*E15</f>
        <v>435000</v>
      </c>
      <c r="K15" s="101"/>
      <c r="L15" s="36"/>
      <c r="M15" s="36"/>
      <c r="N15" s="36"/>
      <c r="O15" s="36"/>
      <c r="P15" s="36"/>
      <c r="Q15" s="36"/>
      <c r="R15" s="36"/>
    </row>
    <row r="16" spans="1:18">
      <c r="A16" s="66"/>
      <c r="B16" s="102"/>
      <c r="C16" s="25" t="s">
        <v>50</v>
      </c>
      <c r="D16" s="26"/>
      <c r="E16" s="27">
        <v>10</v>
      </c>
      <c r="F16" s="27">
        <v>1</v>
      </c>
      <c r="G16" s="103">
        <v>60</v>
      </c>
      <c r="H16" s="72">
        <f>E16*F16*G16</f>
        <v>600</v>
      </c>
      <c r="I16" s="29">
        <f t="shared" si="3"/>
        <v>1450</v>
      </c>
      <c r="J16" s="74">
        <f>I16*G16*F16*E16</f>
        <v>870000</v>
      </c>
      <c r="K16" s="101"/>
      <c r="L16" s="36"/>
      <c r="M16" s="36"/>
      <c r="N16" s="36"/>
      <c r="O16" s="36"/>
      <c r="P16" s="36"/>
      <c r="Q16" s="36"/>
      <c r="R16" s="36"/>
    </row>
    <row r="17" spans="1:18">
      <c r="A17" s="66"/>
      <c r="B17" s="102"/>
      <c r="C17" s="25" t="s">
        <v>51</v>
      </c>
      <c r="D17" s="26"/>
      <c r="E17" s="27">
        <v>10</v>
      </c>
      <c r="F17" s="27">
        <v>1</v>
      </c>
      <c r="G17" s="103">
        <v>30</v>
      </c>
      <c r="H17" s="72">
        <f t="shared" ref="H17:H22" si="4">E17*F17*G17</f>
        <v>300</v>
      </c>
      <c r="I17" s="73">
        <f t="shared" si="3"/>
        <v>1450</v>
      </c>
      <c r="J17" s="74">
        <f t="shared" ref="J17:J22" si="5">I17*G17*F17*E17</f>
        <v>435000</v>
      </c>
      <c r="K17" s="101"/>
      <c r="L17" s="36"/>
      <c r="M17" s="36"/>
      <c r="N17" s="36"/>
      <c r="O17" s="36"/>
      <c r="P17" s="36"/>
      <c r="Q17" s="36"/>
      <c r="R17" s="36"/>
    </row>
    <row r="18" spans="1:18">
      <c r="A18" s="66"/>
      <c r="B18" s="104" t="s">
        <v>52</v>
      </c>
      <c r="C18" s="25" t="s">
        <v>53</v>
      </c>
      <c r="D18" s="26"/>
      <c r="E18" s="27">
        <v>10</v>
      </c>
      <c r="F18" s="27">
        <v>1</v>
      </c>
      <c r="G18" s="103">
        <v>60</v>
      </c>
      <c r="H18" s="72">
        <f t="shared" si="4"/>
        <v>600</v>
      </c>
      <c r="I18" s="73">
        <f t="shared" si="3"/>
        <v>1450</v>
      </c>
      <c r="J18" s="74">
        <f t="shared" si="5"/>
        <v>870000</v>
      </c>
      <c r="K18" s="101" t="s">
        <v>54</v>
      </c>
      <c r="L18" s="36"/>
      <c r="M18" s="36"/>
      <c r="N18" s="36"/>
      <c r="O18" s="36"/>
      <c r="P18" s="36"/>
      <c r="Q18" s="36"/>
      <c r="R18" s="36"/>
    </row>
    <row r="19" spans="1:18">
      <c r="A19" s="66"/>
      <c r="B19" s="105"/>
      <c r="C19" s="25" t="s">
        <v>49</v>
      </c>
      <c r="D19" s="26"/>
      <c r="E19" s="27">
        <v>10</v>
      </c>
      <c r="F19" s="27">
        <v>1</v>
      </c>
      <c r="G19" s="103">
        <v>30</v>
      </c>
      <c r="H19" s="72">
        <f t="shared" si="4"/>
        <v>300</v>
      </c>
      <c r="I19" s="73">
        <f t="shared" si="3"/>
        <v>1450</v>
      </c>
      <c r="J19" s="74">
        <f t="shared" si="5"/>
        <v>435000</v>
      </c>
      <c r="K19" s="101"/>
      <c r="L19" s="36"/>
      <c r="M19" s="36"/>
      <c r="N19" s="36"/>
      <c r="O19" s="36"/>
      <c r="P19" s="36"/>
      <c r="Q19" s="36"/>
      <c r="R19" s="36"/>
    </row>
    <row r="20" spans="1:18">
      <c r="A20" s="66"/>
      <c r="B20" s="105"/>
      <c r="C20" s="94" t="s">
        <v>55</v>
      </c>
      <c r="D20" s="95"/>
      <c r="E20" s="96">
        <v>10</v>
      </c>
      <c r="F20" s="96">
        <v>1</v>
      </c>
      <c r="G20" s="97">
        <v>85</v>
      </c>
      <c r="H20" s="79">
        <f t="shared" si="4"/>
        <v>850</v>
      </c>
      <c r="I20" s="80">
        <f t="shared" si="3"/>
        <v>1450</v>
      </c>
      <c r="J20" s="81">
        <f t="shared" si="5"/>
        <v>1232500</v>
      </c>
      <c r="K20" s="101" t="s">
        <v>54</v>
      </c>
      <c r="L20" s="36"/>
      <c r="M20" s="36"/>
      <c r="N20" s="36"/>
      <c r="O20" s="36"/>
      <c r="P20" s="36"/>
      <c r="Q20" s="36"/>
      <c r="R20" s="36"/>
    </row>
    <row r="21" spans="1:18">
      <c r="A21" s="66"/>
      <c r="B21" s="106"/>
      <c r="C21" s="25" t="s">
        <v>56</v>
      </c>
      <c r="D21" s="26"/>
      <c r="E21" s="27">
        <v>10</v>
      </c>
      <c r="F21" s="27">
        <v>1</v>
      </c>
      <c r="G21" s="103">
        <v>30</v>
      </c>
      <c r="H21" s="72">
        <f t="shared" si="4"/>
        <v>300</v>
      </c>
      <c r="I21" s="73">
        <f t="shared" si="3"/>
        <v>1450</v>
      </c>
      <c r="J21" s="74">
        <f t="shared" si="5"/>
        <v>435000</v>
      </c>
      <c r="K21" s="101"/>
      <c r="L21" s="36"/>
      <c r="M21" s="36"/>
      <c r="N21" s="36"/>
      <c r="O21" s="36"/>
      <c r="P21" s="36"/>
      <c r="Q21" s="36"/>
      <c r="R21" s="36"/>
    </row>
    <row r="22" spans="1:18">
      <c r="A22" s="66"/>
      <c r="B22" s="93" t="s">
        <v>57</v>
      </c>
      <c r="C22" s="25" t="s">
        <v>49</v>
      </c>
      <c r="D22" s="26"/>
      <c r="E22" s="27">
        <v>10</v>
      </c>
      <c r="F22" s="27">
        <v>1</v>
      </c>
      <c r="G22" s="103">
        <v>30</v>
      </c>
      <c r="H22" s="72">
        <f t="shared" si="4"/>
        <v>300</v>
      </c>
      <c r="I22" s="73">
        <f t="shared" si="3"/>
        <v>1450</v>
      </c>
      <c r="J22" s="74">
        <f t="shared" si="5"/>
        <v>435000</v>
      </c>
      <c r="K22" s="101"/>
      <c r="L22" s="36"/>
      <c r="M22" s="36"/>
      <c r="N22" s="36"/>
      <c r="O22" s="36"/>
      <c r="P22" s="36"/>
      <c r="Q22" s="36"/>
      <c r="R22" s="36"/>
    </row>
    <row r="23" spans="1:18">
      <c r="A23" s="83"/>
      <c r="B23" s="84" t="s">
        <v>38</v>
      </c>
      <c r="C23" s="85"/>
      <c r="D23" s="86"/>
      <c r="E23" s="87"/>
      <c r="F23" s="87"/>
      <c r="G23" s="88"/>
      <c r="H23" s="107">
        <f>SUM(H13:H22)</f>
        <v>3740</v>
      </c>
      <c r="I23" s="108"/>
      <c r="J23" s="109">
        <f>SUM(J13:J22)</f>
        <v>5423000</v>
      </c>
      <c r="K23" s="92"/>
      <c r="L23" s="36"/>
      <c r="M23" s="36"/>
      <c r="N23" s="36"/>
      <c r="O23" s="36"/>
      <c r="P23" s="36"/>
      <c r="Q23" s="36"/>
      <c r="R23" s="36"/>
    </row>
    <row r="24" spans="1:18">
      <c r="A24" s="57" t="s">
        <v>58</v>
      </c>
      <c r="B24" s="110" t="s">
        <v>59</v>
      </c>
      <c r="C24" s="25" t="s">
        <v>60</v>
      </c>
      <c r="D24" s="26" t="s">
        <v>61</v>
      </c>
      <c r="E24" s="27">
        <v>1</v>
      </c>
      <c r="F24" s="27">
        <v>1</v>
      </c>
      <c r="G24" s="103">
        <v>400</v>
      </c>
      <c r="H24" s="103">
        <f>E24*F24*G24</f>
        <v>400</v>
      </c>
      <c r="I24" s="29">
        <f>$K$1</f>
        <v>1450</v>
      </c>
      <c r="J24" s="30">
        <f>I24*G24*F24*E24</f>
        <v>580000</v>
      </c>
      <c r="K24" s="111" t="s">
        <v>62</v>
      </c>
      <c r="L24" s="36"/>
      <c r="M24" s="36"/>
      <c r="N24" s="36"/>
      <c r="O24" s="36"/>
      <c r="P24" s="36"/>
      <c r="Q24" s="36"/>
      <c r="R24" s="36"/>
    </row>
    <row r="25" spans="1:18">
      <c r="A25" s="66"/>
      <c r="B25" s="112"/>
      <c r="C25" s="94" t="s">
        <v>63</v>
      </c>
      <c r="D25" s="95"/>
      <c r="E25" s="96">
        <v>1</v>
      </c>
      <c r="F25" s="96">
        <v>1</v>
      </c>
      <c r="G25" s="97">
        <v>150</v>
      </c>
      <c r="H25" s="97">
        <f>E25*F25*G25</f>
        <v>150</v>
      </c>
      <c r="I25" s="113">
        <f>$K$1</f>
        <v>1450</v>
      </c>
      <c r="J25" s="114">
        <f>I25*G25*F25*E25</f>
        <v>217500</v>
      </c>
      <c r="K25" s="111"/>
      <c r="L25" s="36"/>
      <c r="M25" s="36"/>
      <c r="N25" s="36"/>
      <c r="O25" s="36"/>
      <c r="P25" s="36"/>
      <c r="Q25" s="36"/>
      <c r="R25" s="36"/>
    </row>
    <row r="26" spans="1:18">
      <c r="A26" s="66"/>
      <c r="B26" s="112"/>
      <c r="C26" s="25" t="s">
        <v>64</v>
      </c>
      <c r="D26" s="26"/>
      <c r="E26" s="27">
        <v>1</v>
      </c>
      <c r="F26" s="27">
        <v>3</v>
      </c>
      <c r="G26" s="103">
        <v>100</v>
      </c>
      <c r="H26" s="103">
        <f>E26*F26*G26</f>
        <v>300</v>
      </c>
      <c r="I26" s="29">
        <f>$K$1</f>
        <v>1450</v>
      </c>
      <c r="J26" s="30">
        <f>I26*G26*F26*E26</f>
        <v>435000</v>
      </c>
      <c r="K26" s="111"/>
      <c r="L26" s="36"/>
      <c r="M26" s="36"/>
      <c r="N26" s="36"/>
      <c r="O26" s="36"/>
      <c r="P26" s="36"/>
      <c r="Q26" s="36"/>
      <c r="R26" s="36"/>
    </row>
    <row r="27" spans="1:18">
      <c r="A27" s="66"/>
      <c r="B27" s="115"/>
      <c r="C27" s="25" t="s">
        <v>65</v>
      </c>
      <c r="D27" s="26"/>
      <c r="E27" s="27">
        <v>1</v>
      </c>
      <c r="F27" s="116">
        <v>2</v>
      </c>
      <c r="G27" s="103">
        <v>150</v>
      </c>
      <c r="H27" s="103">
        <f>E27*F27*G27</f>
        <v>300</v>
      </c>
      <c r="I27" s="29">
        <f>$K$1</f>
        <v>1450</v>
      </c>
      <c r="J27" s="30">
        <f>I27*G27*F27*E27</f>
        <v>435000</v>
      </c>
      <c r="K27" s="117"/>
      <c r="L27" s="36"/>
      <c r="M27" s="36"/>
      <c r="N27" s="36"/>
      <c r="O27" s="36"/>
      <c r="P27" s="36"/>
      <c r="Q27" s="36"/>
      <c r="R27" s="36"/>
    </row>
    <row r="28" spans="1:18">
      <c r="A28" s="83"/>
      <c r="B28" s="84" t="s">
        <v>38</v>
      </c>
      <c r="C28" s="118"/>
      <c r="D28" s="119"/>
      <c r="E28" s="87"/>
      <c r="F28" s="87"/>
      <c r="G28" s="120"/>
      <c r="H28" s="120">
        <f>SUM(H24:H27)</f>
        <v>1150</v>
      </c>
      <c r="I28" s="108"/>
      <c r="J28" s="109">
        <f>SUM(J24:J27)</f>
        <v>1667500</v>
      </c>
      <c r="K28" s="92"/>
      <c r="L28" s="36"/>
      <c r="M28" s="36"/>
      <c r="N28" s="36"/>
      <c r="O28" s="36"/>
      <c r="P28" s="36"/>
      <c r="Q28" s="36"/>
      <c r="R28" s="36"/>
    </row>
    <row r="29" spans="1:18">
      <c r="A29" s="57"/>
      <c r="B29" s="24"/>
      <c r="C29" s="25"/>
      <c r="D29" s="26"/>
      <c r="E29" s="27"/>
      <c r="F29" s="116"/>
      <c r="G29" s="103"/>
      <c r="H29" s="103"/>
      <c r="I29" s="29"/>
      <c r="J29" s="30"/>
      <c r="K29" s="111"/>
      <c r="L29" s="36"/>
      <c r="M29" s="36"/>
      <c r="N29" s="36"/>
      <c r="O29" s="36"/>
      <c r="P29" s="36"/>
      <c r="Q29" s="36"/>
      <c r="R29" s="36"/>
    </row>
    <row r="30" spans="1:18">
      <c r="A30" s="66"/>
      <c r="B30" s="24"/>
      <c r="C30" s="25"/>
      <c r="D30" s="26"/>
      <c r="E30" s="27"/>
      <c r="F30" s="116"/>
      <c r="G30" s="103"/>
      <c r="H30" s="103"/>
      <c r="I30" s="29"/>
      <c r="J30" s="30"/>
      <c r="K30" s="121"/>
      <c r="L30" s="36"/>
      <c r="M30" s="36"/>
      <c r="N30" s="36"/>
      <c r="O30" s="36"/>
      <c r="P30" s="36"/>
      <c r="Q30" s="36"/>
      <c r="R30" s="36"/>
    </row>
    <row r="31" spans="1:18">
      <c r="A31" s="83"/>
      <c r="B31" s="84"/>
      <c r="C31" s="118"/>
      <c r="D31" s="119"/>
      <c r="E31" s="87"/>
      <c r="F31" s="122"/>
      <c r="G31" s="120"/>
      <c r="H31" s="120"/>
      <c r="I31" s="108"/>
      <c r="J31" s="109"/>
      <c r="K31" s="92"/>
      <c r="L31" s="36"/>
      <c r="M31" s="36"/>
      <c r="N31" s="36"/>
      <c r="O31" s="36"/>
      <c r="P31" s="36"/>
      <c r="Q31" s="36"/>
      <c r="R31" s="36"/>
    </row>
    <row r="32" spans="1:18">
      <c r="A32" s="57" t="s">
        <v>66</v>
      </c>
      <c r="B32" s="104" t="s">
        <v>67</v>
      </c>
      <c r="C32" s="25" t="s">
        <v>68</v>
      </c>
      <c r="D32" s="26" t="s">
        <v>23</v>
      </c>
      <c r="E32" s="27">
        <v>10</v>
      </c>
      <c r="F32" s="116">
        <v>1</v>
      </c>
      <c r="G32" s="103">
        <v>7</v>
      </c>
      <c r="H32" s="103">
        <f>G32*F32*E32</f>
        <v>70</v>
      </c>
      <c r="I32" s="29">
        <f>$K$1</f>
        <v>1450</v>
      </c>
      <c r="J32" s="30">
        <f t="shared" ref="J32:J33" si="6">I32*G32*F32*E32</f>
        <v>101500</v>
      </c>
      <c r="K32" s="111"/>
      <c r="L32" s="36"/>
      <c r="M32" s="36"/>
      <c r="N32" s="36"/>
      <c r="O32" s="36"/>
      <c r="P32" s="36"/>
      <c r="Q32" s="36"/>
      <c r="R32" s="36"/>
    </row>
    <row r="33" spans="1:18">
      <c r="A33" s="66"/>
      <c r="B33" s="105"/>
      <c r="C33" s="123" t="s">
        <v>69</v>
      </c>
      <c r="D33" s="124" t="s">
        <v>23</v>
      </c>
      <c r="E33" s="27">
        <v>10</v>
      </c>
      <c r="F33" s="116">
        <v>1</v>
      </c>
      <c r="G33" s="103">
        <v>20</v>
      </c>
      <c r="H33" s="103">
        <f>G33*F33*E33</f>
        <v>200</v>
      </c>
      <c r="I33" s="29">
        <f>$K$1</f>
        <v>1450</v>
      </c>
      <c r="J33" s="30">
        <f t="shared" si="6"/>
        <v>290000</v>
      </c>
      <c r="K33" s="125"/>
      <c r="L33" s="36"/>
      <c r="M33" s="36"/>
      <c r="N33" s="36"/>
      <c r="O33" s="36"/>
      <c r="P33" s="36"/>
      <c r="Q33" s="36"/>
      <c r="R33" s="36"/>
    </row>
    <row r="34" spans="1:18">
      <c r="A34" s="66"/>
      <c r="B34" s="106"/>
      <c r="C34" s="25" t="s">
        <v>70</v>
      </c>
      <c r="D34" s="26" t="s">
        <v>23</v>
      </c>
      <c r="E34" s="27">
        <v>10</v>
      </c>
      <c r="F34" s="116">
        <v>1</v>
      </c>
      <c r="G34" s="103">
        <v>5</v>
      </c>
      <c r="H34" s="103">
        <f>E34*F34*G34</f>
        <v>50</v>
      </c>
      <c r="I34" s="29">
        <f>$K$1</f>
        <v>1450</v>
      </c>
      <c r="J34" s="30">
        <f>I34*G34*F34*E34</f>
        <v>72500</v>
      </c>
      <c r="K34" s="111"/>
      <c r="L34" s="36"/>
      <c r="M34" s="36"/>
      <c r="N34" s="36"/>
      <c r="O34" s="36"/>
      <c r="P34" s="36"/>
      <c r="Q34" s="36"/>
      <c r="R34" s="36"/>
    </row>
    <row r="35" spans="1:18" ht="18" thickBot="1">
      <c r="A35" s="83"/>
      <c r="B35" s="126" t="s">
        <v>38</v>
      </c>
      <c r="C35" s="127"/>
      <c r="D35" s="128"/>
      <c r="E35" s="129"/>
      <c r="F35" s="129"/>
      <c r="G35" s="130"/>
      <c r="H35" s="120">
        <f>SUM(H32:H34)</f>
        <v>320</v>
      </c>
      <c r="I35" s="131"/>
      <c r="J35" s="132">
        <f>SUM(J32:J34)</f>
        <v>464000</v>
      </c>
      <c r="K35" s="133"/>
      <c r="L35" s="36"/>
      <c r="M35" s="36"/>
      <c r="N35" s="36"/>
      <c r="O35" s="36"/>
      <c r="P35" s="36"/>
      <c r="Q35" s="36"/>
      <c r="R35" s="36"/>
    </row>
    <row r="36" spans="1:18" ht="18" thickBot="1">
      <c r="A36" s="134" t="s">
        <v>71</v>
      </c>
      <c r="B36" s="135" t="s">
        <v>72</v>
      </c>
      <c r="C36" s="136" t="s">
        <v>73</v>
      </c>
      <c r="D36" s="137"/>
      <c r="E36" s="138"/>
      <c r="F36" s="138"/>
      <c r="G36" s="139"/>
      <c r="H36" s="140">
        <f>H12+H23+H28+H31+H35</f>
        <v>7510</v>
      </c>
      <c r="I36" s="141"/>
      <c r="J36" s="140">
        <f>J12+J23+J28+J31+J35</f>
        <v>10889500</v>
      </c>
      <c r="K36" s="142"/>
      <c r="L36" s="36"/>
      <c r="M36" s="36"/>
      <c r="N36" s="36"/>
      <c r="O36" s="36"/>
      <c r="P36" s="36"/>
      <c r="Q36" s="36"/>
      <c r="R36" s="36"/>
    </row>
    <row r="37" spans="1:18">
      <c r="A37" s="8"/>
      <c r="B37" s="8"/>
      <c r="C37" s="143"/>
      <c r="D37" s="3"/>
      <c r="E37" s="4"/>
      <c r="F37" s="4"/>
      <c r="G37" s="4"/>
      <c r="H37" s="4"/>
      <c r="I37" s="4"/>
      <c r="M37" s="8"/>
      <c r="N37" s="8"/>
      <c r="O37" s="8"/>
      <c r="P37" s="8"/>
      <c r="Q37" s="8"/>
      <c r="R37" s="8"/>
    </row>
    <row r="38" spans="1:18">
      <c r="A38" s="144"/>
      <c r="B38" s="144"/>
      <c r="C38" s="144"/>
      <c r="D38" s="144"/>
      <c r="E38" s="144"/>
      <c r="F38" s="144"/>
      <c r="G38" s="144"/>
      <c r="M38" s="8"/>
      <c r="N38" s="8"/>
      <c r="O38" s="8"/>
      <c r="P38" s="8"/>
      <c r="Q38" s="8"/>
      <c r="R38" s="8"/>
    </row>
    <row r="39" spans="1:18">
      <c r="A39" s="144"/>
      <c r="B39" s="144"/>
      <c r="C39" s="144"/>
      <c r="D39" s="144"/>
      <c r="E39" s="144"/>
      <c r="F39" s="144"/>
      <c r="G39" s="144"/>
      <c r="M39" s="8"/>
      <c r="N39" s="8"/>
      <c r="O39" s="8"/>
      <c r="P39" s="8"/>
      <c r="Q39" s="8"/>
      <c r="R39" s="8"/>
    </row>
    <row r="40" spans="1:18">
      <c r="A40" s="144"/>
      <c r="M40" s="8"/>
      <c r="N40" s="8"/>
      <c r="O40" s="8"/>
      <c r="P40" s="8"/>
      <c r="Q40" s="8"/>
      <c r="R40" s="8"/>
    </row>
    <row r="41" spans="1:18">
      <c r="A41" s="144"/>
      <c r="G41" s="145"/>
      <c r="H41" s="146">
        <f>H12+H23+H28+H31+H35</f>
        <v>7510</v>
      </c>
      <c r="I41" s="146">
        <f>H41*K1</f>
        <v>10889500</v>
      </c>
      <c r="M41" s="8"/>
      <c r="N41" s="8"/>
      <c r="O41" s="8"/>
      <c r="P41" s="8"/>
      <c r="Q41" s="8"/>
      <c r="R41" s="8"/>
    </row>
    <row r="42" spans="1:18">
      <c r="A42" s="147"/>
      <c r="B42" s="147"/>
      <c r="C42" s="147"/>
      <c r="D42" s="147"/>
      <c r="E42" s="147"/>
      <c r="F42" s="147"/>
      <c r="G42" s="148" t="s">
        <v>74</v>
      </c>
      <c r="H42" s="146">
        <f>H41/10</f>
        <v>751</v>
      </c>
      <c r="I42" s="149">
        <f>H42*K1</f>
        <v>1088950</v>
      </c>
      <c r="L42" s="8"/>
      <c r="M42" s="8"/>
      <c r="N42" s="8"/>
      <c r="O42" s="8"/>
      <c r="P42" s="8"/>
      <c r="Q42" s="8"/>
      <c r="R42" s="8"/>
    </row>
    <row r="43" spans="1:18">
      <c r="A43" s="8"/>
      <c r="B43" s="8"/>
      <c r="C43" s="8"/>
      <c r="D43" s="3"/>
      <c r="E43" s="4"/>
      <c r="F43" s="4"/>
      <c r="G43" s="4"/>
      <c r="H43" s="4"/>
      <c r="I43" s="4"/>
      <c r="J43" s="4"/>
      <c r="K43" s="150"/>
      <c r="L43" s="8"/>
      <c r="M43" s="8"/>
      <c r="N43" s="8"/>
      <c r="O43" s="8"/>
      <c r="P43" s="8"/>
      <c r="Q43" s="8"/>
      <c r="R43" s="8"/>
    </row>
    <row r="44" spans="1:18">
      <c r="A44" s="8"/>
      <c r="B44" s="8"/>
      <c r="C44" s="8"/>
      <c r="D44" s="3"/>
      <c r="E44" s="4"/>
      <c r="F44" s="4"/>
      <c r="G44" s="4"/>
      <c r="H44" s="4"/>
      <c r="I44" s="4"/>
      <c r="J44" s="4"/>
      <c r="K44" s="150"/>
      <c r="L44" s="8"/>
      <c r="M44" s="8"/>
      <c r="N44" s="8"/>
      <c r="O44" s="8"/>
      <c r="P44" s="8"/>
      <c r="Q44" s="8"/>
      <c r="R44" s="8"/>
    </row>
  </sheetData>
  <mergeCells count="12">
    <mergeCell ref="A24:A28"/>
    <mergeCell ref="B24:B27"/>
    <mergeCell ref="A29:A31"/>
    <mergeCell ref="A32:A35"/>
    <mergeCell ref="B32:B34"/>
    <mergeCell ref="A4:A8"/>
    <mergeCell ref="K4:K6"/>
    <mergeCell ref="A9:A12"/>
    <mergeCell ref="B9:B11"/>
    <mergeCell ref="A13:A23"/>
    <mergeCell ref="B14:B17"/>
    <mergeCell ref="B18:B2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남태 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김윤정C</dc:creator>
  <cp:lastModifiedBy>김윤정C</cp:lastModifiedBy>
  <dcterms:created xsi:type="dcterms:W3CDTF">2025-12-09T01:46:54Z</dcterms:created>
  <dcterms:modified xsi:type="dcterms:W3CDTF">2025-12-09T01:47:11Z</dcterms:modified>
</cp:coreProperties>
</file>