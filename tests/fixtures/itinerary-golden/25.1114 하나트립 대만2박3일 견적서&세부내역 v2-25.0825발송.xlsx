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N:\개인\01.자동동기화\2025\"/>
    </mc:Choice>
  </mc:AlternateContent>
  <xr:revisionPtr revIDLastSave="0" documentId="13_ncr:1_{E577F3DE-7FF1-4116-8DDC-29311B3E1460}" xr6:coauthVersionLast="47" xr6:coauthVersionMax="47" xr10:uidLastSave="{00000000-0000-0000-0000-000000000000}"/>
  <bookViews>
    <workbookView xWindow="28680" yWindow="-120" windowWidth="29040" windowHeight="15840" xr2:uid="{CE239C3D-18E8-40FF-8255-692AFE2632C5}"/>
  </bookViews>
  <sheets>
    <sheet name="견적서" sheetId="20" r:id="rId1"/>
    <sheet name="세부내역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19" l="1"/>
  <c r="M24" i="19"/>
  <c r="Q18" i="19" l="1"/>
  <c r="Q19" i="19"/>
  <c r="Q25" i="19" l="1"/>
  <c r="Q26" i="19"/>
  <c r="Q27" i="19"/>
  <c r="Q24" i="19"/>
  <c r="Q23" i="19"/>
  <c r="Q22" i="19"/>
  <c r="Q31" i="19" l="1"/>
  <c r="R31" i="19" s="1"/>
  <c r="U31" i="19" s="1"/>
  <c r="Q34" i="19"/>
  <c r="R34" i="19" s="1"/>
  <c r="U34" i="19" s="1"/>
  <c r="R15" i="19"/>
  <c r="U15" i="19" s="1"/>
  <c r="R16" i="19"/>
  <c r="U16" i="19" s="1"/>
  <c r="Q17" i="19"/>
  <c r="R17" i="19" s="1"/>
  <c r="U17" i="19" s="1"/>
  <c r="Q21" i="19"/>
  <c r="R21" i="19" s="1"/>
  <c r="U21" i="19" s="1"/>
  <c r="Q28" i="19"/>
  <c r="R28" i="19" s="1"/>
  <c r="U28" i="19" s="1"/>
  <c r="Q33" i="19"/>
  <c r="R33" i="19" s="1"/>
  <c r="U33" i="19" s="1"/>
  <c r="Q32" i="19"/>
  <c r="R32" i="19" s="1"/>
  <c r="U32" i="19" s="1"/>
  <c r="Q29" i="19"/>
  <c r="R27" i="19"/>
  <c r="R26" i="19"/>
  <c r="U26" i="19" s="1"/>
  <c r="R25" i="19"/>
  <c r="U25" i="19" s="1"/>
  <c r="R24" i="19"/>
  <c r="U24" i="19" s="1"/>
  <c r="R23" i="19"/>
  <c r="U23" i="19" s="1"/>
  <c r="R22" i="19"/>
  <c r="U22" i="19" s="1"/>
  <c r="Q20" i="19"/>
  <c r="R20" i="19" s="1"/>
  <c r="U20" i="19" s="1"/>
  <c r="R19" i="19"/>
  <c r="U19" i="19" s="1"/>
  <c r="R18" i="19"/>
  <c r="Q14" i="19"/>
  <c r="R14" i="19" s="1"/>
  <c r="U14" i="19" s="1"/>
  <c r="X9" i="19"/>
  <c r="U18" i="19" l="1"/>
  <c r="U27" i="19"/>
  <c r="R29" i="19"/>
  <c r="U29" i="19" s="1"/>
  <c r="Q30" i="19"/>
  <c r="R30" i="19" s="1"/>
  <c r="U30" i="19" s="1"/>
  <c r="O13" i="19"/>
  <c r="O12" i="19"/>
  <c r="R12" i="19" s="1"/>
  <c r="R13" i="19" l="1"/>
  <c r="U13" i="19" s="1"/>
  <c r="U35" i="19" s="1"/>
  <c r="E16" i="20" s="1"/>
  <c r="U12" i="19"/>
  <c r="M35" i="19" l="1"/>
  <c r="E17" i="20" l="1"/>
  <c r="O16" i="20"/>
  <c r="O17" i="20"/>
</calcChain>
</file>

<file path=xl/sharedStrings.xml><?xml version="1.0" encoding="utf-8"?>
<sst xmlns="http://schemas.openxmlformats.org/spreadsheetml/2006/main" count="197" uniqueCount="174">
  <si>
    <t>기간</t>
    <phoneticPr fontId="1" type="noConversion"/>
  </si>
  <si>
    <t>날짜</t>
    <phoneticPr fontId="1" type="noConversion"/>
  </si>
  <si>
    <t>항목</t>
    <phoneticPr fontId="1" type="noConversion"/>
  </si>
  <si>
    <t>세부내역</t>
    <phoneticPr fontId="1" type="noConversion"/>
  </si>
  <si>
    <t>단가</t>
    <phoneticPr fontId="1" type="noConversion"/>
  </si>
  <si>
    <t>인원</t>
    <phoneticPr fontId="1" type="noConversion"/>
  </si>
  <si>
    <t>총액</t>
    <phoneticPr fontId="1" type="noConversion"/>
  </si>
  <si>
    <t>1인당 비용</t>
    <phoneticPr fontId="1" type="noConversion"/>
  </si>
  <si>
    <t>비고</t>
    <phoneticPr fontId="1" type="noConversion"/>
  </si>
  <si>
    <t>횟수</t>
    <phoneticPr fontId="1" type="noConversion"/>
  </si>
  <si>
    <t>차량</t>
    <phoneticPr fontId="1" type="noConversion"/>
  </si>
  <si>
    <t xml:space="preserve">1. 행사명       : </t>
    <phoneticPr fontId="3" type="noConversion"/>
  </si>
  <si>
    <t xml:space="preserve">2. 행사기간    : </t>
    <phoneticPr fontId="3" type="noConversion"/>
  </si>
  <si>
    <t>차량비</t>
    <phoneticPr fontId="5" type="noConversion"/>
  </si>
  <si>
    <t>가이드비</t>
    <phoneticPr fontId="5" type="noConversion"/>
  </si>
  <si>
    <t>식사비</t>
    <phoneticPr fontId="5" type="noConversion"/>
  </si>
  <si>
    <t>드림투어 핸드링차지</t>
    <phoneticPr fontId="5" type="noConversion"/>
  </si>
  <si>
    <t>입장권</t>
    <phoneticPr fontId="5" type="noConversion"/>
  </si>
  <si>
    <t>기타</t>
    <phoneticPr fontId="5" type="noConversion"/>
  </si>
  <si>
    <t>+</t>
    <phoneticPr fontId="5" type="noConversion"/>
  </si>
  <si>
    <t>TC</t>
    <phoneticPr fontId="5" type="noConversion"/>
  </si>
  <si>
    <t xml:space="preserve">4. 세부내역    : </t>
    <phoneticPr fontId="1" type="noConversion"/>
  </si>
  <si>
    <t>호텔객실사용</t>
    <phoneticPr fontId="5" type="noConversion"/>
  </si>
  <si>
    <t>호텔비</t>
    <phoneticPr fontId="1" type="noConversion"/>
  </si>
  <si>
    <t>TOTAL</t>
    <phoneticPr fontId="5" type="noConversion"/>
  </si>
  <si>
    <t>FOC</t>
    <phoneticPr fontId="5" type="noConversion"/>
  </si>
  <si>
    <t>~</t>
    <phoneticPr fontId="5" type="noConversion"/>
  </si>
  <si>
    <t>(</t>
    <phoneticPr fontId="5" type="noConversion"/>
  </si>
  <si>
    <t>)</t>
    <phoneticPr fontId="5" type="noConversion"/>
  </si>
  <si>
    <t>가이드</t>
    <phoneticPr fontId="5" type="noConversion"/>
  </si>
  <si>
    <t>차량</t>
    <phoneticPr fontId="5" type="noConversion"/>
  </si>
  <si>
    <t>:</t>
    <phoneticPr fontId="5" type="noConversion"/>
  </si>
  <si>
    <t xml:space="preserve">3. 인  원          : </t>
    <phoneticPr fontId="1" type="noConversion"/>
  </si>
  <si>
    <t xml:space="preserve">DATE </t>
    <phoneticPr fontId="1" type="noConversion"/>
  </si>
  <si>
    <t xml:space="preserve">ATTN </t>
    <phoneticPr fontId="3" type="noConversion"/>
  </si>
  <si>
    <t xml:space="preserve">FROM </t>
    <phoneticPr fontId="3" type="noConversion"/>
  </si>
  <si>
    <t>가이드&amp;차량</t>
    <phoneticPr fontId="5" type="noConversion"/>
  </si>
  <si>
    <t>점심</t>
    <phoneticPr fontId="5" type="noConversion"/>
  </si>
  <si>
    <t>저녁</t>
    <phoneticPr fontId="5" type="noConversion"/>
  </si>
  <si>
    <t xml:space="preserve">TOTAL </t>
    <phoneticPr fontId="1" type="noConversion"/>
  </si>
  <si>
    <t>101빌딩 전망대</t>
    <phoneticPr fontId="5" type="noConversion"/>
  </si>
  <si>
    <t>국립고궁박물관</t>
    <phoneticPr fontId="5" type="noConversion"/>
  </si>
  <si>
    <t>대만 차량보험(법적필수-가이드포함)</t>
    <phoneticPr fontId="5" type="noConversion"/>
  </si>
  <si>
    <t>◈ 세 부 내 역 ◈</t>
    <phoneticPr fontId="1" type="noConversion"/>
  </si>
  <si>
    <r>
      <t xml:space="preserve">객실
</t>
    </r>
    <r>
      <rPr>
        <b/>
        <sz val="10"/>
        <color theme="1"/>
        <rFont val="맑은 고딕"/>
        <family val="3"/>
        <charset val="129"/>
        <scheme val="minor"/>
      </rPr>
      <t>(방수)</t>
    </r>
    <phoneticPr fontId="1" type="noConversion"/>
  </si>
  <si>
    <t>하나트립 / 박 정재 이사님</t>
    <phoneticPr fontId="5" type="noConversion"/>
  </si>
  <si>
    <t>드림투어 / 이 영훈 드림</t>
    <phoneticPr fontId="5" type="noConversion"/>
  </si>
  <si>
    <t>대만 2박3일PTY</t>
    <phoneticPr fontId="5" type="noConversion"/>
  </si>
  <si>
    <t>성인</t>
    <phoneticPr fontId="5" type="noConversion"/>
  </si>
  <si>
    <t>아동</t>
    <phoneticPr fontId="5" type="noConversion"/>
  </si>
  <si>
    <t>트윈</t>
    <phoneticPr fontId="5" type="noConversion"/>
  </si>
  <si>
    <t>싱글</t>
    <phoneticPr fontId="5" type="noConversion"/>
  </si>
  <si>
    <t>엑베</t>
    <phoneticPr fontId="5" type="noConversion"/>
  </si>
  <si>
    <t>모나크스카이라인 우육면</t>
    <phoneticPr fontId="5" type="noConversion"/>
  </si>
  <si>
    <t>쩌이궈샤브샤브</t>
    <phoneticPr fontId="5" type="noConversion"/>
  </si>
  <si>
    <t>까오지딤섬</t>
    <phoneticPr fontId="5" type="noConversion"/>
  </si>
  <si>
    <t>대만 기사팁 (3DAY)</t>
    <phoneticPr fontId="5" type="noConversion"/>
  </si>
  <si>
    <t>대만 가이드FEE(3DAY)</t>
    <phoneticPr fontId="5" type="noConversion"/>
  </si>
  <si>
    <t>대만 가이드TIP(3DAY)</t>
    <phoneticPr fontId="5" type="noConversion"/>
  </si>
  <si>
    <t>생수비용(1인당 총 3병)</t>
    <phoneticPr fontId="5" type="noConversion"/>
  </si>
  <si>
    <t>발마사지 40분(팁포함)</t>
    <phoneticPr fontId="5" type="noConversion"/>
  </si>
  <si>
    <t>대만 가이드 교통비(타이페이시내숙박시)</t>
    <phoneticPr fontId="5" type="noConversion"/>
  </si>
  <si>
    <t>$135+$200+$150</t>
    <phoneticPr fontId="5" type="noConversion"/>
  </si>
  <si>
    <t>대만 45인승 차량(3DAY)</t>
    <phoneticPr fontId="5" type="noConversion"/>
  </si>
  <si>
    <r>
      <t>대만 가이드 통역비</t>
    </r>
    <r>
      <rPr>
        <b/>
        <sz val="11"/>
        <color theme="1"/>
        <rFont val="맑은 고딕"/>
        <family val="3"/>
        <charset val="129"/>
        <scheme val="minor"/>
      </rPr>
      <t>(1회당)-중앙연구원 통역</t>
    </r>
    <phoneticPr fontId="5" type="noConversion"/>
  </si>
  <si>
    <t>20250729-15</t>
  </si>
  <si>
    <t>거래처</t>
  </si>
  <si>
    <t>하나트립 / 박 정재 부장님</t>
  </si>
  <si>
    <t>여행지</t>
  </si>
  <si>
    <t>TAIWAN(타이완) / TAIPEI(타이페이)</t>
  </si>
  <si>
    <t>담당자</t>
  </si>
  <si>
    <t>드림투어 / 이영훈 이사</t>
  </si>
  <si>
    <t>연락처</t>
  </si>
  <si>
    <t>상품명</t>
  </si>
  <si>
    <t>대만 2박3일 PTY</t>
  </si>
  <si>
    <t>여행기간</t>
  </si>
  <si>
    <t>2025-11-14 ~  2025-11-16</t>
  </si>
  <si>
    <t>인원</t>
  </si>
  <si>
    <t>객실수</t>
  </si>
  <si>
    <t>TWN(6). SGL(1).</t>
  </si>
  <si>
    <t>성인(13).</t>
  </si>
  <si>
    <t>호텔</t>
  </si>
  <si>
    <t>2025-11-14~2025-11-16</t>
  </si>
  <si>
    <t>TAIPEI</t>
  </si>
  <si>
    <t>  </t>
  </si>
  <si>
    <t>◎ 여행경비내역</t>
  </si>
  <si>
    <t>세부항목</t>
  </si>
  <si>
    <t>성인</t>
  </si>
  <si>
    <t>소아</t>
  </si>
  <si>
    <t>유아</t>
  </si>
  <si>
    <t>TC</t>
  </si>
  <si>
    <t>FOC</t>
  </si>
  <si>
    <t>합계</t>
  </si>
  <si>
    <t>13 명</t>
  </si>
  <si>
    <t>0 명</t>
  </si>
  <si>
    <t>USD</t>
  </si>
  <si>
    <t>환율</t>
  </si>
  <si>
    <t>KRW</t>
  </si>
  <si>
    <t>판매가</t>
  </si>
  <si>
    <t>지상비</t>
  </si>
  <si>
    <t>◎ 여행조건(포함/불포함 사항)</t>
  </si>
  <si>
    <t>포함사항</t>
  </si>
  <si>
    <t>◎ 현지연락처 : NARA TRAVEL SERVICE CO.,LTD.</t>
  </si>
  <si>
    <t>TEL : 8862-2509-6221 / FAX : 8862-2509-6211</t>
  </si>
  <si>
    <t>서울사무소 : 이 영훈 이사(HP.010-5488-5111)</t>
  </si>
  <si>
    <t>--------------------------------------------------------------------------------------------------------------</t>
  </si>
  <si>
    <t>불포함사항</t>
  </si>
  <si>
    <t>기타개인경비, 식사 시 음&amp;주류 비용, 추가 싱글차지 US$135</t>
  </si>
  <si>
    <t>참고사항</t>
  </si>
  <si>
    <t>- 대만은 전자담배의 제조/구매/소지/흡연이 금지된 국가이며, 적발될 경우 압수는 물론 벌금 부과됩니다.</t>
  </si>
  <si>
    <t>- 육류 가공품(햄, 소시지, 라면, 통조림, 베이컨, 완자, 닭고기 등)의 반입을 엄격히 금지하고 적발시 벌금 부과됩니다 </t>
  </si>
  <si>
    <t>(시간 초과시 벌금 원화 약 2백만원 또는 영업금지 / 차내에서 기념품 판매 금지)</t>
  </si>
  <si>
    <t>11시간 초과하게 될 경우에는 다른 차를 미리 수배해서 시간당 차지를 더 내야 합니다. (시간당 US$60~)</t>
  </si>
  <si>
    <t>---------------------------------------------------------------------------------------------------------------</t>
  </si>
  <si>
    <t>* No 쇼핑 / No 옵션 / No Tip 기준입니다.</t>
  </si>
  <si>
    <t>.</t>
  </si>
  <si>
    <t>여행일정표</t>
  </si>
  <si>
    <t>상품명 : 대만 2박3일 PTY</t>
  </si>
  <si>
    <t>일자</t>
  </si>
  <si>
    <t>교통편</t>
  </si>
  <si>
    <t>시간</t>
  </si>
  <si>
    <t>세부일정</t>
  </si>
  <si>
    <t>11-14(금)</t>
  </si>
  <si>
    <t>OZ711</t>
  </si>
  <si>
    <t>대만 도원 국제공항 도착</t>
  </si>
  <si>
    <t>이민국 및 세관통과 / 가이드 미팅 (-12:40)</t>
  </si>
  <si>
    <t>전용차량</t>
  </si>
  <si>
    <t>중식(공항근처 모나크스카이라인 우육면/$20)</t>
  </si>
  <si>
    <t>타이페이</t>
  </si>
  <si>
    <t>시내로 이동</t>
  </si>
  <si>
    <t>▶101빌딩 전망대 관광</t>
  </si>
  <si>
    <t>▶국립고궁박물관 관람(매주 월요일 휴관)</t>
  </si>
  <si>
    <t>ㄴhttps://www.3coins.com.tw/en/about/6/</t>
  </si>
  <si>
    <t>▶용산사,야시장 관광</t>
  </si>
  <si>
    <t>호텔 투숙 및 휴식</t>
  </si>
  <si>
    <t>MARRIOTT TAIPEI HOTEL(자체수배)</t>
  </si>
  <si>
    <t>중식:우육면 석식:광동식</t>
  </si>
  <si>
    <t>11-15(토)</t>
  </si>
  <si>
    <t>호텔 조식 후</t>
  </si>
  <si>
    <t>▶임안태고조 관광 및 산책</t>
  </si>
  <si>
    <t>▶대만의 유교사원 공자묘 관광</t>
  </si>
  <si>
    <t>▶도교사원 보안궁 및 인성원 관광</t>
  </si>
  <si>
    <t>ㄴhttps://kiki1991.oddle.me/zh_TW/</t>
  </si>
  <si>
    <t>버스로 난강 이동</t>
  </si>
  <si>
    <t>ㄴ가이드통역 포함(2시간기준)</t>
  </si>
  <si>
    <t>석식(쩌이궈샤브샤브/$55)</t>
  </si>
  <si>
    <t>ㄴhttps://www.toponepot.com/</t>
  </si>
  <si>
    <t>호텔 투숙 및 휴식 </t>
  </si>
  <si>
    <t>조식:호텔식 중식:사천식 석식:샤브샤브</t>
  </si>
  <si>
    <t>11-16(일)</t>
  </si>
  <si>
    <t>호텔 조식 후 체크아웃</t>
  </si>
  <si>
    <t>▶중정기념당 관광</t>
  </si>
  <si>
    <t>▶화산1914 창의문화원구 관광</t>
  </si>
  <si>
    <t>중식(까오지딤섬/$35)</t>
  </si>
  <si>
    <t>ㄴ https://www.kao-chi.com/en</t>
  </si>
  <si>
    <t>OZ714</t>
  </si>
  <si>
    <t>대만 출발</t>
  </si>
  <si>
    <t>조식:호텔식 중식:딤섬</t>
  </si>
  <si>
    <t>** 상기 일정은 현지사정 및 항공으로 인하여 변동될 수 있습니다 **</t>
  </si>
  <si>
    <t>ㄴ https://www.sinica.edu.tw/</t>
  </si>
  <si>
    <r>
      <t>* 여권유효기간은 출발일로부터 6개월이상 남아 있어야만 입국 가능합니다.</t>
    </r>
    <r>
      <rPr>
        <b/>
        <sz val="11"/>
        <color rgb="FFFF0000"/>
        <rFont val="맑은 고딕"/>
        <family val="3"/>
        <charset val="129"/>
        <scheme val="minor"/>
      </rPr>
      <t>(중요/단 1일도 안됨)</t>
    </r>
  </si>
  <si>
    <r>
      <t xml:space="preserve">* 2022년 11월 25일부터 노동청법규에 따라 </t>
    </r>
    <r>
      <rPr>
        <b/>
        <sz val="11"/>
        <color rgb="FFFF0000"/>
        <rFont val="맑은 고딕"/>
        <family val="3"/>
        <charset val="129"/>
        <scheme val="minor"/>
      </rPr>
      <t>기사 및 차량운행은 11시간 근무제이며, 버스 사용시간도 11시간입니다.</t>
    </r>
  </si>
  <si>
    <r>
      <t>▶</t>
    </r>
    <r>
      <rPr>
        <sz val="11"/>
        <color theme="1"/>
        <rFont val="맑은 고딕"/>
        <family val="3"/>
        <charset val="129"/>
        <scheme val="minor"/>
      </rPr>
      <t>발마사지 40분 체험(매너팁포함)</t>
    </r>
  </si>
  <si>
    <t>공항으로 이동(1340-1440)</t>
    <phoneticPr fontId="5" type="noConversion"/>
  </si>
  <si>
    <r>
      <t>▶</t>
    </r>
    <r>
      <rPr>
        <b/>
        <sz val="11"/>
        <color theme="1"/>
        <rFont val="맑은 고딕"/>
        <family val="3"/>
        <charset val="129"/>
        <scheme val="minor"/>
      </rPr>
      <t>중앙연구원(academic sinca) 방문 ==&gt; 자체수배 진행중</t>
    </r>
    <phoneticPr fontId="5" type="noConversion"/>
  </si>
  <si>
    <t>메리어트 타이페이 (자체수배기준)</t>
    <phoneticPr fontId="5" type="noConversion"/>
  </si>
  <si>
    <t>대삼원 / 13명 1테이블 착석 (큰 테이블)</t>
    <phoneticPr fontId="5" type="noConversion"/>
  </si>
  <si>
    <t>키키레스토랑 / 2테이블 나눠서 착석</t>
    <phoneticPr fontId="5" type="noConversion"/>
  </si>
  <si>
    <t>석식(대삼원)</t>
    <phoneticPr fontId="5" type="noConversion"/>
  </si>
  <si>
    <t>ㄴ 미슐랭 1스타 / 14명 착석하는 큰 테이블에 13명 착석하는 기준</t>
    <phoneticPr fontId="5" type="noConversion"/>
  </si>
  <si>
    <t>중식(키키레스토랑)</t>
    <phoneticPr fontId="5" type="noConversion"/>
  </si>
  <si>
    <t>ㄴ대만식 사천요리로 현지인들에게 인기가 많은  레스토랑입니다. / 2테이블로 나눠서 착석</t>
    <phoneticPr fontId="5" type="noConversion"/>
  </si>
  <si>
    <t>호텔, 차량(43인승 차량), 가이드(한국어), 식사, 입장료, 가이드 &amp; 기사팁, 가이드통역1회, 생수1일1병/인</t>
    <phoneticPr fontId="5" type="noConversion"/>
  </si>
  <si>
    <t>견적서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</si>
</sst>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mm&quot;월&quot;\ dd&quot;일&quot;"/>
    <numFmt numFmtId="177" formatCode="yyyy&quot;년&quot;\ m&quot;월&quot;\ d&quot;일&quot;;@"/>
    <numFmt numFmtId="178" formatCode="&quot;US$&quot;#,##0_);\(&quot;US$&quot;#,##0\)"/>
    <numFmt numFmtId="179" formatCode="_-&quot;US$&quot;* #,##0_ ;_-&quot;US$&quot;* \-#,##0\ ;_-&quot;US$&quot;* &quot;-&quot;_ ;_-@_ "/>
    <numFmt numFmtId="180" formatCode="dd\.mmm"/>
    <numFmt numFmtId="181" formatCode="00&quot;년&quot;"/>
    <numFmt numFmtId="182" formatCode="00&quot;월&quot;"/>
    <numFmt numFmtId="183" formatCode="00&quot;일&quot;"/>
    <numFmt numFmtId="184" formatCode="0&quot;박&quot;"/>
    <numFmt numFmtId="185" formatCode="0&quot;일&quot;"/>
    <numFmt numFmtId="186" formatCode="0000&quot;년&quot;"/>
    <numFmt numFmtId="187" formatCode="0&quot;명&quot;"/>
    <numFmt numFmtId="188" formatCode="0&quot;대&quot;"/>
    <numFmt numFmtId="189" formatCode="00&quot;회차&quot;"/>
    <numFmt numFmtId="195" formatCode="0&quot;개&quot;"/>
  </numFmts>
  <fonts count="24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name val="맑은 고딕"/>
      <family val="3"/>
      <charset val="129"/>
    </font>
    <font>
      <sz val="10"/>
      <name val="맑은 고딕"/>
      <family val="3"/>
      <charset val="129"/>
    </font>
    <font>
      <sz val="14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나눔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7F7F7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6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8" fillId="2" borderId="0" xfId="0" applyFont="1" applyFill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77" fontId="2" fillId="0" borderId="0" xfId="0" quotePrefix="1" applyNumberFormat="1" applyFont="1" applyAlignment="1">
      <alignment horizontal="center" vertical="center" shrinkToFit="1"/>
    </xf>
    <xf numFmtId="0" fontId="12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4" borderId="38" xfId="0" applyFont="1" applyFill="1" applyBorder="1" applyAlignment="1">
      <alignment vertical="center" shrinkToFit="1"/>
    </xf>
    <xf numFmtId="0" fontId="13" fillId="4" borderId="4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43" xfId="0" applyFont="1" applyBorder="1">
      <alignment vertical="center"/>
    </xf>
    <xf numFmtId="181" fontId="2" fillId="0" borderId="0" xfId="0" applyNumberFormat="1" applyFont="1" applyAlignment="1">
      <alignment horizontal="center" vertical="center" shrinkToFit="1"/>
    </xf>
    <xf numFmtId="182" fontId="2" fillId="0" borderId="0" xfId="0" applyNumberFormat="1" applyFont="1" applyAlignment="1">
      <alignment horizontal="center" vertical="center" shrinkToFit="1"/>
    </xf>
    <xf numFmtId="183" fontId="2" fillId="0" borderId="0" xfId="0" applyNumberFormat="1" applyFont="1" applyAlignment="1">
      <alignment horizontal="center" vertical="center" shrinkToFit="1"/>
    </xf>
    <xf numFmtId="0" fontId="17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83" fontId="2" fillId="0" borderId="0" xfId="0" applyNumberFormat="1" applyFont="1" applyAlignment="1">
      <alignment horizontal="left" vertical="center"/>
    </xf>
    <xf numFmtId="184" fontId="2" fillId="0" borderId="0" xfId="0" applyNumberFormat="1" applyFont="1" applyAlignment="1">
      <alignment horizontal="center" vertical="center" shrinkToFit="1"/>
    </xf>
    <xf numFmtId="18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188" fontId="0" fillId="0" borderId="1" xfId="0" applyNumberFormat="1" applyBorder="1" applyAlignment="1">
      <alignment horizontal="center" vertical="center" shrinkToFit="1"/>
    </xf>
    <xf numFmtId="187" fontId="0" fillId="0" borderId="1" xfId="0" applyNumberFormat="1" applyBorder="1" applyAlignment="1">
      <alignment horizontal="center" vertical="center" shrinkToFit="1"/>
    </xf>
    <xf numFmtId="0" fontId="2" fillId="0" borderId="34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82" fontId="2" fillId="0" borderId="0" xfId="0" applyNumberFormat="1" applyFont="1" applyAlignment="1">
      <alignment horizontal="center" shrinkToFit="1"/>
    </xf>
    <xf numFmtId="183" fontId="2" fillId="0" borderId="0" xfId="0" applyNumberFormat="1" applyFont="1" applyAlignment="1">
      <alignment horizont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31" xfId="0" applyFont="1" applyBorder="1" applyAlignment="1">
      <alignment horizontal="center" vertical="center" shrinkToFit="1"/>
    </xf>
    <xf numFmtId="187" fontId="8" fillId="5" borderId="50" xfId="0" applyNumberFormat="1" applyFont="1" applyFill="1" applyBorder="1" applyAlignment="1">
      <alignment horizontal="center" vertical="center" shrinkToFit="1"/>
    </xf>
    <xf numFmtId="188" fontId="8" fillId="5" borderId="48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187" fontId="0" fillId="0" borderId="1" xfId="0" applyNumberFormat="1" applyBorder="1" applyAlignment="1">
      <alignment horizontal="center" vertical="center"/>
    </xf>
    <xf numFmtId="187" fontId="0" fillId="6" borderId="1" xfId="0" applyNumberForma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11" xfId="0" applyBorder="1" applyAlignment="1">
      <alignment horizontal="left" vertical="center" shrinkToFi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178" fontId="0" fillId="0" borderId="14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31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179" fontId="0" fillId="5" borderId="1" xfId="0" applyNumberFormat="1" applyFill="1" applyBorder="1" applyAlignment="1">
      <alignment horizontal="center" vertical="center"/>
    </xf>
    <xf numFmtId="0" fontId="14" fillId="0" borderId="1" xfId="0" applyFont="1" applyBorder="1" applyAlignment="1">
      <alignment vertical="center" shrinkToFit="1"/>
    </xf>
    <xf numFmtId="0" fontId="14" fillId="0" borderId="21" xfId="0" applyFont="1" applyBorder="1" applyAlignment="1">
      <alignment vertical="center" shrinkToFit="1"/>
    </xf>
    <xf numFmtId="180" fontId="0" fillId="0" borderId="47" xfId="0" applyNumberFormat="1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0" fontId="8" fillId="0" borderId="45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 shrinkToFit="1"/>
    </xf>
    <xf numFmtId="0" fontId="8" fillId="0" borderId="27" xfId="0" applyFont="1" applyBorder="1" applyAlignment="1">
      <alignment horizontal="center" vertical="center" shrinkToFit="1"/>
    </xf>
    <xf numFmtId="0" fontId="0" fillId="0" borderId="0" xfId="0">
      <alignment vertical="center"/>
    </xf>
    <xf numFmtId="179" fontId="0" fillId="0" borderId="25" xfId="0" applyNumberFormat="1" applyBorder="1">
      <alignment vertical="center"/>
    </xf>
    <xf numFmtId="179" fontId="0" fillId="0" borderId="25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179" fontId="0" fillId="0" borderId="1" xfId="0" applyNumberForma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0" fontId="2" fillId="0" borderId="3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86" fontId="2" fillId="0" borderId="0" xfId="0" applyNumberFormat="1" applyFont="1" applyAlignment="1">
      <alignment horizontal="center" shrinkToFit="1"/>
    </xf>
    <xf numFmtId="3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16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89" fontId="15" fillId="6" borderId="51" xfId="2" applyNumberFormat="1" applyFont="1" applyFill="1" applyBorder="1" applyAlignment="1">
      <alignment horizontal="center" vertical="center"/>
    </xf>
    <xf numFmtId="189" fontId="15" fillId="6" borderId="24" xfId="2" applyNumberFormat="1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52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 shrinkToFit="1"/>
    </xf>
    <xf numFmtId="179" fontId="0" fillId="6" borderId="1" xfId="0" applyNumberFormat="1" applyFill="1" applyBorder="1" applyAlignment="1">
      <alignment horizontal="center" vertical="center"/>
    </xf>
    <xf numFmtId="180" fontId="0" fillId="0" borderId="46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79" fontId="0" fillId="6" borderId="1" xfId="0" applyNumberFormat="1" applyFill="1" applyBorder="1">
      <alignment vertical="center"/>
    </xf>
    <xf numFmtId="0" fontId="14" fillId="6" borderId="1" xfId="0" applyFont="1" applyFill="1" applyBorder="1" applyAlignment="1">
      <alignment vertical="center" shrinkToFit="1"/>
    </xf>
    <xf numFmtId="0" fontId="14" fillId="6" borderId="21" xfId="0" applyFont="1" applyFill="1" applyBorder="1" applyAlignment="1">
      <alignment vertical="center" shrinkToFit="1"/>
    </xf>
    <xf numFmtId="0" fontId="8" fillId="0" borderId="15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0" fillId="0" borderId="40" xfId="0" applyNumberFormat="1" applyBorder="1" applyAlignment="1">
      <alignment horizontal="center" vertical="center"/>
    </xf>
    <xf numFmtId="180" fontId="0" fillId="0" borderId="39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 shrinkToFit="1"/>
    </xf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179" fontId="9" fillId="3" borderId="23" xfId="0" applyNumberFormat="1" applyFont="1" applyFill="1" applyBorder="1" applyAlignment="1">
      <alignment horizontal="center" vertical="center"/>
    </xf>
    <xf numFmtId="179" fontId="9" fillId="3" borderId="24" xfId="0" applyNumberFormat="1" applyFont="1" applyFill="1" applyBorder="1" applyAlignment="1">
      <alignment horizontal="center" vertical="center"/>
    </xf>
    <xf numFmtId="179" fontId="13" fillId="5" borderId="49" xfId="0" applyNumberFormat="1" applyFont="1" applyFill="1" applyBorder="1" applyAlignment="1">
      <alignment horizontal="center" vertical="center" shrinkToFit="1"/>
    </xf>
    <xf numFmtId="0" fontId="11" fillId="0" borderId="22" xfId="1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179" fontId="0" fillId="5" borderId="44" xfId="0" applyNumberFormat="1" applyFill="1" applyBorder="1" applyAlignment="1">
      <alignment horizontal="center" vertical="center"/>
    </xf>
    <xf numFmtId="0" fontId="14" fillId="0" borderId="6" xfId="0" applyFont="1" applyBorder="1" applyAlignment="1">
      <alignment vertical="center" shrinkToFit="1"/>
    </xf>
    <xf numFmtId="0" fontId="14" fillId="0" borderId="31" xfId="0" applyFont="1" applyBorder="1" applyAlignment="1">
      <alignment vertical="center" shrinkToFit="1"/>
    </xf>
    <xf numFmtId="0" fontId="8" fillId="0" borderId="20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20" fillId="0" borderId="0" xfId="0" applyFont="1">
      <alignment vertical="center"/>
    </xf>
    <xf numFmtId="0" fontId="13" fillId="0" borderId="54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54" xfId="0" applyFont="1" applyBorder="1" applyAlignment="1">
      <alignment vertical="center" wrapText="1"/>
    </xf>
    <xf numFmtId="0" fontId="13" fillId="7" borderId="55" xfId="0" applyFont="1" applyFill="1" applyBorder="1" applyAlignment="1">
      <alignment horizontal="center" vertical="center" wrapText="1"/>
    </xf>
    <xf numFmtId="0" fontId="13" fillId="7" borderId="56" xfId="0" applyFont="1" applyFill="1" applyBorder="1" applyAlignment="1">
      <alignment horizontal="center" vertical="center" wrapText="1"/>
    </xf>
    <xf numFmtId="31" fontId="13" fillId="7" borderId="56" xfId="0" applyNumberFormat="1" applyFont="1" applyFill="1" applyBorder="1" applyAlignment="1">
      <alignment horizontal="center" vertical="center" wrapText="1"/>
    </xf>
    <xf numFmtId="31" fontId="13" fillId="7" borderId="57" xfId="0" applyNumberFormat="1" applyFont="1" applyFill="1" applyBorder="1" applyAlignment="1">
      <alignment horizontal="center" vertical="center" wrapText="1"/>
    </xf>
    <xf numFmtId="0" fontId="0" fillId="0" borderId="56" xfId="0" applyFont="1" applyBorder="1" applyAlignment="1">
      <alignment vertical="center" wrapText="1"/>
    </xf>
    <xf numFmtId="0" fontId="0" fillId="7" borderId="55" xfId="0" applyFont="1" applyFill="1" applyBorder="1" applyAlignment="1">
      <alignment horizontal="center" vertical="center" wrapText="1"/>
    </xf>
    <xf numFmtId="0" fontId="0" fillId="7" borderId="56" xfId="0" applyFont="1" applyFill="1" applyBorder="1" applyAlignment="1">
      <alignment horizontal="center" vertical="center" wrapText="1"/>
    </xf>
    <xf numFmtId="0" fontId="0" fillId="7" borderId="57" xfId="0" applyFont="1" applyFill="1" applyBorder="1" applyAlignment="1">
      <alignment horizontal="center" vertical="center" wrapText="1"/>
    </xf>
    <xf numFmtId="0" fontId="0" fillId="0" borderId="55" xfId="0" applyFont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 wrapText="1"/>
    </xf>
    <xf numFmtId="0" fontId="0" fillId="0" borderId="57" xfId="0" applyFont="1" applyBorder="1" applyAlignment="1">
      <alignment horizontal="center" vertical="center" wrapText="1"/>
    </xf>
    <xf numFmtId="0" fontId="0" fillId="7" borderId="58" xfId="0" applyFont="1" applyFill="1" applyBorder="1" applyAlignment="1">
      <alignment horizontal="center" vertical="center" wrapText="1"/>
    </xf>
    <xf numFmtId="0" fontId="0" fillId="7" borderId="59" xfId="0" applyFont="1" applyFill="1" applyBorder="1" applyAlignment="1">
      <alignment horizontal="center" vertical="center" wrapText="1"/>
    </xf>
    <xf numFmtId="0" fontId="0" fillId="7" borderId="60" xfId="0" applyFont="1" applyFill="1" applyBorder="1" applyAlignment="1">
      <alignment horizontal="center" vertical="center" wrapText="1"/>
    </xf>
    <xf numFmtId="0" fontId="0" fillId="0" borderId="58" xfId="0" applyFont="1" applyBorder="1" applyAlignment="1">
      <alignment horizontal="center" vertical="center" wrapText="1"/>
    </xf>
    <xf numFmtId="0" fontId="0" fillId="0" borderId="59" xfId="0" applyFont="1" applyBorder="1" applyAlignment="1">
      <alignment horizontal="center" vertical="center" wrapText="1"/>
    </xf>
    <xf numFmtId="0" fontId="0" fillId="0" borderId="60" xfId="0" applyFont="1" applyBorder="1" applyAlignment="1">
      <alignment horizontal="center" vertical="center" wrapText="1"/>
    </xf>
    <xf numFmtId="0" fontId="0" fillId="7" borderId="61" xfId="0" applyFont="1" applyFill="1" applyBorder="1" applyAlignment="1">
      <alignment horizontal="center" vertical="center" wrapText="1"/>
    </xf>
    <xf numFmtId="0" fontId="0" fillId="7" borderId="62" xfId="0" applyFont="1" applyFill="1" applyBorder="1" applyAlignment="1">
      <alignment horizontal="center" vertical="center" wrapText="1"/>
    </xf>
    <xf numFmtId="0" fontId="0" fillId="7" borderId="63" xfId="0" applyFont="1" applyFill="1" applyBorder="1" applyAlignment="1">
      <alignment horizontal="center" vertical="center" wrapText="1"/>
    </xf>
    <xf numFmtId="0" fontId="0" fillId="7" borderId="54" xfId="0" applyFont="1" applyFill="1" applyBorder="1" applyAlignment="1">
      <alignment horizontal="center" vertical="center" wrapText="1"/>
    </xf>
    <xf numFmtId="0" fontId="0" fillId="7" borderId="64" xfId="0" applyFont="1" applyFill="1" applyBorder="1" applyAlignment="1">
      <alignment horizontal="center" vertical="center" wrapText="1"/>
    </xf>
    <xf numFmtId="0" fontId="0" fillId="0" borderId="55" xfId="0" applyFont="1" applyBorder="1" applyAlignment="1">
      <alignment horizontal="left" vertical="top" wrapText="1"/>
    </xf>
    <xf numFmtId="0" fontId="0" fillId="0" borderId="56" xfId="0" applyFont="1" applyBorder="1" applyAlignment="1">
      <alignment horizontal="left" vertical="top" wrapText="1"/>
    </xf>
    <xf numFmtId="0" fontId="0" fillId="0" borderId="56" xfId="0" applyFont="1" applyBorder="1" applyAlignment="1">
      <alignment vertical="top" wrapText="1"/>
    </xf>
    <xf numFmtId="0" fontId="0" fillId="0" borderId="57" xfId="0" applyFont="1" applyBorder="1" applyAlignment="1">
      <alignment vertical="top" wrapText="1"/>
    </xf>
    <xf numFmtId="0" fontId="0" fillId="0" borderId="59" xfId="0" applyFont="1" applyBorder="1" applyAlignment="1">
      <alignment vertical="center" wrapText="1"/>
    </xf>
    <xf numFmtId="0" fontId="0" fillId="7" borderId="65" xfId="0" applyFont="1" applyFill="1" applyBorder="1" applyAlignment="1">
      <alignment horizontal="center" vertical="center" wrapText="1"/>
    </xf>
    <xf numFmtId="0" fontId="0" fillId="8" borderId="55" xfId="0" applyFont="1" applyFill="1" applyBorder="1" applyAlignment="1">
      <alignment horizontal="center" vertical="center" wrapText="1"/>
    </xf>
    <xf numFmtId="0" fontId="0" fillId="8" borderId="57" xfId="0" applyFont="1" applyFill="1" applyBorder="1" applyAlignment="1">
      <alignment horizontal="center" vertical="center" wrapText="1"/>
    </xf>
    <xf numFmtId="0" fontId="0" fillId="0" borderId="55" xfId="0" applyFont="1" applyBorder="1" applyAlignment="1">
      <alignment horizontal="right" vertical="center" wrapText="1"/>
    </xf>
    <xf numFmtId="0" fontId="0" fillId="0" borderId="57" xfId="0" applyFont="1" applyBorder="1" applyAlignment="1">
      <alignment horizontal="right" vertical="center" wrapText="1"/>
    </xf>
    <xf numFmtId="0" fontId="0" fillId="0" borderId="65" xfId="0" applyFont="1" applyBorder="1" applyAlignment="1">
      <alignment horizontal="right" vertical="center" wrapText="1"/>
    </xf>
    <xf numFmtId="0" fontId="0" fillId="0" borderId="56" xfId="0" applyFont="1" applyBorder="1" applyAlignment="1">
      <alignment horizontal="right" vertical="center" wrapText="1"/>
    </xf>
    <xf numFmtId="0" fontId="0" fillId="7" borderId="55" xfId="0" applyFont="1" applyFill="1" applyBorder="1" applyAlignment="1">
      <alignment horizontal="right" vertical="center" wrapText="1"/>
    </xf>
    <xf numFmtId="0" fontId="0" fillId="7" borderId="57" xfId="0" applyFont="1" applyFill="1" applyBorder="1" applyAlignment="1">
      <alignment horizontal="right" vertical="center" wrapText="1"/>
    </xf>
    <xf numFmtId="0" fontId="0" fillId="7" borderId="65" xfId="0" applyFont="1" applyFill="1" applyBorder="1" applyAlignment="1">
      <alignment horizontal="right" vertical="center" wrapText="1"/>
    </xf>
    <xf numFmtId="0" fontId="0" fillId="7" borderId="56" xfId="0" applyFont="1" applyFill="1" applyBorder="1" applyAlignment="1">
      <alignment horizontal="right" vertical="center" wrapText="1"/>
    </xf>
    <xf numFmtId="0" fontId="0" fillId="0" borderId="58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0" fillId="0" borderId="60" xfId="0" applyFont="1" applyBorder="1" applyAlignment="1">
      <alignment horizontal="left" vertical="center" wrapText="1"/>
    </xf>
    <xf numFmtId="0" fontId="0" fillId="0" borderId="61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62" xfId="0" applyFont="1" applyBorder="1" applyAlignment="1">
      <alignment horizontal="left" vertical="center" wrapText="1"/>
    </xf>
    <xf numFmtId="0" fontId="0" fillId="0" borderId="63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 wrapText="1"/>
    </xf>
    <xf numFmtId="0" fontId="0" fillId="0" borderId="64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0" fillId="0" borderId="56" xfId="0" applyFont="1" applyBorder="1" applyAlignment="1">
      <alignment horizontal="left" vertical="center" wrapText="1"/>
    </xf>
    <xf numFmtId="0" fontId="0" fillId="0" borderId="57" xfId="0" applyFont="1" applyBorder="1" applyAlignment="1">
      <alignment horizontal="left" vertical="center" wrapText="1"/>
    </xf>
    <xf numFmtId="0" fontId="13" fillId="0" borderId="58" xfId="0" applyFont="1" applyBorder="1" applyAlignment="1">
      <alignment horizontal="left" vertical="center" wrapText="1"/>
    </xf>
    <xf numFmtId="0" fontId="13" fillId="0" borderId="59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13" fillId="0" borderId="6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62" xfId="0" applyFont="1" applyBorder="1" applyAlignment="1">
      <alignment horizontal="left" vertical="center" wrapText="1"/>
    </xf>
    <xf numFmtId="0" fontId="13" fillId="0" borderId="63" xfId="0" applyFont="1" applyBorder="1" applyAlignment="1">
      <alignment horizontal="left" vertical="center" wrapText="1"/>
    </xf>
    <xf numFmtId="0" fontId="13" fillId="0" borderId="64" xfId="0" applyFont="1" applyBorder="1" applyAlignment="1">
      <alignment horizontal="left" vertical="center" wrapText="1"/>
    </xf>
    <xf numFmtId="0" fontId="22" fillId="0" borderId="59" xfId="0" applyFont="1" applyBorder="1" applyAlignment="1">
      <alignment vertical="center" wrapText="1"/>
    </xf>
    <xf numFmtId="0" fontId="13" fillId="0" borderId="54" xfId="0" applyFont="1" applyBorder="1" applyAlignment="1">
      <alignment vertical="center" wrapText="1"/>
    </xf>
    <xf numFmtId="0" fontId="0" fillId="0" borderId="58" xfId="0" applyFont="1" applyBorder="1" applyAlignment="1">
      <alignment horizontal="center" vertical="top" wrapText="1"/>
    </xf>
    <xf numFmtId="0" fontId="0" fillId="0" borderId="60" xfId="0" applyFont="1" applyBorder="1" applyAlignment="1">
      <alignment horizontal="center" vertical="top" wrapText="1"/>
    </xf>
    <xf numFmtId="20" fontId="0" fillId="0" borderId="66" xfId="0" applyNumberFormat="1" applyFont="1" applyBorder="1" applyAlignment="1">
      <alignment horizontal="center" vertical="top" wrapText="1"/>
    </xf>
    <xf numFmtId="0" fontId="0" fillId="0" borderId="58" xfId="0" applyFont="1" applyBorder="1" applyAlignment="1">
      <alignment horizontal="left" vertical="top" wrapText="1"/>
    </xf>
    <xf numFmtId="0" fontId="0" fillId="0" borderId="59" xfId="0" applyFont="1" applyBorder="1" applyAlignment="1">
      <alignment horizontal="left" vertical="top" wrapText="1"/>
    </xf>
    <xf numFmtId="0" fontId="0" fillId="0" borderId="60" xfId="0" applyFont="1" applyBorder="1" applyAlignment="1">
      <alignment horizontal="left" vertical="top" wrapText="1"/>
    </xf>
    <xf numFmtId="0" fontId="0" fillId="0" borderId="61" xfId="0" applyFont="1" applyBorder="1" applyAlignment="1">
      <alignment horizontal="center" vertical="top" wrapText="1"/>
    </xf>
    <xf numFmtId="0" fontId="0" fillId="0" borderId="62" xfId="0" applyFont="1" applyBorder="1" applyAlignment="1">
      <alignment horizontal="center" vertical="top" wrapText="1"/>
    </xf>
    <xf numFmtId="20" fontId="0" fillId="0" borderId="67" xfId="0" applyNumberFormat="1" applyFont="1" applyBorder="1" applyAlignment="1">
      <alignment horizontal="center" vertical="top" wrapText="1"/>
    </xf>
    <xf numFmtId="0" fontId="0" fillId="0" borderId="6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62" xfId="0" applyFont="1" applyBorder="1" applyAlignment="1">
      <alignment horizontal="left" vertical="top" wrapText="1"/>
    </xf>
    <xf numFmtId="0" fontId="19" fillId="0" borderId="61" xfId="8" applyFont="1" applyBorder="1" applyAlignment="1">
      <alignment horizontal="left" vertical="top" wrapText="1"/>
    </xf>
    <xf numFmtId="0" fontId="19" fillId="0" borderId="0" xfId="8" applyFont="1" applyBorder="1" applyAlignment="1">
      <alignment horizontal="left" vertical="top" wrapText="1"/>
    </xf>
    <xf numFmtId="0" fontId="19" fillId="0" borderId="62" xfId="8" applyFont="1" applyBorder="1" applyAlignment="1">
      <alignment horizontal="left" vertical="top" wrapText="1"/>
    </xf>
    <xf numFmtId="0" fontId="0" fillId="0" borderId="63" xfId="0" applyFont="1" applyBorder="1" applyAlignment="1">
      <alignment horizontal="center" vertical="top" wrapText="1"/>
    </xf>
    <xf numFmtId="0" fontId="0" fillId="0" borderId="64" xfId="0" applyFont="1" applyBorder="1" applyAlignment="1">
      <alignment horizontal="center" vertical="top" wrapText="1"/>
    </xf>
    <xf numFmtId="20" fontId="0" fillId="0" borderId="68" xfId="0" applyNumberFormat="1" applyFont="1" applyBorder="1" applyAlignment="1">
      <alignment horizontal="center" vertical="top" wrapText="1"/>
    </xf>
    <xf numFmtId="0" fontId="0" fillId="0" borderId="63" xfId="0" applyFont="1" applyBorder="1" applyAlignment="1">
      <alignment horizontal="left" vertical="top" wrapText="1"/>
    </xf>
    <xf numFmtId="0" fontId="0" fillId="0" borderId="54" xfId="0" applyFont="1" applyBorder="1" applyAlignment="1">
      <alignment horizontal="left" vertical="top" wrapText="1"/>
    </xf>
    <xf numFmtId="0" fontId="0" fillId="0" borderId="64" xfId="0" applyFont="1" applyBorder="1" applyAlignment="1">
      <alignment horizontal="left" vertical="top" wrapText="1"/>
    </xf>
    <xf numFmtId="0" fontId="0" fillId="0" borderId="56" xfId="0" applyFont="1" applyBorder="1" applyAlignment="1">
      <alignment horizontal="right" vertical="center" wrapText="1" indent="1"/>
    </xf>
    <xf numFmtId="0" fontId="0" fillId="0" borderId="57" xfId="0" applyFont="1" applyBorder="1" applyAlignment="1">
      <alignment horizontal="right" vertical="center" wrapText="1" indent="1"/>
    </xf>
    <xf numFmtId="0" fontId="0" fillId="0" borderId="66" xfId="0" applyFont="1" applyBorder="1" applyAlignment="1">
      <alignment horizontal="center" vertical="top" wrapText="1"/>
    </xf>
    <xf numFmtId="0" fontId="0" fillId="0" borderId="67" xfId="0" applyFont="1" applyBorder="1" applyAlignment="1">
      <alignment horizontal="center" vertical="top" wrapText="1"/>
    </xf>
    <xf numFmtId="0" fontId="13" fillId="0" borderId="6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62" xfId="0" applyFont="1" applyBorder="1" applyAlignment="1">
      <alignment horizontal="left" vertical="top" wrapText="1"/>
    </xf>
    <xf numFmtId="0" fontId="0" fillId="0" borderId="68" xfId="0" applyFont="1" applyBorder="1" applyAlignment="1">
      <alignment horizontal="center" vertical="top" wrapText="1"/>
    </xf>
    <xf numFmtId="0" fontId="0" fillId="0" borderId="55" xfId="0" applyFont="1" applyBorder="1" applyAlignment="1">
      <alignment horizontal="right" vertical="top" wrapText="1" indent="1"/>
    </xf>
    <xf numFmtId="0" fontId="0" fillId="0" borderId="56" xfId="0" applyFont="1" applyBorder="1" applyAlignment="1">
      <alignment horizontal="right" vertical="top" wrapText="1" indent="1"/>
    </xf>
    <xf numFmtId="0" fontId="0" fillId="0" borderId="57" xfId="0" applyFont="1" applyBorder="1" applyAlignment="1">
      <alignment horizontal="right" vertical="top" wrapText="1" indent="1"/>
    </xf>
    <xf numFmtId="0" fontId="22" fillId="0" borderId="0" xfId="0" applyFont="1" applyAlignment="1">
      <alignment vertical="center" wrapText="1"/>
    </xf>
    <xf numFmtId="0" fontId="0" fillId="0" borderId="0" xfId="0" applyFont="1">
      <alignment vertical="center"/>
    </xf>
    <xf numFmtId="20" fontId="0" fillId="0" borderId="68" xfId="0" applyNumberFormat="1" applyFont="1" applyBorder="1" applyAlignment="1">
      <alignment horizontal="center" vertical="top" wrapText="1"/>
    </xf>
    <xf numFmtId="20" fontId="0" fillId="0" borderId="66" xfId="0" applyNumberFormat="1" applyFont="1" applyBorder="1" applyAlignment="1">
      <alignment vertical="top" wrapText="1"/>
    </xf>
    <xf numFmtId="20" fontId="0" fillId="0" borderId="67" xfId="0" applyNumberFormat="1" applyFont="1" applyBorder="1" applyAlignment="1">
      <alignment vertical="top" wrapText="1"/>
    </xf>
    <xf numFmtId="179" fontId="0" fillId="0" borderId="55" xfId="0" applyNumberFormat="1" applyFont="1" applyBorder="1" applyAlignment="1">
      <alignment horizontal="right" vertical="center" wrapText="1"/>
    </xf>
    <xf numFmtId="179" fontId="0" fillId="0" borderId="57" xfId="0" applyNumberFormat="1" applyFont="1" applyBorder="1" applyAlignment="1">
      <alignment horizontal="right" vertical="center" wrapText="1"/>
    </xf>
    <xf numFmtId="179" fontId="0" fillId="7" borderId="55" xfId="0" applyNumberFormat="1" applyFont="1" applyFill="1" applyBorder="1" applyAlignment="1">
      <alignment horizontal="right" vertical="center" wrapText="1"/>
    </xf>
    <xf numFmtId="179" fontId="0" fillId="7" borderId="57" xfId="0" applyNumberFormat="1" applyFont="1" applyFill="1" applyBorder="1" applyAlignment="1">
      <alignment horizontal="right" vertical="center" wrapText="1"/>
    </xf>
    <xf numFmtId="195" fontId="0" fillId="0" borderId="1" xfId="0" applyNumberFormat="1" applyBorder="1" applyAlignment="1">
      <alignment horizontal="center" vertical="center"/>
    </xf>
    <xf numFmtId="0" fontId="23" fillId="7" borderId="56" xfId="0" applyFont="1" applyFill="1" applyBorder="1" applyAlignment="1">
      <alignment horizontal="center" vertical="center" wrapText="1"/>
    </xf>
    <xf numFmtId="0" fontId="14" fillId="0" borderId="45" xfId="0" applyFont="1" applyBorder="1" applyAlignment="1">
      <alignment horizontal="left" vertical="center" shrinkToFit="1"/>
    </xf>
    <xf numFmtId="0" fontId="14" fillId="0" borderId="34" xfId="0" applyFont="1" applyBorder="1" applyAlignment="1">
      <alignment horizontal="left" vertical="center" shrinkToFit="1"/>
    </xf>
    <xf numFmtId="0" fontId="14" fillId="0" borderId="19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69" xfId="0" applyFont="1" applyBorder="1" applyAlignment="1">
      <alignment horizontal="left" vertical="center" shrinkToFit="1"/>
    </xf>
    <xf numFmtId="0" fontId="14" fillId="0" borderId="70" xfId="0" applyFont="1" applyBorder="1" applyAlignment="1">
      <alignment horizontal="left" vertical="center" shrinkToFit="1"/>
    </xf>
  </cellXfs>
  <cellStyles count="9">
    <cellStyle name="표준" xfId="0" builtinId="0"/>
    <cellStyle name="표준 2" xfId="3" xr:uid="{EB91680D-BAB0-4000-87EB-FF0DB2A24B51}"/>
    <cellStyle name="표준 2 2" xfId="1" xr:uid="{6C6A409E-BB6E-4E59-84D9-47E6A95CF069}"/>
    <cellStyle name="표준 2 2 2 2" xfId="7" xr:uid="{1A28315C-DE1F-47BB-BF10-3BADF7A1CA8B}"/>
    <cellStyle name="표준 2 4" xfId="4" xr:uid="{F70D8803-4882-49B4-BB8D-307BE64B914E}"/>
    <cellStyle name="표준 2 5" xfId="5" xr:uid="{D16B01C6-5384-4DEA-9609-0662171EB6FC}"/>
    <cellStyle name="표준 2 6" xfId="6" xr:uid="{D18AB9A9-CD86-4972-92FB-E90074083A33}"/>
    <cellStyle name="표준 3" xfId="2" xr:uid="{ACB49A29-440E-403B-B937-C1B3E5818387}"/>
    <cellStyle name="하이퍼링크" xfId="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kr.object.ncloudstorage.com/avatar3-s3-file-system/account_content/BASE_companybasic/PHOTO/dreamtour_1/photo_2_data.jp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1</xdr:row>
      <xdr:rowOff>38100</xdr:rowOff>
    </xdr:from>
    <xdr:to>
      <xdr:col>12</xdr:col>
      <xdr:colOff>38099</xdr:colOff>
      <xdr:row>2</xdr:row>
      <xdr:rowOff>81159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607A4-B887-4FC0-9CA0-F829903AB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38100"/>
          <a:ext cx="6048375" cy="709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nica.edu.tw/" TargetMode="External"/><Relationship Id="rId2" Type="http://schemas.openxmlformats.org/officeDocument/2006/relationships/hyperlink" Target="https://kiki1991.oddle.me/zh_TW/" TargetMode="External"/><Relationship Id="rId1" Type="http://schemas.openxmlformats.org/officeDocument/2006/relationships/hyperlink" Target="https://www.3coins.com.tw/en/about/6/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kao-chi.com/en" TargetMode="External"/><Relationship Id="rId4" Type="http://schemas.openxmlformats.org/officeDocument/2006/relationships/hyperlink" Target="https://www.toponepo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9E52-FBF9-4FE3-B66D-7C2A0F70B63C}">
  <dimension ref="A1:T80"/>
  <sheetViews>
    <sheetView tabSelected="1" topLeftCell="A46" workbookViewId="0">
      <selection activeCell="Q4" sqref="Q4:T4"/>
    </sheetView>
  </sheetViews>
  <sheetFormatPr defaultRowHeight="16.5"/>
  <cols>
    <col min="1" max="20" width="6.625" style="245" customWidth="1"/>
  </cols>
  <sheetData>
    <row r="1" spans="1:20" s="146" customFormat="1" hidden="1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</row>
    <row r="2" spans="1:20" s="146" customFormat="1" ht="52.5" customHeight="1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</row>
    <row r="3" spans="1:20" s="146" customFormat="1" ht="11.2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</row>
    <row r="4" spans="1:20" s="146" customFormat="1" ht="20.25">
      <c r="A4" s="152" t="s">
        <v>65</v>
      </c>
      <c r="B4" s="153"/>
      <c r="C4" s="153"/>
      <c r="D4" s="153"/>
      <c r="E4" s="254" t="s">
        <v>173</v>
      </c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154">
        <v>45894</v>
      </c>
      <c r="R4" s="154"/>
      <c r="S4" s="154"/>
      <c r="T4" s="155"/>
    </row>
    <row r="5" spans="1:20" s="146" customFormat="1" ht="11.25" customHeight="1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</row>
    <row r="6" spans="1:20" s="146" customFormat="1">
      <c r="A6" s="157" t="s">
        <v>66</v>
      </c>
      <c r="B6" s="158"/>
      <c r="C6" s="159"/>
      <c r="D6" s="160" t="s">
        <v>67</v>
      </c>
      <c r="E6" s="161"/>
      <c r="F6" s="161"/>
      <c r="G6" s="161"/>
      <c r="H6" s="161"/>
      <c r="I6" s="161"/>
      <c r="J6" s="162"/>
      <c r="K6" s="157" t="s">
        <v>68</v>
      </c>
      <c r="L6" s="158"/>
      <c r="M6" s="159"/>
      <c r="N6" s="160" t="s">
        <v>69</v>
      </c>
      <c r="O6" s="161"/>
      <c r="P6" s="161"/>
      <c r="Q6" s="161"/>
      <c r="R6" s="161"/>
      <c r="S6" s="161"/>
      <c r="T6" s="162"/>
    </row>
    <row r="7" spans="1:20" s="146" customFormat="1">
      <c r="A7" s="157" t="s">
        <v>70</v>
      </c>
      <c r="B7" s="158"/>
      <c r="C7" s="159"/>
      <c r="D7" s="160" t="s">
        <v>71</v>
      </c>
      <c r="E7" s="161"/>
      <c r="F7" s="161"/>
      <c r="G7" s="161"/>
      <c r="H7" s="161"/>
      <c r="I7" s="161"/>
      <c r="J7" s="162"/>
      <c r="K7" s="157" t="s">
        <v>72</v>
      </c>
      <c r="L7" s="158"/>
      <c r="M7" s="159"/>
      <c r="N7" s="160">
        <v>7074316396</v>
      </c>
      <c r="O7" s="161"/>
      <c r="P7" s="161"/>
      <c r="Q7" s="161"/>
      <c r="R7" s="161"/>
      <c r="S7" s="161"/>
      <c r="T7" s="162"/>
    </row>
    <row r="8" spans="1:20" s="146" customFormat="1" ht="11.25" customHeight="1">
      <c r="A8" s="156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</row>
    <row r="9" spans="1:20" s="146" customFormat="1">
      <c r="A9" s="157" t="s">
        <v>73</v>
      </c>
      <c r="B9" s="158"/>
      <c r="C9" s="159"/>
      <c r="D9" s="160" t="s">
        <v>74</v>
      </c>
      <c r="E9" s="161"/>
      <c r="F9" s="161"/>
      <c r="G9" s="161"/>
      <c r="H9" s="161"/>
      <c r="I9" s="161"/>
      <c r="J9" s="162"/>
      <c r="K9" s="157" t="s">
        <v>75</v>
      </c>
      <c r="L9" s="158"/>
      <c r="M9" s="159"/>
      <c r="N9" s="160" t="s">
        <v>76</v>
      </c>
      <c r="O9" s="161"/>
      <c r="P9" s="161"/>
      <c r="Q9" s="161"/>
      <c r="R9" s="161"/>
      <c r="S9" s="161"/>
      <c r="T9" s="162"/>
    </row>
    <row r="10" spans="1:20" s="146" customFormat="1" ht="16.5" customHeight="1">
      <c r="A10" s="163" t="s">
        <v>77</v>
      </c>
      <c r="B10" s="164"/>
      <c r="C10" s="165"/>
      <c r="D10" s="166" t="s">
        <v>80</v>
      </c>
      <c r="E10" s="167"/>
      <c r="F10" s="167"/>
      <c r="G10" s="167"/>
      <c r="H10" s="167"/>
      <c r="I10" s="167"/>
      <c r="J10" s="168"/>
      <c r="K10" s="163" t="s">
        <v>78</v>
      </c>
      <c r="L10" s="164"/>
      <c r="M10" s="165"/>
      <c r="N10" s="166" t="s">
        <v>79</v>
      </c>
      <c r="O10" s="167"/>
      <c r="P10" s="167"/>
      <c r="Q10" s="167"/>
      <c r="R10" s="167"/>
      <c r="S10" s="167"/>
      <c r="T10" s="168"/>
    </row>
    <row r="11" spans="1:20" s="146" customFormat="1">
      <c r="A11" s="157" t="s">
        <v>81</v>
      </c>
      <c r="B11" s="158"/>
      <c r="C11" s="159"/>
      <c r="D11" s="174" t="s">
        <v>82</v>
      </c>
      <c r="E11" s="175"/>
      <c r="F11" s="175"/>
      <c r="G11" s="175"/>
      <c r="H11" s="176" t="s">
        <v>83</v>
      </c>
      <c r="I11" s="176"/>
      <c r="J11" s="176"/>
      <c r="K11" s="176" t="s">
        <v>84</v>
      </c>
      <c r="L11" s="176"/>
      <c r="M11" s="176"/>
      <c r="N11" s="176"/>
      <c r="O11" s="176"/>
      <c r="P11" s="176"/>
      <c r="Q11" s="176"/>
      <c r="R11" s="176"/>
      <c r="S11" s="176"/>
      <c r="T11" s="177"/>
    </row>
    <row r="12" spans="1:20" s="146" customFormat="1" ht="11.25" customHeight="1">
      <c r="A12" s="178"/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</row>
    <row r="13" spans="1:20" s="146" customFormat="1">
      <c r="A13" s="147" t="s">
        <v>85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</row>
    <row r="14" spans="1:20" s="148" customFormat="1">
      <c r="A14" s="163" t="s">
        <v>86</v>
      </c>
      <c r="B14" s="164"/>
      <c r="C14" s="164"/>
      <c r="D14" s="165"/>
      <c r="E14" s="157" t="s">
        <v>87</v>
      </c>
      <c r="F14" s="159"/>
      <c r="G14" s="157" t="s">
        <v>88</v>
      </c>
      <c r="H14" s="159"/>
      <c r="I14" s="157" t="s">
        <v>89</v>
      </c>
      <c r="J14" s="159"/>
      <c r="K14" s="157" t="s">
        <v>90</v>
      </c>
      <c r="L14" s="159"/>
      <c r="M14" s="157" t="s">
        <v>91</v>
      </c>
      <c r="N14" s="159"/>
      <c r="O14" s="157" t="s">
        <v>92</v>
      </c>
      <c r="P14" s="158"/>
      <c r="Q14" s="158"/>
      <c r="R14" s="158"/>
      <c r="S14" s="158"/>
      <c r="T14" s="159"/>
    </row>
    <row r="15" spans="1:20" s="148" customFormat="1">
      <c r="A15" s="171"/>
      <c r="B15" s="172"/>
      <c r="C15" s="172"/>
      <c r="D15" s="173"/>
      <c r="E15" s="157" t="s">
        <v>93</v>
      </c>
      <c r="F15" s="159"/>
      <c r="G15" s="157" t="s">
        <v>94</v>
      </c>
      <c r="H15" s="159"/>
      <c r="I15" s="157" t="s">
        <v>94</v>
      </c>
      <c r="J15" s="159"/>
      <c r="K15" s="157" t="s">
        <v>94</v>
      </c>
      <c r="L15" s="159"/>
      <c r="M15" s="157" t="s">
        <v>94</v>
      </c>
      <c r="N15" s="159"/>
      <c r="O15" s="157" t="s">
        <v>95</v>
      </c>
      <c r="P15" s="159"/>
      <c r="Q15" s="179" t="s">
        <v>96</v>
      </c>
      <c r="R15" s="157" t="s">
        <v>97</v>
      </c>
      <c r="S15" s="158"/>
      <c r="T15" s="159"/>
    </row>
    <row r="16" spans="1:20" s="146" customFormat="1">
      <c r="A16" s="180" t="s">
        <v>98</v>
      </c>
      <c r="B16" s="181"/>
      <c r="C16" s="180" t="s">
        <v>99</v>
      </c>
      <c r="D16" s="181"/>
      <c r="E16" s="249">
        <f>세부내역!U35</f>
        <v>459.07692307692304</v>
      </c>
      <c r="F16" s="250"/>
      <c r="G16" s="182"/>
      <c r="H16" s="183"/>
      <c r="I16" s="182"/>
      <c r="J16" s="183"/>
      <c r="K16" s="182"/>
      <c r="L16" s="183"/>
      <c r="M16" s="182"/>
      <c r="N16" s="183"/>
      <c r="O16" s="249">
        <f>세부내역!M35</f>
        <v>5968</v>
      </c>
      <c r="P16" s="250"/>
      <c r="Q16" s="184"/>
      <c r="R16" s="182"/>
      <c r="S16" s="185"/>
      <c r="T16" s="183"/>
    </row>
    <row r="17" spans="1:20" s="148" customFormat="1">
      <c r="A17" s="157" t="s">
        <v>92</v>
      </c>
      <c r="B17" s="158"/>
      <c r="C17" s="158"/>
      <c r="D17" s="159"/>
      <c r="E17" s="251">
        <f>세부내역!M35</f>
        <v>5968</v>
      </c>
      <c r="F17" s="252"/>
      <c r="G17" s="186">
        <v>0</v>
      </c>
      <c r="H17" s="187"/>
      <c r="I17" s="186">
        <v>0</v>
      </c>
      <c r="J17" s="187"/>
      <c r="K17" s="186">
        <v>0</v>
      </c>
      <c r="L17" s="187"/>
      <c r="M17" s="186">
        <v>0</v>
      </c>
      <c r="N17" s="187"/>
      <c r="O17" s="251">
        <f>세부내역!M35</f>
        <v>5968</v>
      </c>
      <c r="P17" s="252"/>
      <c r="Q17" s="188"/>
      <c r="R17" s="186">
        <v>0</v>
      </c>
      <c r="S17" s="189"/>
      <c r="T17" s="187"/>
    </row>
    <row r="18" spans="1:20" s="146" customFormat="1" ht="11.25" customHeight="1">
      <c r="A18" s="178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</row>
    <row r="19" spans="1:20" s="146" customFormat="1">
      <c r="A19" s="147" t="s">
        <v>100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</row>
    <row r="20" spans="1:20" s="146" customFormat="1">
      <c r="A20" s="163" t="s">
        <v>101</v>
      </c>
      <c r="B20" s="165"/>
      <c r="C20" s="190" t="s">
        <v>102</v>
      </c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2"/>
    </row>
    <row r="21" spans="1:20" s="146" customFormat="1">
      <c r="A21" s="169"/>
      <c r="B21" s="170"/>
      <c r="C21" s="193" t="s">
        <v>103</v>
      </c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5"/>
    </row>
    <row r="22" spans="1:20" s="146" customFormat="1">
      <c r="A22" s="169"/>
      <c r="B22" s="170"/>
      <c r="C22" s="193" t="s">
        <v>104</v>
      </c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5"/>
    </row>
    <row r="23" spans="1:20" s="146" customFormat="1">
      <c r="A23" s="169"/>
      <c r="B23" s="170"/>
      <c r="C23" s="193" t="s">
        <v>105</v>
      </c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5"/>
    </row>
    <row r="24" spans="1:20" s="146" customFormat="1">
      <c r="A24" s="171"/>
      <c r="B24" s="173"/>
      <c r="C24" s="196" t="s">
        <v>172</v>
      </c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8"/>
    </row>
    <row r="25" spans="1:20" s="146" customFormat="1">
      <c r="A25" s="157" t="s">
        <v>106</v>
      </c>
      <c r="B25" s="159"/>
      <c r="C25" s="199" t="s">
        <v>107</v>
      </c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1"/>
    </row>
    <row r="26" spans="1:20" s="146" customFormat="1">
      <c r="A26" s="163" t="s">
        <v>108</v>
      </c>
      <c r="B26" s="165"/>
      <c r="C26" s="202" t="s">
        <v>160</v>
      </c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4"/>
    </row>
    <row r="27" spans="1:20" s="146" customFormat="1">
      <c r="A27" s="169"/>
      <c r="B27" s="170"/>
      <c r="C27" s="193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5"/>
    </row>
    <row r="28" spans="1:20" s="146" customFormat="1">
      <c r="A28" s="169"/>
      <c r="B28" s="170"/>
      <c r="C28" s="205" t="s">
        <v>109</v>
      </c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7"/>
    </row>
    <row r="29" spans="1:20" s="146" customFormat="1">
      <c r="A29" s="169"/>
      <c r="B29" s="170"/>
      <c r="C29" s="205" t="s">
        <v>110</v>
      </c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7"/>
    </row>
    <row r="30" spans="1:20" s="146" customFormat="1">
      <c r="A30" s="169"/>
      <c r="B30" s="170"/>
      <c r="C30" s="193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5"/>
    </row>
    <row r="31" spans="1:20" s="146" customFormat="1">
      <c r="A31" s="169"/>
      <c r="B31" s="170"/>
      <c r="C31" s="205" t="s">
        <v>161</v>
      </c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7"/>
    </row>
    <row r="32" spans="1:20" s="146" customFormat="1">
      <c r="A32" s="169"/>
      <c r="B32" s="170"/>
      <c r="C32" s="205" t="s">
        <v>111</v>
      </c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7"/>
    </row>
    <row r="33" spans="1:20" s="146" customFormat="1">
      <c r="A33" s="169"/>
      <c r="B33" s="170"/>
      <c r="C33" s="205" t="s">
        <v>112</v>
      </c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7"/>
    </row>
    <row r="34" spans="1:20" s="146" customFormat="1">
      <c r="A34" s="169"/>
      <c r="B34" s="170"/>
      <c r="C34" s="205" t="s">
        <v>113</v>
      </c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7"/>
    </row>
    <row r="35" spans="1:20" s="146" customFormat="1">
      <c r="A35" s="171"/>
      <c r="B35" s="173"/>
      <c r="C35" s="208" t="s">
        <v>114</v>
      </c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209"/>
    </row>
    <row r="36" spans="1:20" s="146" customFormat="1" ht="11.25" customHeight="1">
      <c r="A36" s="210" t="s">
        <v>115</v>
      </c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</row>
    <row r="37" spans="1:20" s="146" customFormat="1">
      <c r="A37" s="152" t="s">
        <v>65</v>
      </c>
      <c r="B37" s="153"/>
      <c r="C37" s="153"/>
      <c r="D37" s="153"/>
      <c r="E37" s="153" t="s">
        <v>116</v>
      </c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4">
        <v>45894</v>
      </c>
      <c r="R37" s="154"/>
      <c r="S37" s="154"/>
      <c r="T37" s="155"/>
    </row>
    <row r="38" spans="1:20" s="146" customFormat="1" ht="11.25" customHeight="1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</row>
    <row r="39" spans="1:20" s="146" customFormat="1">
      <c r="A39" s="211" t="s">
        <v>117</v>
      </c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</row>
    <row r="40" spans="1:20" s="146" customFormat="1">
      <c r="A40" s="157" t="s">
        <v>118</v>
      </c>
      <c r="B40" s="159"/>
      <c r="C40" s="157" t="s">
        <v>119</v>
      </c>
      <c r="D40" s="159"/>
      <c r="E40" s="179" t="s">
        <v>120</v>
      </c>
      <c r="F40" s="157" t="s">
        <v>121</v>
      </c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9"/>
    </row>
    <row r="41" spans="1:20" s="146" customFormat="1">
      <c r="A41" s="212" t="s">
        <v>122</v>
      </c>
      <c r="B41" s="213"/>
      <c r="C41" s="212" t="s">
        <v>123</v>
      </c>
      <c r="D41" s="213"/>
      <c r="E41" s="214">
        <v>0.4861111111111111</v>
      </c>
      <c r="F41" s="215" t="s">
        <v>124</v>
      </c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7"/>
    </row>
    <row r="42" spans="1:20" s="146" customFormat="1">
      <c r="A42" s="218"/>
      <c r="B42" s="219"/>
      <c r="C42" s="218"/>
      <c r="D42" s="219"/>
      <c r="E42" s="220"/>
      <c r="F42" s="221" t="s">
        <v>125</v>
      </c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3"/>
    </row>
    <row r="43" spans="1:20" s="146" customFormat="1">
      <c r="A43" s="218"/>
      <c r="B43" s="219"/>
      <c r="C43" s="218" t="s">
        <v>126</v>
      </c>
      <c r="D43" s="219"/>
      <c r="E43" s="220"/>
      <c r="F43" s="221" t="s">
        <v>127</v>
      </c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3"/>
    </row>
    <row r="44" spans="1:20" s="146" customFormat="1">
      <c r="A44" s="218" t="s">
        <v>128</v>
      </c>
      <c r="B44" s="219"/>
      <c r="C44" s="218"/>
      <c r="D44" s="219"/>
      <c r="E44" s="220"/>
      <c r="F44" s="221" t="s">
        <v>129</v>
      </c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3"/>
    </row>
    <row r="45" spans="1:20" s="146" customFormat="1">
      <c r="A45" s="218"/>
      <c r="B45" s="219"/>
      <c r="C45" s="218"/>
      <c r="D45" s="219"/>
      <c r="E45" s="220"/>
      <c r="F45" s="221" t="s">
        <v>131</v>
      </c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3"/>
    </row>
    <row r="46" spans="1:20" s="146" customFormat="1">
      <c r="A46" s="218"/>
      <c r="B46" s="219"/>
      <c r="C46" s="218"/>
      <c r="D46" s="219"/>
      <c r="E46" s="220"/>
      <c r="F46" s="221" t="s">
        <v>130</v>
      </c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3"/>
    </row>
    <row r="47" spans="1:20" s="146" customFormat="1">
      <c r="A47" s="218"/>
      <c r="B47" s="219"/>
      <c r="C47" s="218"/>
      <c r="D47" s="219"/>
      <c r="E47" s="220"/>
      <c r="F47" s="221" t="s">
        <v>168</v>
      </c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3"/>
    </row>
    <row r="48" spans="1:20" s="146" customFormat="1">
      <c r="A48" s="218"/>
      <c r="B48" s="219"/>
      <c r="C48" s="218"/>
      <c r="D48" s="219"/>
      <c r="E48" s="220"/>
      <c r="F48" s="221" t="s">
        <v>169</v>
      </c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3"/>
    </row>
    <row r="49" spans="1:20" s="146" customFormat="1">
      <c r="A49" s="218"/>
      <c r="B49" s="219"/>
      <c r="C49" s="218"/>
      <c r="D49" s="219"/>
      <c r="E49" s="220"/>
      <c r="F49" s="224" t="s">
        <v>132</v>
      </c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6"/>
    </row>
    <row r="50" spans="1:20" s="146" customFormat="1">
      <c r="A50" s="218"/>
      <c r="B50" s="219"/>
      <c r="C50" s="218"/>
      <c r="D50" s="219"/>
      <c r="E50" s="220"/>
      <c r="F50" s="221" t="s">
        <v>133</v>
      </c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3"/>
    </row>
    <row r="51" spans="1:20" s="146" customFormat="1">
      <c r="A51" s="218"/>
      <c r="B51" s="219"/>
      <c r="C51" s="218"/>
      <c r="D51" s="219"/>
      <c r="E51" s="220"/>
      <c r="F51" s="221" t="s">
        <v>134</v>
      </c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3"/>
    </row>
    <row r="52" spans="1:20" s="146" customFormat="1">
      <c r="A52" s="227"/>
      <c r="B52" s="228"/>
      <c r="C52" s="227"/>
      <c r="D52" s="228"/>
      <c r="E52" s="229"/>
      <c r="F52" s="230"/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231"/>
      <c r="S52" s="231"/>
      <c r="T52" s="232"/>
    </row>
    <row r="53" spans="1:20" s="146" customFormat="1">
      <c r="A53" s="174" t="s">
        <v>135</v>
      </c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233" t="s">
        <v>136</v>
      </c>
      <c r="N53" s="233"/>
      <c r="O53" s="233"/>
      <c r="P53" s="233"/>
      <c r="Q53" s="233"/>
      <c r="R53" s="233"/>
      <c r="S53" s="233"/>
      <c r="T53" s="234"/>
    </row>
    <row r="54" spans="1:20" s="146" customFormat="1">
      <c r="A54" s="212" t="s">
        <v>137</v>
      </c>
      <c r="B54" s="213"/>
      <c r="C54" s="212" t="s">
        <v>126</v>
      </c>
      <c r="D54" s="213"/>
      <c r="E54" s="235"/>
      <c r="F54" s="215" t="s">
        <v>138</v>
      </c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7"/>
    </row>
    <row r="55" spans="1:20" s="146" customFormat="1">
      <c r="A55" s="218" t="s">
        <v>128</v>
      </c>
      <c r="B55" s="219"/>
      <c r="C55" s="218"/>
      <c r="D55" s="219"/>
      <c r="E55" s="236"/>
      <c r="F55" s="221" t="s">
        <v>139</v>
      </c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3"/>
    </row>
    <row r="56" spans="1:20" s="146" customFormat="1">
      <c r="A56" s="218"/>
      <c r="B56" s="219"/>
      <c r="C56" s="218"/>
      <c r="D56" s="219"/>
      <c r="E56" s="236"/>
      <c r="F56" s="221" t="s">
        <v>140</v>
      </c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3"/>
    </row>
    <row r="57" spans="1:20" s="146" customFormat="1">
      <c r="A57" s="218"/>
      <c r="B57" s="219"/>
      <c r="C57" s="218"/>
      <c r="D57" s="219"/>
      <c r="E57" s="236"/>
      <c r="F57" s="221" t="s">
        <v>141</v>
      </c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3"/>
    </row>
    <row r="58" spans="1:20" s="146" customFormat="1">
      <c r="A58" s="218"/>
      <c r="B58" s="219"/>
      <c r="C58" s="218"/>
      <c r="D58" s="219"/>
      <c r="E58" s="236"/>
      <c r="F58" s="221" t="s">
        <v>170</v>
      </c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3"/>
    </row>
    <row r="59" spans="1:20" s="146" customFormat="1">
      <c r="A59" s="218"/>
      <c r="B59" s="219"/>
      <c r="C59" s="218"/>
      <c r="D59" s="219"/>
      <c r="E59" s="236"/>
      <c r="F59" s="221" t="s">
        <v>171</v>
      </c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3"/>
    </row>
    <row r="60" spans="1:20" s="146" customFormat="1">
      <c r="A60" s="218"/>
      <c r="B60" s="219"/>
      <c r="C60" s="218"/>
      <c r="D60" s="219"/>
      <c r="E60" s="236"/>
      <c r="F60" s="224" t="s">
        <v>142</v>
      </c>
      <c r="G60" s="225"/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6"/>
    </row>
    <row r="61" spans="1:20" s="146" customFormat="1">
      <c r="A61" s="218"/>
      <c r="B61" s="219"/>
      <c r="C61" s="218"/>
      <c r="D61" s="219"/>
      <c r="E61" s="236"/>
      <c r="F61" s="221" t="s">
        <v>143</v>
      </c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3"/>
    </row>
    <row r="62" spans="1:20" s="146" customFormat="1">
      <c r="A62" s="218"/>
      <c r="B62" s="219"/>
      <c r="C62" s="218"/>
      <c r="D62" s="219"/>
      <c r="E62" s="236"/>
      <c r="F62" s="221" t="s">
        <v>164</v>
      </c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3"/>
    </row>
    <row r="63" spans="1:20" s="146" customFormat="1">
      <c r="A63" s="218"/>
      <c r="B63" s="219"/>
      <c r="C63" s="218"/>
      <c r="D63" s="219"/>
      <c r="E63" s="236"/>
      <c r="F63" s="224" t="s">
        <v>159</v>
      </c>
      <c r="G63" s="225"/>
      <c r="H63" s="225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6"/>
    </row>
    <row r="64" spans="1:20" s="146" customFormat="1">
      <c r="A64" s="218"/>
      <c r="B64" s="219"/>
      <c r="C64" s="218"/>
      <c r="D64" s="219"/>
      <c r="E64" s="236"/>
      <c r="F64" s="221" t="s">
        <v>144</v>
      </c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3"/>
    </row>
    <row r="65" spans="1:20" s="146" customFormat="1">
      <c r="A65" s="218"/>
      <c r="B65" s="219"/>
      <c r="C65" s="218"/>
      <c r="D65" s="219"/>
      <c r="E65" s="236"/>
      <c r="F65" s="237" t="s">
        <v>162</v>
      </c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8"/>
      <c r="T65" s="239"/>
    </row>
    <row r="66" spans="1:20" s="146" customFormat="1">
      <c r="A66" s="218"/>
      <c r="B66" s="219"/>
      <c r="C66" s="218"/>
      <c r="D66" s="219"/>
      <c r="E66" s="236"/>
      <c r="F66" s="221" t="s">
        <v>145</v>
      </c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3"/>
    </row>
    <row r="67" spans="1:20" s="146" customFormat="1">
      <c r="A67" s="218"/>
      <c r="B67" s="219"/>
      <c r="C67" s="218"/>
      <c r="D67" s="219"/>
      <c r="E67" s="236"/>
      <c r="F67" s="224" t="s">
        <v>146</v>
      </c>
      <c r="G67" s="225"/>
      <c r="H67" s="225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6"/>
    </row>
    <row r="68" spans="1:20" s="146" customFormat="1">
      <c r="A68" s="227"/>
      <c r="B68" s="228"/>
      <c r="C68" s="227"/>
      <c r="D68" s="228"/>
      <c r="E68" s="240"/>
      <c r="F68" s="230" t="s">
        <v>147</v>
      </c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2"/>
    </row>
    <row r="69" spans="1:20" s="146" customFormat="1">
      <c r="A69" s="174" t="s">
        <v>135</v>
      </c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233" t="s">
        <v>148</v>
      </c>
      <c r="N69" s="233"/>
      <c r="O69" s="233"/>
      <c r="P69" s="233"/>
      <c r="Q69" s="233"/>
      <c r="R69" s="233"/>
      <c r="S69" s="233"/>
      <c r="T69" s="234"/>
    </row>
    <row r="70" spans="1:20" s="146" customFormat="1">
      <c r="A70" s="212" t="s">
        <v>149</v>
      </c>
      <c r="B70" s="213"/>
      <c r="C70" s="212" t="s">
        <v>126</v>
      </c>
      <c r="D70" s="213"/>
      <c r="E70" s="247"/>
      <c r="F70" s="215" t="s">
        <v>150</v>
      </c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7"/>
    </row>
    <row r="71" spans="1:20" s="146" customFormat="1">
      <c r="A71" s="218" t="s">
        <v>128</v>
      </c>
      <c r="B71" s="219"/>
      <c r="C71" s="218"/>
      <c r="D71" s="219"/>
      <c r="E71" s="248"/>
      <c r="F71" s="221" t="s">
        <v>151</v>
      </c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3"/>
    </row>
    <row r="72" spans="1:20" s="146" customFormat="1">
      <c r="A72" s="218"/>
      <c r="B72" s="219"/>
      <c r="C72" s="218"/>
      <c r="D72" s="219"/>
      <c r="E72" s="248"/>
      <c r="F72" s="221" t="s">
        <v>152</v>
      </c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3"/>
    </row>
    <row r="73" spans="1:20" s="146" customFormat="1">
      <c r="A73" s="218"/>
      <c r="B73" s="219"/>
      <c r="C73" s="218"/>
      <c r="D73" s="219"/>
      <c r="E73" s="248"/>
      <c r="F73" s="221" t="s">
        <v>153</v>
      </c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3"/>
    </row>
    <row r="74" spans="1:20" s="146" customFormat="1">
      <c r="A74" s="218"/>
      <c r="B74" s="219"/>
      <c r="C74" s="218"/>
      <c r="D74" s="219"/>
      <c r="E74" s="248"/>
      <c r="F74" s="224" t="s">
        <v>154</v>
      </c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6"/>
    </row>
    <row r="75" spans="1:20" s="146" customFormat="1">
      <c r="A75" s="218"/>
      <c r="B75" s="219"/>
      <c r="C75" s="218" t="s">
        <v>155</v>
      </c>
      <c r="D75" s="219"/>
      <c r="E75" s="248"/>
      <c r="F75" s="221" t="s">
        <v>163</v>
      </c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3"/>
    </row>
    <row r="76" spans="1:20" s="146" customFormat="1">
      <c r="A76" s="227"/>
      <c r="B76" s="228"/>
      <c r="C76" s="227"/>
      <c r="D76" s="228"/>
      <c r="E76" s="246">
        <v>0.71527777777777779</v>
      </c>
      <c r="F76" s="230" t="s">
        <v>156</v>
      </c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2"/>
    </row>
    <row r="77" spans="1:20" s="146" customFormat="1">
      <c r="A77" s="241" t="s">
        <v>157</v>
      </c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3"/>
    </row>
    <row r="78" spans="1:20" s="146" customFormat="1" ht="11.25" customHeight="1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</row>
    <row r="79" spans="1:20" s="146" customFormat="1">
      <c r="A79" s="194" t="s">
        <v>158</v>
      </c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</row>
    <row r="80" spans="1:20" s="146" customFormat="1" ht="11.25" customHeight="1">
      <c r="A80" s="244" t="s">
        <v>115</v>
      </c>
      <c r="B80" s="244"/>
      <c r="C80" s="244"/>
      <c r="D80" s="244"/>
      <c r="E80" s="244"/>
      <c r="F80" s="244"/>
      <c r="G80" s="244"/>
      <c r="H80" s="244"/>
      <c r="I80" s="244"/>
      <c r="J80" s="244"/>
      <c r="K80" s="244"/>
      <c r="L80" s="244"/>
      <c r="M80" s="244"/>
      <c r="N80" s="244"/>
      <c r="O80" s="244"/>
      <c r="P80" s="244"/>
      <c r="Q80" s="244"/>
      <c r="R80" s="244"/>
      <c r="S80" s="244"/>
      <c r="T80" s="244"/>
    </row>
  </sheetData>
  <mergeCells count="188">
    <mergeCell ref="A77:T77"/>
    <mergeCell ref="A78:T78"/>
    <mergeCell ref="A79:T79"/>
    <mergeCell ref="A80:T80"/>
    <mergeCell ref="D10:J10"/>
    <mergeCell ref="A45:B45"/>
    <mergeCell ref="C45:D45"/>
    <mergeCell ref="F45:T45"/>
    <mergeCell ref="A75:B75"/>
    <mergeCell ref="C75:D75"/>
    <mergeCell ref="F75:T75"/>
    <mergeCell ref="A76:B76"/>
    <mergeCell ref="C76:D76"/>
    <mergeCell ref="F76:T76"/>
    <mergeCell ref="A73:B73"/>
    <mergeCell ref="C73:D73"/>
    <mergeCell ref="F73:T73"/>
    <mergeCell ref="A74:B74"/>
    <mergeCell ref="C74:D74"/>
    <mergeCell ref="F74:T74"/>
    <mergeCell ref="A70:B70"/>
    <mergeCell ref="C70:D70"/>
    <mergeCell ref="F70:T70"/>
    <mergeCell ref="A71:B71"/>
    <mergeCell ref="C71:D71"/>
    <mergeCell ref="F71:T71"/>
    <mergeCell ref="A72:B72"/>
    <mergeCell ref="C72:D72"/>
    <mergeCell ref="F72:T72"/>
    <mergeCell ref="A67:B67"/>
    <mergeCell ref="F67:T67"/>
    <mergeCell ref="A68:B68"/>
    <mergeCell ref="F68:T68"/>
    <mergeCell ref="A69:L69"/>
    <mergeCell ref="M69:T69"/>
    <mergeCell ref="A64:B64"/>
    <mergeCell ref="F64:T64"/>
    <mergeCell ref="A65:B65"/>
    <mergeCell ref="F65:T65"/>
    <mergeCell ref="A66:B66"/>
    <mergeCell ref="F66:T66"/>
    <mergeCell ref="A62:B62"/>
    <mergeCell ref="F62:T62"/>
    <mergeCell ref="A63:B63"/>
    <mergeCell ref="F63:T63"/>
    <mergeCell ref="A59:B59"/>
    <mergeCell ref="F59:T59"/>
    <mergeCell ref="A60:B60"/>
    <mergeCell ref="F60:T60"/>
    <mergeCell ref="A61:B61"/>
    <mergeCell ref="F61:T61"/>
    <mergeCell ref="F55:T55"/>
    <mergeCell ref="A56:B56"/>
    <mergeCell ref="F56:T56"/>
    <mergeCell ref="A57:B57"/>
    <mergeCell ref="F57:T57"/>
    <mergeCell ref="A58:B58"/>
    <mergeCell ref="F58:T58"/>
    <mergeCell ref="A52:B52"/>
    <mergeCell ref="C52:D52"/>
    <mergeCell ref="F52:T52"/>
    <mergeCell ref="A53:L53"/>
    <mergeCell ref="M53:T53"/>
    <mergeCell ref="A54:B54"/>
    <mergeCell ref="C54:D68"/>
    <mergeCell ref="E54:E68"/>
    <mergeCell ref="F54:T54"/>
    <mergeCell ref="A55:B55"/>
    <mergeCell ref="A50:B50"/>
    <mergeCell ref="C50:D50"/>
    <mergeCell ref="F50:T50"/>
    <mergeCell ref="A51:B51"/>
    <mergeCell ref="C51:D51"/>
    <mergeCell ref="F51:T51"/>
    <mergeCell ref="A48:B48"/>
    <mergeCell ref="C48:D48"/>
    <mergeCell ref="F48:T48"/>
    <mergeCell ref="A49:B49"/>
    <mergeCell ref="C49:D49"/>
    <mergeCell ref="F49:T49"/>
    <mergeCell ref="A47:B47"/>
    <mergeCell ref="C47:D47"/>
    <mergeCell ref="F47:T47"/>
    <mergeCell ref="A44:B44"/>
    <mergeCell ref="C44:D44"/>
    <mergeCell ref="F44:T44"/>
    <mergeCell ref="A46:B46"/>
    <mergeCell ref="C46:D46"/>
    <mergeCell ref="F46:T46"/>
    <mergeCell ref="A41:B41"/>
    <mergeCell ref="C41:D41"/>
    <mergeCell ref="E41:E52"/>
    <mergeCell ref="F41:T41"/>
    <mergeCell ref="A42:B42"/>
    <mergeCell ref="C42:D42"/>
    <mergeCell ref="F42:T42"/>
    <mergeCell ref="A43:B43"/>
    <mergeCell ref="C43:D43"/>
    <mergeCell ref="F43:T43"/>
    <mergeCell ref="A37:D37"/>
    <mergeCell ref="E37:P37"/>
    <mergeCell ref="Q37:T37"/>
    <mergeCell ref="A38:T38"/>
    <mergeCell ref="A39:T39"/>
    <mergeCell ref="A40:B40"/>
    <mergeCell ref="C40:D40"/>
    <mergeCell ref="F40:T40"/>
    <mergeCell ref="C33:T33"/>
    <mergeCell ref="C34:T34"/>
    <mergeCell ref="C35:T35"/>
    <mergeCell ref="A36:T36"/>
    <mergeCell ref="A25:B25"/>
    <mergeCell ref="C25:T25"/>
    <mergeCell ref="A26:B35"/>
    <mergeCell ref="C26:T26"/>
    <mergeCell ref="C27:T27"/>
    <mergeCell ref="C28:T28"/>
    <mergeCell ref="C29:T29"/>
    <mergeCell ref="C30:T30"/>
    <mergeCell ref="C31:T31"/>
    <mergeCell ref="C32:T32"/>
    <mergeCell ref="R17:T17"/>
    <mergeCell ref="A18:T18"/>
    <mergeCell ref="A19:T19"/>
    <mergeCell ref="A20:B24"/>
    <mergeCell ref="C20:T20"/>
    <mergeCell ref="C21:T21"/>
    <mergeCell ref="C22:T22"/>
    <mergeCell ref="C23:T23"/>
    <mergeCell ref="C24:T24"/>
    <mergeCell ref="M16:N16"/>
    <mergeCell ref="O16:P16"/>
    <mergeCell ref="R16:T16"/>
    <mergeCell ref="A17:D17"/>
    <mergeCell ref="E17:F17"/>
    <mergeCell ref="G17:H17"/>
    <mergeCell ref="I17:J17"/>
    <mergeCell ref="K17:L17"/>
    <mergeCell ref="M17:N17"/>
    <mergeCell ref="O17:P17"/>
    <mergeCell ref="A16:B16"/>
    <mergeCell ref="C16:D16"/>
    <mergeCell ref="E16:F16"/>
    <mergeCell ref="G16:H16"/>
    <mergeCell ref="I16:J16"/>
    <mergeCell ref="K16:L16"/>
    <mergeCell ref="O14:T14"/>
    <mergeCell ref="E15:F15"/>
    <mergeCell ref="G15:H15"/>
    <mergeCell ref="I15:J15"/>
    <mergeCell ref="K15:L15"/>
    <mergeCell ref="M15:N15"/>
    <mergeCell ref="O15:P15"/>
    <mergeCell ref="R15:T15"/>
    <mergeCell ref="A12:T12"/>
    <mergeCell ref="A13:T13"/>
    <mergeCell ref="A14:D15"/>
    <mergeCell ref="E14:F14"/>
    <mergeCell ref="G14:H14"/>
    <mergeCell ref="I14:J14"/>
    <mergeCell ref="K14:L14"/>
    <mergeCell ref="M14:N14"/>
    <mergeCell ref="A11:C11"/>
    <mergeCell ref="D11:G11"/>
    <mergeCell ref="H11:J11"/>
    <mergeCell ref="K11:T11"/>
    <mergeCell ref="A8:T8"/>
    <mergeCell ref="A9:C9"/>
    <mergeCell ref="D9:J9"/>
    <mergeCell ref="K9:M9"/>
    <mergeCell ref="N9:T9"/>
    <mergeCell ref="A10:C10"/>
    <mergeCell ref="K10:M10"/>
    <mergeCell ref="N10:T10"/>
    <mergeCell ref="A6:C6"/>
    <mergeCell ref="D6:J6"/>
    <mergeCell ref="K6:M6"/>
    <mergeCell ref="N6:T6"/>
    <mergeCell ref="A7:C7"/>
    <mergeCell ref="D7:J7"/>
    <mergeCell ref="K7:M7"/>
    <mergeCell ref="N7:T7"/>
    <mergeCell ref="A2:T2"/>
    <mergeCell ref="A3:T3"/>
    <mergeCell ref="A4:D4"/>
    <mergeCell ref="E4:P4"/>
    <mergeCell ref="Q4:T4"/>
    <mergeCell ref="A5:T5"/>
  </mergeCells>
  <phoneticPr fontId="5" type="noConversion"/>
  <hyperlinks>
    <hyperlink ref="F49" r:id="rId1" display="https://www.3coins.com.tw/en/about/6/" xr:uid="{A7C6552B-C8CA-40CA-8C88-DD7ADEAC17BD}"/>
    <hyperlink ref="F60" r:id="rId2" display="https://kiki1991.oddle.me/zh_TW/" xr:uid="{B55551F9-50DF-4286-ADC7-BD9CB448F333}"/>
    <hyperlink ref="F63" r:id="rId3" display="https://www.sinica.edu.tw/" xr:uid="{D8AFFC13-E3C4-47F9-99EA-EF9D36B87F6B}"/>
    <hyperlink ref="F67" r:id="rId4" display="https://www.toponepot.com/" xr:uid="{BC70CB0E-964A-4C19-A1C4-2ECF10FCA7EA}"/>
    <hyperlink ref="F74" r:id="rId5" display="https://www.kao-chi.com/en" xr:uid="{E55F3144-BF26-408C-BEA9-A92978621EB9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41D8-A7FC-4C51-A931-F7204C4C2800}">
  <sheetPr>
    <tabColor rgb="FFFFC000"/>
    <pageSetUpPr fitToPage="1"/>
  </sheetPr>
  <dimension ref="A1:AB36"/>
  <sheetViews>
    <sheetView zoomScale="90" zoomScaleNormal="90" workbookViewId="0">
      <selection activeCell="R14" sqref="R14:T30"/>
    </sheetView>
  </sheetViews>
  <sheetFormatPr defaultRowHeight="16.5"/>
  <cols>
    <col min="1" max="11" width="5.125" customWidth="1"/>
    <col min="12" max="12" width="5.125" style="2" customWidth="1"/>
    <col min="13" max="27" width="5.125" customWidth="1"/>
    <col min="28" max="28" width="4.875" style="3" customWidth="1"/>
    <col min="29" max="67" width="4.875" customWidth="1"/>
  </cols>
  <sheetData>
    <row r="1" spans="1:28" ht="2.25" customHeight="1">
      <c r="A1" s="5"/>
      <c r="B1" s="5"/>
      <c r="C1" s="6"/>
      <c r="D1" s="7"/>
      <c r="E1" s="6"/>
      <c r="F1" s="6"/>
      <c r="G1" s="6"/>
      <c r="H1" s="7"/>
      <c r="I1" s="6"/>
      <c r="J1" s="6"/>
      <c r="K1" s="6"/>
      <c r="L1" s="7"/>
      <c r="M1" s="6"/>
      <c r="N1" s="6"/>
      <c r="O1" s="6"/>
      <c r="P1" s="7"/>
      <c r="Q1" s="6"/>
      <c r="R1" s="6"/>
      <c r="S1" s="6"/>
      <c r="T1" s="6"/>
      <c r="U1" s="7"/>
      <c r="V1" s="6"/>
      <c r="W1" s="6"/>
      <c r="X1" s="6"/>
      <c r="Y1" s="6"/>
      <c r="Z1" s="7"/>
      <c r="AA1" s="6"/>
    </row>
    <row r="2" spans="1:28" s="1" customFormat="1">
      <c r="A2" s="108" t="s">
        <v>33</v>
      </c>
      <c r="B2" s="108"/>
      <c r="C2" s="15" t="s">
        <v>31</v>
      </c>
      <c r="D2" s="101">
        <v>2025</v>
      </c>
      <c r="E2" s="101"/>
      <c r="F2" s="45">
        <v>8</v>
      </c>
      <c r="G2" s="46">
        <v>25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4"/>
    </row>
    <row r="3" spans="1:28" s="1" customFormat="1">
      <c r="A3" s="109" t="s">
        <v>34</v>
      </c>
      <c r="B3" s="109"/>
      <c r="C3" s="37" t="s">
        <v>31</v>
      </c>
      <c r="D3" s="102" t="s">
        <v>45</v>
      </c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4"/>
    </row>
    <row r="4" spans="1:28" s="1" customFormat="1" ht="17.25" thickBot="1">
      <c r="A4" s="109" t="s">
        <v>35</v>
      </c>
      <c r="B4" s="109"/>
      <c r="C4" s="37" t="s">
        <v>31</v>
      </c>
      <c r="D4" s="104" t="s">
        <v>46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4"/>
    </row>
    <row r="5" spans="1:28" ht="21" thickBot="1">
      <c r="A5" s="116" t="s">
        <v>43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  <c r="Z5" s="114">
        <v>2</v>
      </c>
      <c r="AA5" s="115"/>
    </row>
    <row r="6" spans="1:28" s="1" customFormat="1" ht="17.25" thickBot="1">
      <c r="A6" s="99" t="s">
        <v>11</v>
      </c>
      <c r="B6" s="99"/>
      <c r="C6" s="42" t="s">
        <v>31</v>
      </c>
      <c r="D6" s="100" t="s">
        <v>47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4"/>
    </row>
    <row r="7" spans="1:28" s="1" customFormat="1" ht="17.25" thickBot="1">
      <c r="A7" s="100" t="s">
        <v>12</v>
      </c>
      <c r="B7" s="100"/>
      <c r="C7" s="15" t="s">
        <v>31</v>
      </c>
      <c r="D7" s="29">
        <v>2025</v>
      </c>
      <c r="E7" s="30">
        <v>11</v>
      </c>
      <c r="F7" s="31">
        <v>14</v>
      </c>
      <c r="G7" s="15" t="s">
        <v>26</v>
      </c>
      <c r="H7" s="29">
        <v>2025</v>
      </c>
      <c r="I7" s="30">
        <v>11</v>
      </c>
      <c r="J7" s="31">
        <v>16</v>
      </c>
      <c r="K7" s="33" t="s">
        <v>27</v>
      </c>
      <c r="L7" s="35">
        <v>2</v>
      </c>
      <c r="M7" s="36">
        <v>3</v>
      </c>
      <c r="N7" s="34" t="s">
        <v>28</v>
      </c>
      <c r="O7" s="15"/>
      <c r="R7" s="106" t="s">
        <v>36</v>
      </c>
      <c r="S7" s="107"/>
      <c r="T7" s="28"/>
      <c r="U7" s="111" t="s">
        <v>22</v>
      </c>
      <c r="V7" s="112"/>
      <c r="W7" s="112"/>
      <c r="X7" s="113"/>
      <c r="AB7" s="4"/>
    </row>
    <row r="8" spans="1:28" s="1" customFormat="1" ht="17.25" thickBot="1">
      <c r="A8" s="64" t="s">
        <v>32</v>
      </c>
      <c r="B8" s="64"/>
      <c r="C8" s="43" t="s">
        <v>31</v>
      </c>
      <c r="D8" s="26">
        <v>13</v>
      </c>
      <c r="E8" s="17" t="s">
        <v>48</v>
      </c>
      <c r="F8" s="16" t="s">
        <v>19</v>
      </c>
      <c r="G8" s="26">
        <v>0</v>
      </c>
      <c r="H8" s="17" t="s">
        <v>49</v>
      </c>
      <c r="I8" s="16" t="s">
        <v>19</v>
      </c>
      <c r="J8" s="26">
        <v>0</v>
      </c>
      <c r="K8" s="15" t="s">
        <v>25</v>
      </c>
      <c r="L8" s="16" t="s">
        <v>19</v>
      </c>
      <c r="M8" s="26">
        <v>0</v>
      </c>
      <c r="N8" s="15" t="s">
        <v>20</v>
      </c>
      <c r="Q8" s="32"/>
      <c r="R8" s="47" t="s">
        <v>29</v>
      </c>
      <c r="S8" s="48" t="s">
        <v>30</v>
      </c>
      <c r="U8" s="21" t="s">
        <v>50</v>
      </c>
      <c r="V8" s="22" t="s">
        <v>51</v>
      </c>
      <c r="W8" s="23" t="s">
        <v>52</v>
      </c>
      <c r="X8" s="24" t="s">
        <v>24</v>
      </c>
      <c r="AB8" s="4"/>
    </row>
    <row r="9" spans="1:28" ht="17.25" thickBot="1">
      <c r="A9" s="65" t="s">
        <v>21</v>
      </c>
      <c r="B9" s="65"/>
      <c r="C9" s="44" t="s">
        <v>31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49">
        <v>1</v>
      </c>
      <c r="S9" s="50">
        <v>1</v>
      </c>
      <c r="T9" s="39"/>
      <c r="U9" s="18">
        <v>6</v>
      </c>
      <c r="V9" s="19">
        <v>1</v>
      </c>
      <c r="W9" s="20">
        <v>0</v>
      </c>
      <c r="X9" s="25">
        <f>U9+V9+W9</f>
        <v>7</v>
      </c>
      <c r="Y9" s="1"/>
      <c r="Z9" s="1"/>
      <c r="AA9" s="1"/>
    </row>
    <row r="10" spans="1:28">
      <c r="A10" s="66" t="s">
        <v>1</v>
      </c>
      <c r="B10" s="67"/>
      <c r="C10" s="66" t="s">
        <v>2</v>
      </c>
      <c r="D10" s="70"/>
      <c r="E10" s="66" t="s">
        <v>3</v>
      </c>
      <c r="F10" s="67"/>
      <c r="G10" s="67"/>
      <c r="H10" s="67"/>
      <c r="I10" s="67"/>
      <c r="J10" s="67"/>
      <c r="K10" s="67"/>
      <c r="L10" s="70"/>
      <c r="M10" s="72" t="s">
        <v>4</v>
      </c>
      <c r="N10" s="73"/>
      <c r="O10" s="76" t="s">
        <v>44</v>
      </c>
      <c r="P10" s="8" t="s">
        <v>0</v>
      </c>
      <c r="Q10" s="9" t="s">
        <v>5</v>
      </c>
      <c r="R10" s="58" t="s">
        <v>6</v>
      </c>
      <c r="S10" s="78"/>
      <c r="T10" s="60"/>
      <c r="U10" s="80" t="s">
        <v>7</v>
      </c>
      <c r="V10" s="81"/>
      <c r="W10" s="58" t="s">
        <v>8</v>
      </c>
      <c r="X10" s="59"/>
      <c r="Y10" s="59"/>
      <c r="Z10" s="59"/>
      <c r="AA10" s="60"/>
    </row>
    <row r="11" spans="1:28" ht="17.25" thickBot="1">
      <c r="A11" s="68"/>
      <c r="B11" s="69"/>
      <c r="C11" s="68"/>
      <c r="D11" s="71"/>
      <c r="E11" s="68"/>
      <c r="F11" s="69"/>
      <c r="G11" s="69"/>
      <c r="H11" s="69"/>
      <c r="I11" s="69"/>
      <c r="J11" s="69"/>
      <c r="K11" s="69"/>
      <c r="L11" s="71"/>
      <c r="M11" s="74"/>
      <c r="N11" s="75"/>
      <c r="O11" s="77"/>
      <c r="P11" s="11" t="s">
        <v>9</v>
      </c>
      <c r="Q11" s="10" t="s">
        <v>10</v>
      </c>
      <c r="R11" s="61"/>
      <c r="S11" s="79"/>
      <c r="T11" s="63"/>
      <c r="U11" s="82"/>
      <c r="V11" s="83"/>
      <c r="W11" s="61"/>
      <c r="X11" s="62"/>
      <c r="Y11" s="62"/>
      <c r="Z11" s="62"/>
      <c r="AA11" s="63"/>
    </row>
    <row r="12" spans="1:28" ht="18.75" customHeight="1">
      <c r="A12" s="87">
        <v>45975</v>
      </c>
      <c r="B12" s="88"/>
      <c r="C12" s="89" t="s">
        <v>23</v>
      </c>
      <c r="D12" s="90"/>
      <c r="E12" s="93" t="s">
        <v>165</v>
      </c>
      <c r="F12" s="93"/>
      <c r="G12" s="93"/>
      <c r="H12" s="93"/>
      <c r="I12" s="93"/>
      <c r="J12" s="93"/>
      <c r="K12" s="93"/>
      <c r="L12" s="93"/>
      <c r="M12" s="94">
        <v>0</v>
      </c>
      <c r="N12" s="94"/>
      <c r="O12" s="54">
        <f>$X$9</f>
        <v>7</v>
      </c>
      <c r="P12" s="12">
        <v>1</v>
      </c>
      <c r="Q12" s="12"/>
      <c r="R12" s="95">
        <f>M12*O12*P12</f>
        <v>0</v>
      </c>
      <c r="S12" s="95"/>
      <c r="T12" s="95"/>
      <c r="U12" s="84">
        <f t="shared" ref="U12:U34" si="0">R12/($D$8+$G$8)</f>
        <v>0</v>
      </c>
      <c r="V12" s="84"/>
      <c r="W12" s="255"/>
      <c r="X12" s="256"/>
      <c r="Y12" s="256"/>
      <c r="Z12" s="256"/>
      <c r="AA12" s="257"/>
    </row>
    <row r="13" spans="1:28" ht="19.5" customHeight="1">
      <c r="A13" s="87">
        <v>45976</v>
      </c>
      <c r="B13" s="88"/>
      <c r="C13" s="91"/>
      <c r="D13" s="92"/>
      <c r="E13" s="96" t="s">
        <v>165</v>
      </c>
      <c r="F13" s="96"/>
      <c r="G13" s="96"/>
      <c r="H13" s="96"/>
      <c r="I13" s="96"/>
      <c r="J13" s="96"/>
      <c r="K13" s="96"/>
      <c r="L13" s="96"/>
      <c r="M13" s="97">
        <v>0</v>
      </c>
      <c r="N13" s="97"/>
      <c r="O13" s="51">
        <f t="shared" ref="O13" si="1">$X$9</f>
        <v>7</v>
      </c>
      <c r="P13" s="13">
        <v>1</v>
      </c>
      <c r="Q13" s="13"/>
      <c r="R13" s="98">
        <f t="shared" ref="R13" si="2">M13*O13*P13</f>
        <v>0</v>
      </c>
      <c r="S13" s="98"/>
      <c r="T13" s="98"/>
      <c r="U13" s="84">
        <f t="shared" si="0"/>
        <v>0</v>
      </c>
      <c r="V13" s="84"/>
      <c r="W13" s="258"/>
      <c r="X13" s="259"/>
      <c r="Y13" s="259"/>
      <c r="Z13" s="259"/>
      <c r="AA13" s="260"/>
    </row>
    <row r="14" spans="1:28" ht="19.5" customHeight="1">
      <c r="A14" s="87">
        <v>45975</v>
      </c>
      <c r="B14" s="88"/>
      <c r="C14" s="119" t="s">
        <v>15</v>
      </c>
      <c r="D14" s="120"/>
      <c r="E14" s="51" t="s">
        <v>37</v>
      </c>
      <c r="F14" s="55" t="s">
        <v>53</v>
      </c>
      <c r="G14" s="56"/>
      <c r="H14" s="56"/>
      <c r="I14" s="56"/>
      <c r="J14" s="56"/>
      <c r="K14" s="56"/>
      <c r="L14" s="57"/>
      <c r="M14" s="97">
        <v>20</v>
      </c>
      <c r="N14" s="97"/>
      <c r="O14" s="13"/>
      <c r="P14" s="13">
        <v>1</v>
      </c>
      <c r="Q14" s="52">
        <f>$D$8+$G$8+$J$8+$M$8</f>
        <v>13</v>
      </c>
      <c r="R14" s="98">
        <f>M14*P14*Q14</f>
        <v>260</v>
      </c>
      <c r="S14" s="98"/>
      <c r="T14" s="98"/>
      <c r="U14" s="84">
        <f t="shared" si="0"/>
        <v>20</v>
      </c>
      <c r="V14" s="84"/>
      <c r="W14" s="85"/>
      <c r="X14" s="85"/>
      <c r="Y14" s="85"/>
      <c r="Z14" s="85"/>
      <c r="AA14" s="86"/>
    </row>
    <row r="15" spans="1:28" ht="19.5" customHeight="1">
      <c r="A15" s="87">
        <v>45975</v>
      </c>
      <c r="B15" s="88"/>
      <c r="C15" s="91"/>
      <c r="D15" s="92"/>
      <c r="E15" s="51" t="s">
        <v>38</v>
      </c>
      <c r="F15" s="55" t="s">
        <v>166</v>
      </c>
      <c r="G15" s="56"/>
      <c r="H15" s="56"/>
      <c r="I15" s="56"/>
      <c r="J15" s="56"/>
      <c r="K15" s="56"/>
      <c r="L15" s="57"/>
      <c r="M15" s="97">
        <v>64</v>
      </c>
      <c r="N15" s="97"/>
      <c r="O15" s="13"/>
      <c r="P15" s="13">
        <v>1</v>
      </c>
      <c r="Q15" s="52">
        <f>$D$8+$G$8+$J$8+$M$8</f>
        <v>13</v>
      </c>
      <c r="R15" s="98">
        <f t="shared" ref="R15:R34" si="3">M15*P15*Q15</f>
        <v>832</v>
      </c>
      <c r="S15" s="98"/>
      <c r="T15" s="98"/>
      <c r="U15" s="84">
        <f t="shared" si="0"/>
        <v>64</v>
      </c>
      <c r="V15" s="84"/>
      <c r="W15" s="85"/>
      <c r="X15" s="85"/>
      <c r="Y15" s="85"/>
      <c r="Z15" s="85"/>
      <c r="AA15" s="86"/>
    </row>
    <row r="16" spans="1:28" ht="19.5" customHeight="1">
      <c r="A16" s="87">
        <v>45976</v>
      </c>
      <c r="B16" s="88"/>
      <c r="C16" s="91"/>
      <c r="D16" s="92"/>
      <c r="E16" s="51" t="s">
        <v>37</v>
      </c>
      <c r="F16" s="55" t="s">
        <v>167</v>
      </c>
      <c r="G16" s="56"/>
      <c r="H16" s="56"/>
      <c r="I16" s="56"/>
      <c r="J16" s="56"/>
      <c r="K16" s="56"/>
      <c r="L16" s="57"/>
      <c r="M16" s="97">
        <v>220</v>
      </c>
      <c r="N16" s="97"/>
      <c r="O16" s="13"/>
      <c r="P16" s="13">
        <v>1</v>
      </c>
      <c r="Q16" s="253">
        <v>2</v>
      </c>
      <c r="R16" s="98">
        <f t="shared" si="3"/>
        <v>440</v>
      </c>
      <c r="S16" s="98"/>
      <c r="T16" s="98"/>
      <c r="U16" s="84">
        <f t="shared" si="0"/>
        <v>33.846153846153847</v>
      </c>
      <c r="V16" s="84"/>
      <c r="W16" s="85"/>
      <c r="X16" s="85"/>
      <c r="Y16" s="85"/>
      <c r="Z16" s="85"/>
      <c r="AA16" s="86"/>
    </row>
    <row r="17" spans="1:27" ht="19.5" customHeight="1">
      <c r="A17" s="87">
        <v>45976</v>
      </c>
      <c r="B17" s="88"/>
      <c r="C17" s="91"/>
      <c r="D17" s="92"/>
      <c r="E17" s="51" t="s">
        <v>38</v>
      </c>
      <c r="F17" s="55" t="s">
        <v>54</v>
      </c>
      <c r="G17" s="56"/>
      <c r="H17" s="56"/>
      <c r="I17" s="56"/>
      <c r="J17" s="56"/>
      <c r="K17" s="56"/>
      <c r="L17" s="57"/>
      <c r="M17" s="97">
        <v>55</v>
      </c>
      <c r="N17" s="97"/>
      <c r="O17" s="13"/>
      <c r="P17" s="13">
        <v>1</v>
      </c>
      <c r="Q17" s="52">
        <f t="shared" ref="Q16:Q18" si="4">$D$8+$G$8+$J$8+$M$8</f>
        <v>13</v>
      </c>
      <c r="R17" s="98">
        <f t="shared" si="3"/>
        <v>715</v>
      </c>
      <c r="S17" s="98"/>
      <c r="T17" s="98"/>
      <c r="U17" s="84">
        <f t="shared" si="0"/>
        <v>55</v>
      </c>
      <c r="V17" s="84"/>
      <c r="W17" s="85"/>
      <c r="X17" s="85"/>
      <c r="Y17" s="85"/>
      <c r="Z17" s="85"/>
      <c r="AA17" s="86"/>
    </row>
    <row r="18" spans="1:27" ht="19.5" customHeight="1">
      <c r="A18" s="87">
        <v>45977</v>
      </c>
      <c r="B18" s="88"/>
      <c r="C18" s="91"/>
      <c r="D18" s="92"/>
      <c r="E18" s="51" t="s">
        <v>37</v>
      </c>
      <c r="F18" s="55" t="s">
        <v>55</v>
      </c>
      <c r="G18" s="56"/>
      <c r="H18" s="56"/>
      <c r="I18" s="56"/>
      <c r="J18" s="56"/>
      <c r="K18" s="56"/>
      <c r="L18" s="57"/>
      <c r="M18" s="97">
        <v>35</v>
      </c>
      <c r="N18" s="97"/>
      <c r="O18" s="13"/>
      <c r="P18" s="13">
        <v>1</v>
      </c>
      <c r="Q18" s="52">
        <f t="shared" si="4"/>
        <v>13</v>
      </c>
      <c r="R18" s="98">
        <f t="shared" si="3"/>
        <v>455</v>
      </c>
      <c r="S18" s="98"/>
      <c r="T18" s="98"/>
      <c r="U18" s="84">
        <f t="shared" si="0"/>
        <v>35</v>
      </c>
      <c r="V18" s="84"/>
      <c r="W18" s="85"/>
      <c r="X18" s="85"/>
      <c r="Y18" s="85"/>
      <c r="Z18" s="85"/>
      <c r="AA18" s="86"/>
    </row>
    <row r="19" spans="1:27" ht="19.5" customHeight="1">
      <c r="A19" s="87"/>
      <c r="B19" s="88"/>
      <c r="C19" s="119" t="s">
        <v>17</v>
      </c>
      <c r="D19" s="120"/>
      <c r="E19" s="96" t="s">
        <v>41</v>
      </c>
      <c r="F19" s="96"/>
      <c r="G19" s="96"/>
      <c r="H19" s="96"/>
      <c r="I19" s="96"/>
      <c r="J19" s="96"/>
      <c r="K19" s="96"/>
      <c r="L19" s="96"/>
      <c r="M19" s="97">
        <v>13</v>
      </c>
      <c r="N19" s="97"/>
      <c r="O19" s="13"/>
      <c r="P19" s="13">
        <v>1</v>
      </c>
      <c r="Q19" s="52">
        <f t="shared" ref="Q19:Q21" si="5">$D$8+$G$8+$J$8+$M$8</f>
        <v>13</v>
      </c>
      <c r="R19" s="98">
        <f t="shared" si="3"/>
        <v>169</v>
      </c>
      <c r="S19" s="98"/>
      <c r="T19" s="98"/>
      <c r="U19" s="84">
        <f t="shared" si="0"/>
        <v>13</v>
      </c>
      <c r="V19" s="84"/>
      <c r="W19" s="85"/>
      <c r="X19" s="85"/>
      <c r="Y19" s="85"/>
      <c r="Z19" s="85"/>
      <c r="AA19" s="86"/>
    </row>
    <row r="20" spans="1:27" ht="19.5" customHeight="1">
      <c r="A20" s="87"/>
      <c r="B20" s="88"/>
      <c r="C20" s="91"/>
      <c r="D20" s="92"/>
      <c r="E20" s="96" t="s">
        <v>40</v>
      </c>
      <c r="F20" s="96"/>
      <c r="G20" s="96"/>
      <c r="H20" s="96"/>
      <c r="I20" s="96"/>
      <c r="J20" s="96"/>
      <c r="K20" s="96"/>
      <c r="L20" s="96"/>
      <c r="M20" s="97">
        <v>20</v>
      </c>
      <c r="N20" s="97"/>
      <c r="O20" s="13"/>
      <c r="P20" s="13">
        <v>1</v>
      </c>
      <c r="Q20" s="52">
        <f t="shared" si="5"/>
        <v>13</v>
      </c>
      <c r="R20" s="98">
        <f t="shared" si="3"/>
        <v>260</v>
      </c>
      <c r="S20" s="98"/>
      <c r="T20" s="98"/>
      <c r="U20" s="84">
        <f t="shared" si="0"/>
        <v>20</v>
      </c>
      <c r="V20" s="84"/>
      <c r="W20" s="85"/>
      <c r="X20" s="85"/>
      <c r="Y20" s="85"/>
      <c r="Z20" s="85"/>
      <c r="AA20" s="86"/>
    </row>
    <row r="21" spans="1:27" ht="19.5" customHeight="1">
      <c r="A21" s="87"/>
      <c r="B21" s="88"/>
      <c r="C21" s="91"/>
      <c r="D21" s="92"/>
      <c r="E21" s="96" t="s">
        <v>60</v>
      </c>
      <c r="F21" s="96"/>
      <c r="G21" s="96"/>
      <c r="H21" s="96"/>
      <c r="I21" s="96"/>
      <c r="J21" s="96"/>
      <c r="K21" s="96"/>
      <c r="L21" s="96"/>
      <c r="M21" s="97">
        <v>35</v>
      </c>
      <c r="N21" s="97"/>
      <c r="O21" s="13"/>
      <c r="P21" s="13">
        <v>1</v>
      </c>
      <c r="Q21" s="52">
        <f t="shared" si="5"/>
        <v>13</v>
      </c>
      <c r="R21" s="98">
        <f t="shared" si="3"/>
        <v>455</v>
      </c>
      <c r="S21" s="98"/>
      <c r="T21" s="98"/>
      <c r="U21" s="84">
        <f t="shared" si="0"/>
        <v>35</v>
      </c>
      <c r="V21" s="84"/>
      <c r="W21" s="85"/>
      <c r="X21" s="85"/>
      <c r="Y21" s="85"/>
      <c r="Z21" s="85"/>
      <c r="AA21" s="86"/>
    </row>
    <row r="22" spans="1:27" ht="19.5" customHeight="1">
      <c r="A22" s="122"/>
      <c r="B22" s="123"/>
      <c r="C22" s="119" t="s">
        <v>13</v>
      </c>
      <c r="D22" s="120"/>
      <c r="E22" s="96" t="s">
        <v>63</v>
      </c>
      <c r="F22" s="96"/>
      <c r="G22" s="96"/>
      <c r="H22" s="96"/>
      <c r="I22" s="96"/>
      <c r="J22" s="96"/>
      <c r="K22" s="96"/>
      <c r="L22" s="96"/>
      <c r="M22" s="124">
        <v>1045</v>
      </c>
      <c r="N22" s="124"/>
      <c r="O22" s="13"/>
      <c r="P22" s="13">
        <v>1</v>
      </c>
      <c r="Q22" s="40">
        <f>$S$9</f>
        <v>1</v>
      </c>
      <c r="R22" s="98">
        <f t="shared" si="3"/>
        <v>1045</v>
      </c>
      <c r="S22" s="98"/>
      <c r="T22" s="98"/>
      <c r="U22" s="84">
        <f t="shared" si="0"/>
        <v>80.384615384615387</v>
      </c>
      <c r="V22" s="84"/>
      <c r="W22" s="85"/>
      <c r="X22" s="85"/>
      <c r="Y22" s="85"/>
      <c r="Z22" s="85"/>
      <c r="AA22" s="86"/>
    </row>
    <row r="23" spans="1:27" ht="19.5" customHeight="1">
      <c r="A23" s="122"/>
      <c r="B23" s="123"/>
      <c r="C23" s="91"/>
      <c r="D23" s="92"/>
      <c r="E23" s="96" t="s">
        <v>56</v>
      </c>
      <c r="F23" s="96"/>
      <c r="G23" s="96"/>
      <c r="H23" s="96"/>
      <c r="I23" s="96"/>
      <c r="J23" s="96"/>
      <c r="K23" s="96"/>
      <c r="L23" s="96"/>
      <c r="M23" s="124">
        <v>35</v>
      </c>
      <c r="N23" s="124"/>
      <c r="O23" s="13"/>
      <c r="P23" s="13">
        <v>3</v>
      </c>
      <c r="Q23" s="40">
        <f t="shared" ref="Q23" si="6">$S$9</f>
        <v>1</v>
      </c>
      <c r="R23" s="98">
        <f t="shared" si="3"/>
        <v>105</v>
      </c>
      <c r="S23" s="98"/>
      <c r="T23" s="98"/>
      <c r="U23" s="84">
        <f t="shared" si="0"/>
        <v>8.0769230769230766</v>
      </c>
      <c r="V23" s="84"/>
      <c r="W23" s="85"/>
      <c r="X23" s="85"/>
      <c r="Y23" s="85"/>
      <c r="Z23" s="85"/>
      <c r="AA23" s="86"/>
    </row>
    <row r="24" spans="1:27" ht="19.5" customHeight="1">
      <c r="A24" s="122"/>
      <c r="B24" s="123"/>
      <c r="C24" s="119" t="s">
        <v>14</v>
      </c>
      <c r="D24" s="120"/>
      <c r="E24" s="96" t="s">
        <v>57</v>
      </c>
      <c r="F24" s="96"/>
      <c r="G24" s="96"/>
      <c r="H24" s="96"/>
      <c r="I24" s="96"/>
      <c r="J24" s="96"/>
      <c r="K24" s="96"/>
      <c r="L24" s="96"/>
      <c r="M24" s="97">
        <f>135+200+150</f>
        <v>485</v>
      </c>
      <c r="N24" s="97"/>
      <c r="O24" s="13"/>
      <c r="P24" s="13">
        <v>1</v>
      </c>
      <c r="Q24" s="41">
        <f>$R$9</f>
        <v>1</v>
      </c>
      <c r="R24" s="98">
        <f t="shared" si="3"/>
        <v>485</v>
      </c>
      <c r="S24" s="98"/>
      <c r="T24" s="98"/>
      <c r="U24" s="84">
        <f t="shared" si="0"/>
        <v>37.307692307692307</v>
      </c>
      <c r="V24" s="84"/>
      <c r="W24" s="85" t="s">
        <v>62</v>
      </c>
      <c r="X24" s="85"/>
      <c r="Y24" s="85"/>
      <c r="Z24" s="85"/>
      <c r="AA24" s="86"/>
    </row>
    <row r="25" spans="1:27" ht="19.5" customHeight="1">
      <c r="A25" s="122"/>
      <c r="B25" s="123"/>
      <c r="C25" s="91"/>
      <c r="D25" s="92"/>
      <c r="E25" s="96" t="s">
        <v>58</v>
      </c>
      <c r="F25" s="96"/>
      <c r="G25" s="96"/>
      <c r="H25" s="96"/>
      <c r="I25" s="96"/>
      <c r="J25" s="96"/>
      <c r="K25" s="96"/>
      <c r="L25" s="96"/>
      <c r="M25" s="97">
        <v>50</v>
      </c>
      <c r="N25" s="97"/>
      <c r="O25" s="13"/>
      <c r="P25" s="13">
        <v>3</v>
      </c>
      <c r="Q25" s="41">
        <f t="shared" ref="Q25:Q27" si="7">$R$9</f>
        <v>1</v>
      </c>
      <c r="R25" s="98">
        <f t="shared" si="3"/>
        <v>150</v>
      </c>
      <c r="S25" s="98"/>
      <c r="T25" s="98"/>
      <c r="U25" s="84">
        <f t="shared" si="0"/>
        <v>11.538461538461538</v>
      </c>
      <c r="V25" s="84"/>
      <c r="W25" s="85"/>
      <c r="X25" s="85"/>
      <c r="Y25" s="85"/>
      <c r="Z25" s="85"/>
      <c r="AA25" s="86"/>
    </row>
    <row r="26" spans="1:27" ht="19.5" customHeight="1">
      <c r="A26" s="122"/>
      <c r="B26" s="123"/>
      <c r="C26" s="91"/>
      <c r="D26" s="92"/>
      <c r="E26" s="96" t="s">
        <v>64</v>
      </c>
      <c r="F26" s="96"/>
      <c r="G26" s="96"/>
      <c r="H26" s="96"/>
      <c r="I26" s="96"/>
      <c r="J26" s="96"/>
      <c r="K26" s="96"/>
      <c r="L26" s="96"/>
      <c r="M26" s="124">
        <v>100</v>
      </c>
      <c r="N26" s="124"/>
      <c r="O26" s="27"/>
      <c r="P26" s="27">
        <v>1</v>
      </c>
      <c r="Q26" s="41">
        <f t="shared" si="7"/>
        <v>1</v>
      </c>
      <c r="R26" s="121">
        <f t="shared" si="3"/>
        <v>100</v>
      </c>
      <c r="S26" s="121"/>
      <c r="T26" s="121"/>
      <c r="U26" s="84">
        <f t="shared" si="0"/>
        <v>7.6923076923076925</v>
      </c>
      <c r="V26" s="84"/>
      <c r="W26" s="125"/>
      <c r="X26" s="125"/>
      <c r="Y26" s="125"/>
      <c r="Z26" s="125"/>
      <c r="AA26" s="126"/>
    </row>
    <row r="27" spans="1:27" ht="19.5" customHeight="1">
      <c r="A27" s="122"/>
      <c r="B27" s="123"/>
      <c r="C27" s="127"/>
      <c r="D27" s="128"/>
      <c r="E27" s="96" t="s">
        <v>61</v>
      </c>
      <c r="F27" s="96"/>
      <c r="G27" s="96"/>
      <c r="H27" s="96"/>
      <c r="I27" s="96"/>
      <c r="J27" s="96"/>
      <c r="K27" s="96"/>
      <c r="L27" s="96"/>
      <c r="M27" s="124">
        <v>20</v>
      </c>
      <c r="N27" s="124"/>
      <c r="O27" s="27"/>
      <c r="P27" s="27">
        <v>2</v>
      </c>
      <c r="Q27" s="41">
        <f t="shared" si="7"/>
        <v>1</v>
      </c>
      <c r="R27" s="121">
        <f t="shared" si="3"/>
        <v>40</v>
      </c>
      <c r="S27" s="121"/>
      <c r="T27" s="121"/>
      <c r="U27" s="84">
        <f t="shared" si="0"/>
        <v>3.0769230769230771</v>
      </c>
      <c r="V27" s="84"/>
      <c r="W27" s="125"/>
      <c r="X27" s="125"/>
      <c r="Y27" s="125"/>
      <c r="Z27" s="125"/>
      <c r="AA27" s="126"/>
    </row>
    <row r="28" spans="1:27" ht="19.5" customHeight="1">
      <c r="A28" s="122"/>
      <c r="B28" s="123"/>
      <c r="C28" s="119" t="s">
        <v>18</v>
      </c>
      <c r="D28" s="120"/>
      <c r="E28" s="96" t="s">
        <v>16</v>
      </c>
      <c r="F28" s="96"/>
      <c r="G28" s="96"/>
      <c r="H28" s="96"/>
      <c r="I28" s="96"/>
      <c r="J28" s="96"/>
      <c r="K28" s="96"/>
      <c r="L28" s="96"/>
      <c r="M28" s="124">
        <v>30</v>
      </c>
      <c r="N28" s="124"/>
      <c r="O28" s="27"/>
      <c r="P28" s="27">
        <v>1</v>
      </c>
      <c r="Q28" s="41">
        <f>$D$8+$G$8</f>
        <v>13</v>
      </c>
      <c r="R28" s="121">
        <f t="shared" si="3"/>
        <v>390</v>
      </c>
      <c r="S28" s="121"/>
      <c r="T28" s="121"/>
      <c r="U28" s="84">
        <f t="shared" si="0"/>
        <v>30</v>
      </c>
      <c r="V28" s="84"/>
      <c r="W28" s="125"/>
      <c r="X28" s="125"/>
      <c r="Y28" s="125"/>
      <c r="Z28" s="125"/>
      <c r="AA28" s="126"/>
    </row>
    <row r="29" spans="1:27" ht="19.5" customHeight="1">
      <c r="A29" s="122"/>
      <c r="B29" s="123"/>
      <c r="C29" s="91"/>
      <c r="D29" s="92"/>
      <c r="E29" s="96" t="s">
        <v>59</v>
      </c>
      <c r="F29" s="96"/>
      <c r="G29" s="96"/>
      <c r="H29" s="96"/>
      <c r="I29" s="96"/>
      <c r="J29" s="96"/>
      <c r="K29" s="96"/>
      <c r="L29" s="96"/>
      <c r="M29" s="124">
        <v>3</v>
      </c>
      <c r="N29" s="124"/>
      <c r="O29" s="27"/>
      <c r="P29" s="27">
        <v>1</v>
      </c>
      <c r="Q29" s="53">
        <f t="shared" ref="Q29:Q34" si="8">$D$8+$G$8+$J$8+$M$8</f>
        <v>13</v>
      </c>
      <c r="R29" s="121">
        <f t="shared" si="3"/>
        <v>39</v>
      </c>
      <c r="S29" s="121"/>
      <c r="T29" s="121"/>
      <c r="U29" s="84">
        <f t="shared" si="0"/>
        <v>3</v>
      </c>
      <c r="V29" s="84"/>
      <c r="W29" s="125"/>
      <c r="X29" s="125"/>
      <c r="Y29" s="125"/>
      <c r="Z29" s="125"/>
      <c r="AA29" s="126"/>
    </row>
    <row r="30" spans="1:27" ht="19.5" customHeight="1" thickBot="1">
      <c r="A30" s="122"/>
      <c r="B30" s="123"/>
      <c r="C30" s="91"/>
      <c r="D30" s="92"/>
      <c r="E30" s="96" t="s">
        <v>42</v>
      </c>
      <c r="F30" s="96"/>
      <c r="G30" s="96"/>
      <c r="H30" s="96"/>
      <c r="I30" s="96"/>
      <c r="J30" s="96"/>
      <c r="K30" s="96"/>
      <c r="L30" s="96"/>
      <c r="M30" s="124">
        <v>2</v>
      </c>
      <c r="N30" s="124"/>
      <c r="O30" s="27"/>
      <c r="P30" s="27">
        <v>1</v>
      </c>
      <c r="Q30" s="41">
        <f>Q29+R9</f>
        <v>14</v>
      </c>
      <c r="R30" s="121">
        <f t="shared" ref="R30" si="9">M30*P30*Q30</f>
        <v>28</v>
      </c>
      <c r="S30" s="121"/>
      <c r="T30" s="121"/>
      <c r="U30" s="84">
        <f t="shared" ref="U30" si="10">R30/($D$8+$G$8)</f>
        <v>2.1538461538461537</v>
      </c>
      <c r="V30" s="84"/>
      <c r="W30" s="125"/>
      <c r="X30" s="125"/>
      <c r="Y30" s="125"/>
      <c r="Z30" s="125"/>
      <c r="AA30" s="126"/>
    </row>
    <row r="31" spans="1:27" ht="19.5" hidden="1" customHeight="1">
      <c r="A31" s="122"/>
      <c r="B31" s="123"/>
      <c r="C31" s="91"/>
      <c r="D31" s="92"/>
      <c r="E31" s="96"/>
      <c r="F31" s="96"/>
      <c r="G31" s="96"/>
      <c r="H31" s="96"/>
      <c r="I31" s="96"/>
      <c r="J31" s="96"/>
      <c r="K31" s="96"/>
      <c r="L31" s="96"/>
      <c r="M31" s="124"/>
      <c r="N31" s="124"/>
      <c r="O31" s="27"/>
      <c r="P31" s="27">
        <v>1</v>
      </c>
      <c r="Q31" s="27">
        <f t="shared" si="8"/>
        <v>13</v>
      </c>
      <c r="R31" s="121">
        <f t="shared" si="3"/>
        <v>0</v>
      </c>
      <c r="S31" s="121"/>
      <c r="T31" s="121"/>
      <c r="U31" s="84">
        <f t="shared" si="0"/>
        <v>0</v>
      </c>
      <c r="V31" s="84"/>
      <c r="W31" s="125"/>
      <c r="X31" s="125"/>
      <c r="Y31" s="125"/>
      <c r="Z31" s="125"/>
      <c r="AA31" s="126"/>
    </row>
    <row r="32" spans="1:27" ht="19.5" hidden="1" customHeight="1">
      <c r="A32" s="122"/>
      <c r="B32" s="123"/>
      <c r="C32" s="91"/>
      <c r="D32" s="92"/>
      <c r="E32" s="96"/>
      <c r="F32" s="96"/>
      <c r="G32" s="96"/>
      <c r="H32" s="96"/>
      <c r="I32" s="96"/>
      <c r="J32" s="96"/>
      <c r="K32" s="96"/>
      <c r="L32" s="96"/>
      <c r="M32" s="97"/>
      <c r="N32" s="97"/>
      <c r="O32" s="13"/>
      <c r="P32" s="13">
        <v>1</v>
      </c>
      <c r="Q32" s="27">
        <f t="shared" si="8"/>
        <v>13</v>
      </c>
      <c r="R32" s="98">
        <f t="shared" si="3"/>
        <v>0</v>
      </c>
      <c r="S32" s="98"/>
      <c r="T32" s="98"/>
      <c r="U32" s="84">
        <f t="shared" si="0"/>
        <v>0</v>
      </c>
      <c r="V32" s="84"/>
      <c r="W32" s="85"/>
      <c r="X32" s="85"/>
      <c r="Y32" s="85"/>
      <c r="Z32" s="85"/>
      <c r="AA32" s="86"/>
    </row>
    <row r="33" spans="1:27" ht="19.5" hidden="1" customHeight="1">
      <c r="A33" s="122"/>
      <c r="B33" s="123"/>
      <c r="C33" s="91"/>
      <c r="D33" s="92"/>
      <c r="E33" s="96"/>
      <c r="F33" s="96"/>
      <c r="G33" s="96"/>
      <c r="H33" s="96"/>
      <c r="I33" s="96"/>
      <c r="J33" s="96"/>
      <c r="K33" s="96"/>
      <c r="L33" s="96"/>
      <c r="M33" s="97"/>
      <c r="N33" s="97"/>
      <c r="O33" s="13"/>
      <c r="P33" s="13">
        <v>1</v>
      </c>
      <c r="Q33" s="27">
        <f t="shared" si="8"/>
        <v>13</v>
      </c>
      <c r="R33" s="98">
        <f t="shared" si="3"/>
        <v>0</v>
      </c>
      <c r="S33" s="98"/>
      <c r="T33" s="98"/>
      <c r="U33" s="84">
        <f t="shared" si="0"/>
        <v>0</v>
      </c>
      <c r="V33" s="84"/>
      <c r="W33" s="85"/>
      <c r="X33" s="85"/>
      <c r="Y33" s="85"/>
      <c r="Z33" s="85"/>
      <c r="AA33" s="86"/>
    </row>
    <row r="34" spans="1:27" ht="19.5" hidden="1" customHeight="1" thickBot="1">
      <c r="A34" s="129"/>
      <c r="B34" s="130"/>
      <c r="C34" s="144"/>
      <c r="D34" s="145"/>
      <c r="E34" s="131"/>
      <c r="F34" s="131"/>
      <c r="G34" s="131"/>
      <c r="H34" s="131"/>
      <c r="I34" s="131"/>
      <c r="J34" s="131"/>
      <c r="K34" s="131"/>
      <c r="L34" s="131"/>
      <c r="M34" s="97"/>
      <c r="N34" s="97"/>
      <c r="O34" s="13"/>
      <c r="P34" s="13">
        <v>1</v>
      </c>
      <c r="Q34" s="27">
        <f t="shared" si="8"/>
        <v>13</v>
      </c>
      <c r="R34" s="98">
        <f t="shared" si="3"/>
        <v>0</v>
      </c>
      <c r="S34" s="98"/>
      <c r="T34" s="98"/>
      <c r="U34" s="141">
        <f t="shared" si="0"/>
        <v>0</v>
      </c>
      <c r="V34" s="141"/>
      <c r="W34" s="142"/>
      <c r="X34" s="142"/>
      <c r="Y34" s="142"/>
      <c r="Z34" s="142"/>
      <c r="AA34" s="143"/>
    </row>
    <row r="35" spans="1:27" s="14" customFormat="1" ht="21" thickBot="1">
      <c r="A35" s="132" t="s">
        <v>39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4"/>
      <c r="M35" s="135">
        <f>SUM(R12:T34)</f>
        <v>5968</v>
      </c>
      <c r="N35" s="135"/>
      <c r="O35" s="135"/>
      <c r="P35" s="135"/>
      <c r="Q35" s="135"/>
      <c r="R35" s="135"/>
      <c r="S35" s="135"/>
      <c r="T35" s="136"/>
      <c r="U35" s="137">
        <f>SUM(U12:V34)</f>
        <v>459.07692307692304</v>
      </c>
      <c r="V35" s="137"/>
      <c r="W35" s="138"/>
      <c r="X35" s="139"/>
      <c r="Y35" s="139"/>
      <c r="Z35" s="139"/>
      <c r="AA35" s="140"/>
    </row>
    <row r="36" spans="1:27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</row>
  </sheetData>
  <mergeCells count="172">
    <mergeCell ref="W12:AA13"/>
    <mergeCell ref="W35:AA35"/>
    <mergeCell ref="A36:AA36"/>
    <mergeCell ref="A32:B32"/>
    <mergeCell ref="E32:L32"/>
    <mergeCell ref="M32:N32"/>
    <mergeCell ref="R32:T32"/>
    <mergeCell ref="U32:V32"/>
    <mergeCell ref="W32:AA32"/>
    <mergeCell ref="M34:N34"/>
    <mergeCell ref="R34:T34"/>
    <mergeCell ref="U34:V34"/>
    <mergeCell ref="W34:AA34"/>
    <mergeCell ref="A33:B33"/>
    <mergeCell ref="E33:L33"/>
    <mergeCell ref="M33:N33"/>
    <mergeCell ref="R33:T33"/>
    <mergeCell ref="U33:V33"/>
    <mergeCell ref="W33:AA33"/>
    <mergeCell ref="C28:D34"/>
    <mergeCell ref="E28:L28"/>
    <mergeCell ref="M28:N28"/>
    <mergeCell ref="U28:V28"/>
    <mergeCell ref="A31:B31"/>
    <mergeCell ref="E31:L31"/>
    <mergeCell ref="M31:N31"/>
    <mergeCell ref="A34:B34"/>
    <mergeCell ref="E34:L34"/>
    <mergeCell ref="R31:T31"/>
    <mergeCell ref="U26:V26"/>
    <mergeCell ref="A35:L35"/>
    <mergeCell ref="M35:T35"/>
    <mergeCell ref="U35:V35"/>
    <mergeCell ref="W26:AA26"/>
    <mergeCell ref="A27:B27"/>
    <mergeCell ref="E27:L27"/>
    <mergeCell ref="M27:N27"/>
    <mergeCell ref="R27:T27"/>
    <mergeCell ref="U27:V27"/>
    <mergeCell ref="W27:AA27"/>
    <mergeCell ref="U31:V31"/>
    <mergeCell ref="W31:AA31"/>
    <mergeCell ref="A30:B30"/>
    <mergeCell ref="E30:L30"/>
    <mergeCell ref="M30:N30"/>
    <mergeCell ref="R30:T30"/>
    <mergeCell ref="U30:V30"/>
    <mergeCell ref="W30:AA30"/>
    <mergeCell ref="W28:AA28"/>
    <mergeCell ref="A29:B29"/>
    <mergeCell ref="E29:L29"/>
    <mergeCell ref="M29:N29"/>
    <mergeCell ref="R29:T29"/>
    <mergeCell ref="U29:V29"/>
    <mergeCell ref="W29:AA29"/>
    <mergeCell ref="A28:B28"/>
    <mergeCell ref="R28:T28"/>
    <mergeCell ref="W24:AA24"/>
    <mergeCell ref="A25:B25"/>
    <mergeCell ref="E25:L25"/>
    <mergeCell ref="M25:N25"/>
    <mergeCell ref="R25:T25"/>
    <mergeCell ref="U25:V25"/>
    <mergeCell ref="W25:AA25"/>
    <mergeCell ref="A24:B24"/>
    <mergeCell ref="C24:D27"/>
    <mergeCell ref="E24:L24"/>
    <mergeCell ref="M24:N24"/>
    <mergeCell ref="R24:T24"/>
    <mergeCell ref="U24:V24"/>
    <mergeCell ref="A26:B26"/>
    <mergeCell ref="E26:L26"/>
    <mergeCell ref="M26:N26"/>
    <mergeCell ref="U21:V21"/>
    <mergeCell ref="R26:T26"/>
    <mergeCell ref="W22:AA22"/>
    <mergeCell ref="A23:B23"/>
    <mergeCell ref="E23:L23"/>
    <mergeCell ref="M23:N23"/>
    <mergeCell ref="R23:T23"/>
    <mergeCell ref="U23:V23"/>
    <mergeCell ref="W23:AA23"/>
    <mergeCell ref="A22:B22"/>
    <mergeCell ref="C22:D23"/>
    <mergeCell ref="E22:L22"/>
    <mergeCell ref="M22:N22"/>
    <mergeCell ref="R22:T22"/>
    <mergeCell ref="U22:V22"/>
    <mergeCell ref="W18:AA18"/>
    <mergeCell ref="U16:V16"/>
    <mergeCell ref="W16:AA16"/>
    <mergeCell ref="A17:B17"/>
    <mergeCell ref="M17:N17"/>
    <mergeCell ref="R17:T17"/>
    <mergeCell ref="W21:AA21"/>
    <mergeCell ref="W19:AA19"/>
    <mergeCell ref="A20:B20"/>
    <mergeCell ref="E20:L20"/>
    <mergeCell ref="M20:N20"/>
    <mergeCell ref="R20:T20"/>
    <mergeCell ref="U20:V20"/>
    <mergeCell ref="W20:AA20"/>
    <mergeCell ref="A19:B19"/>
    <mergeCell ref="C19:D21"/>
    <mergeCell ref="E19:L19"/>
    <mergeCell ref="M19:N19"/>
    <mergeCell ref="R19:T19"/>
    <mergeCell ref="U19:V19"/>
    <mergeCell ref="A21:B21"/>
    <mergeCell ref="E21:L21"/>
    <mergeCell ref="M21:N21"/>
    <mergeCell ref="R21:T21"/>
    <mergeCell ref="F14:L14"/>
    <mergeCell ref="F15:L15"/>
    <mergeCell ref="F16:L16"/>
    <mergeCell ref="F17:L17"/>
    <mergeCell ref="W17:AA17"/>
    <mergeCell ref="A15:B15"/>
    <mergeCell ref="M15:N15"/>
    <mergeCell ref="R15:T15"/>
    <mergeCell ref="U15:V15"/>
    <mergeCell ref="W15:AA15"/>
    <mergeCell ref="A14:B14"/>
    <mergeCell ref="C14:D18"/>
    <mergeCell ref="M14:N14"/>
    <mergeCell ref="R14:T14"/>
    <mergeCell ref="U14:V14"/>
    <mergeCell ref="A16:B16"/>
    <mergeCell ref="M16:N16"/>
    <mergeCell ref="R16:T16"/>
    <mergeCell ref="A18:B18"/>
    <mergeCell ref="M18:N18"/>
    <mergeCell ref="R18:T18"/>
    <mergeCell ref="U18:V18"/>
    <mergeCell ref="A6:B6"/>
    <mergeCell ref="A7:B7"/>
    <mergeCell ref="D2:E2"/>
    <mergeCell ref="D3:AA3"/>
    <mergeCell ref="D4:AA4"/>
    <mergeCell ref="H2:AA2"/>
    <mergeCell ref="R7:S7"/>
    <mergeCell ref="A2:B2"/>
    <mergeCell ref="A3:B3"/>
    <mergeCell ref="A4:B4"/>
    <mergeCell ref="D6:AA6"/>
    <mergeCell ref="U7:X7"/>
    <mergeCell ref="Z5:AA5"/>
    <mergeCell ref="A5:Y5"/>
    <mergeCell ref="F18:L18"/>
    <mergeCell ref="W10:AA11"/>
    <mergeCell ref="A8:B8"/>
    <mergeCell ref="A9:B9"/>
    <mergeCell ref="A10:B11"/>
    <mergeCell ref="C10:D11"/>
    <mergeCell ref="E10:L11"/>
    <mergeCell ref="M10:N11"/>
    <mergeCell ref="O10:O11"/>
    <mergeCell ref="R10:T11"/>
    <mergeCell ref="U10:V11"/>
    <mergeCell ref="U17:V17"/>
    <mergeCell ref="W14:AA14"/>
    <mergeCell ref="A12:B12"/>
    <mergeCell ref="C12:D13"/>
    <mergeCell ref="E12:L12"/>
    <mergeCell ref="M12:N12"/>
    <mergeCell ref="R12:T12"/>
    <mergeCell ref="U12:V12"/>
    <mergeCell ref="A13:B13"/>
    <mergeCell ref="E13:L13"/>
    <mergeCell ref="M13:N13"/>
    <mergeCell ref="R13:T13"/>
    <mergeCell ref="U13:V13"/>
  </mergeCells>
  <phoneticPr fontId="5" type="noConversion"/>
  <printOptions horizontalCentered="1"/>
  <pageMargins left="0.23622047244094491" right="0.23622047244094491" top="0.78740157480314965" bottom="0.23622047244094491" header="0" footer="0.23622047244094491"/>
  <pageSetup paperSize="9" scale="66" orientation="portrait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견적서</vt:lpstr>
      <vt:lpstr>세부내역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Hyatt Centric HK _ #lvjlw494</cp:lastModifiedBy>
  <cp:lastPrinted>2024-08-15T14:01:28Z</cp:lastPrinted>
  <dcterms:created xsi:type="dcterms:W3CDTF">2023-06-01T06:06:36Z</dcterms:created>
  <dcterms:modified xsi:type="dcterms:W3CDTF">2025-08-25T09:44:34Z</dcterms:modified>
</cp:coreProperties>
</file>